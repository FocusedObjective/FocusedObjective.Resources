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0_ncr:8100000_{3CB8A850-604B-4CD2-98BC-30D2752C7DEC}" xr6:coauthVersionLast="34" xr6:coauthVersionMax="34" xr10:uidLastSave="{00000000-0000-0000-0000-000000000000}"/>
  <bookViews>
    <workbookView xWindow="0" yWindow="0" windowWidth="28800" windowHeight="12225" firstSheet="1" activeTab="4" xr2:uid="{A8C12585-0E7A-4F44-9F95-34F1494FF5F9}"/>
  </bookViews>
  <sheets>
    <sheet name="Readme" sheetId="14" r:id="rId1"/>
    <sheet name="1. Strategies" sheetId="1" r:id="rId2"/>
    <sheet name="2. Teams" sheetId="5" r:id="rId3"/>
    <sheet name="3. MVP or Initiative" sheetId="3" r:id="rId4"/>
    <sheet name="4. Work" sheetId="4" r:id="rId5"/>
    <sheet name="Generate Sankey" sheetId="13" r:id="rId6"/>
    <sheet name="Settings" sheetId="2" r:id="rId7"/>
    <sheet name="To Do List" sheetId="15" r:id="rId8"/>
    <sheet name="Strategy Indirect" sheetId="6" state="hidden" r:id="rId9"/>
    <sheet name="Team Indirect" sheetId="7" state="hidden" r:id="rId10"/>
    <sheet name="Initiative Indirect" sheetId="8" state="hidden" r:id="rId11"/>
    <sheet name="Work Indirect" sheetId="9" state="hidden" r:id="rId12"/>
  </sheets>
  <functionGroups builtInGroupCount="19"/>
  <definedNames>
    <definedName name="AllocationUnits">'Generate Sankey'!$C$4</definedName>
    <definedName name="colorFinished">Settings!$H$5</definedName>
    <definedName name="colorInProgress">Settings!$H$4</definedName>
    <definedName name="colorNotStarted">Settings!$H$3</definedName>
    <definedName name="DestinationFile">'Generate Sankey'!$A$9</definedName>
    <definedName name="height">Settings!$N$3</definedName>
    <definedName name="InitiativeRange">OFFSET('Initiative Indirect'!$A$2,0,0,COUNTIF('Initiative Indirect'!$A:$A,"?*")-1)</definedName>
    <definedName name="IterationDays">Settings!#REF!</definedName>
    <definedName name="IterationLabel">Settings!#REF!</definedName>
    <definedName name="Probability">'Generate Sankey'!$C$6</definedName>
    <definedName name="SimCycles">Settings!#REF!</definedName>
    <definedName name="StrategyRange">OFFSET('Strategy Indirect'!$A$2,0,0,COUNTIF('Strategy Indirect'!$A:$A,"?*")-1)</definedName>
    <definedName name="TeamRange">OFFSET('Team Indirect'!$A$2,0,0,COUNTIF('Team Indirect'!$A:$A,"?*")-1)</definedName>
    <definedName name="width">Settings!$N$2</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8" l="1"/>
  <c r="B3" i="8"/>
  <c r="B1" i="9"/>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F2" i="9"/>
  <c r="C2" i="9"/>
  <c r="A1" i="7"/>
  <c r="A2"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D5" i="7"/>
  <c r="Y2" i="9"/>
  <c r="E5" i="7"/>
  <c r="Z2" i="9"/>
  <c r="F5" i="7"/>
  <c r="AA2" i="9"/>
  <c r="AB2" i="9"/>
  <c r="AC2" i="9"/>
  <c r="F3" i="9"/>
  <c r="C3" i="9"/>
  <c r="Y3" i="9"/>
  <c r="Z3" i="9"/>
  <c r="AA3" i="9"/>
  <c r="AB3" i="9"/>
  <c r="AC3" i="9"/>
  <c r="F4" i="9"/>
  <c r="C4" i="9"/>
  <c r="D3" i="7"/>
  <c r="Y4" i="9"/>
  <c r="E3" i="7"/>
  <c r="Z4" i="9"/>
  <c r="F3" i="7"/>
  <c r="AA4" i="9"/>
  <c r="AB4" i="9"/>
  <c r="AC4" i="9"/>
  <c r="F5" i="9"/>
  <c r="C5" i="9"/>
  <c r="Y5" i="9"/>
  <c r="Z5" i="9"/>
  <c r="AA5" i="9"/>
  <c r="AB5" i="9"/>
  <c r="AC5" i="9"/>
  <c r="F6" i="9"/>
  <c r="C6" i="9"/>
  <c r="D4" i="7"/>
  <c r="Y6" i="9"/>
  <c r="E4" i="7"/>
  <c r="Z6" i="9"/>
  <c r="F4" i="7"/>
  <c r="AA6" i="9"/>
  <c r="AB6" i="9"/>
  <c r="AC6" i="9"/>
  <c r="F7" i="9"/>
  <c r="C7" i="9"/>
  <c r="Y7" i="9"/>
  <c r="Z7" i="9"/>
  <c r="AA7" i="9"/>
  <c r="AB7" i="9"/>
  <c r="AC7" i="9"/>
  <c r="F8" i="9"/>
  <c r="C8" i="9"/>
  <c r="Y8" i="9"/>
  <c r="Z8" i="9"/>
  <c r="AA8" i="9"/>
  <c r="AB8" i="9"/>
  <c r="AC8" i="9"/>
  <c r="F9" i="9"/>
  <c r="C9" i="9"/>
  <c r="D2" i="7"/>
  <c r="Y9" i="9"/>
  <c r="E2" i="7"/>
  <c r="Z9" i="9"/>
  <c r="F2" i="7"/>
  <c r="AA9" i="9"/>
  <c r="AB9" i="9"/>
  <c r="AC9" i="9"/>
  <c r="F10" i="9"/>
  <c r="C10" i="9"/>
  <c r="Y10" i="9"/>
  <c r="Z10" i="9"/>
  <c r="AA10" i="9"/>
  <c r="AB10" i="9"/>
  <c r="AC10" i="9"/>
  <c r="F11" i="9"/>
  <c r="C11" i="9"/>
  <c r="Y11" i="9"/>
  <c r="Z11" i="9"/>
  <c r="AA11" i="9"/>
  <c r="AB11" i="9"/>
  <c r="AC11" i="9"/>
  <c r="F12" i="9"/>
  <c r="C12" i="9"/>
  <c r="Y12" i="9"/>
  <c r="Z12" i="9"/>
  <c r="AA12" i="9"/>
  <c r="AB12" i="9"/>
  <c r="AC12" i="9"/>
  <c r="F13" i="9"/>
  <c r="C13" i="9"/>
  <c r="Y13" i="9"/>
  <c r="Z13" i="9"/>
  <c r="AA13" i="9"/>
  <c r="AB13" i="9"/>
  <c r="AC13" i="9"/>
  <c r="F14" i="9"/>
  <c r="C14" i="9"/>
  <c r="D6" i="7"/>
  <c r="Y14" i="9"/>
  <c r="E6" i="7"/>
  <c r="Z14" i="9"/>
  <c r="F6" i="7"/>
  <c r="AA14" i="9"/>
  <c r="AB14" i="9"/>
  <c r="AC14" i="9"/>
  <c r="F15" i="9"/>
  <c r="C15" i="9"/>
  <c r="Y15" i="9"/>
  <c r="Z15" i="9"/>
  <c r="AA15" i="9"/>
  <c r="AB15" i="9"/>
  <c r="AC15" i="9"/>
  <c r="F16" i="9"/>
  <c r="C16" i="9"/>
  <c r="Y16" i="9"/>
  <c r="Z16" i="9"/>
  <c r="AA16" i="9"/>
  <c r="AB16" i="9"/>
  <c r="AC16" i="9"/>
  <c r="F17" i="9"/>
  <c r="C17" i="9"/>
  <c r="Y17" i="9"/>
  <c r="Z17" i="9"/>
  <c r="AA17" i="9"/>
  <c r="AB17" i="9"/>
  <c r="AC17" i="9"/>
  <c r="F18" i="9"/>
  <c r="C18" i="9"/>
  <c r="Y18" i="9"/>
  <c r="Z18" i="9"/>
  <c r="AA18" i="9"/>
  <c r="AB18" i="9"/>
  <c r="AC18" i="9"/>
  <c r="F19" i="9"/>
  <c r="C19" i="9"/>
  <c r="Y19" i="9"/>
  <c r="Z19" i="9"/>
  <c r="AA19" i="9"/>
  <c r="AB19" i="9"/>
  <c r="AC19" i="9"/>
  <c r="F20" i="9"/>
  <c r="C20" i="9"/>
  <c r="Y20" i="9"/>
  <c r="Z20" i="9"/>
  <c r="AA20" i="9"/>
  <c r="AB20" i="9"/>
  <c r="AC20" i="9"/>
  <c r="F21" i="9"/>
  <c r="C21" i="9"/>
  <c r="Y21" i="9"/>
  <c r="Z21" i="9"/>
  <c r="AA21" i="9"/>
  <c r="AB21" i="9"/>
  <c r="AC21" i="9"/>
  <c r="F22" i="9"/>
  <c r="C22" i="9"/>
  <c r="Y22" i="9"/>
  <c r="Z22" i="9"/>
  <c r="AB22" i="9"/>
  <c r="AC22" i="9"/>
  <c r="F23" i="9"/>
  <c r="C23" i="9"/>
  <c r="Y23" i="9"/>
  <c r="Z23" i="9"/>
  <c r="AB23" i="9"/>
  <c r="AC23" i="9"/>
  <c r="F24" i="9"/>
  <c r="C24" i="9"/>
  <c r="Y24" i="9"/>
  <c r="Z24" i="9"/>
  <c r="AB24" i="9"/>
  <c r="AC24" i="9"/>
  <c r="F25" i="9"/>
  <c r="C25" i="9"/>
  <c r="Y25" i="9"/>
  <c r="Z25" i="9"/>
  <c r="AB25" i="9"/>
  <c r="AC25" i="9"/>
  <c r="F26" i="9"/>
  <c r="C26" i="9"/>
  <c r="Y26" i="9"/>
  <c r="Z26" i="9"/>
  <c r="AB26" i="9"/>
  <c r="AC26" i="9"/>
  <c r="F27" i="9"/>
  <c r="C27" i="9"/>
  <c r="Y27" i="9"/>
  <c r="Z27" i="9"/>
  <c r="AB27" i="9"/>
  <c r="AC27" i="9"/>
  <c r="F28" i="9"/>
  <c r="C28" i="9"/>
  <c r="Y28" i="9"/>
  <c r="Z28" i="9"/>
  <c r="AB28" i="9"/>
  <c r="AC28" i="9"/>
  <c r="F29" i="9"/>
  <c r="C29" i="9"/>
  <c r="Y29" i="9"/>
  <c r="Z29" i="9"/>
  <c r="AB29" i="9"/>
  <c r="AC29" i="9"/>
  <c r="F30" i="9"/>
  <c r="C30" i="9"/>
  <c r="Y30" i="9"/>
  <c r="Z30" i="9"/>
  <c r="AB30" i="9"/>
  <c r="AC30" i="9"/>
  <c r="F31" i="9"/>
  <c r="C31" i="9"/>
  <c r="Y31" i="9"/>
  <c r="Z31" i="9"/>
  <c r="AB31" i="9"/>
  <c r="AC31" i="9"/>
  <c r="F32" i="9"/>
  <c r="C32" i="9"/>
  <c r="Y32" i="9"/>
  <c r="Z32" i="9"/>
  <c r="AB32" i="9"/>
  <c r="AC32" i="9"/>
  <c r="F33" i="9"/>
  <c r="C33" i="9"/>
  <c r="Y33" i="9"/>
  <c r="Z33" i="9"/>
  <c r="AB33" i="9"/>
  <c r="AC33" i="9"/>
  <c r="F34" i="9"/>
  <c r="C34" i="9"/>
  <c r="Y34" i="9"/>
  <c r="Z34" i="9"/>
  <c r="AB34" i="9"/>
  <c r="AC34" i="9"/>
  <c r="F35" i="9"/>
  <c r="C35" i="9"/>
  <c r="Y35" i="9"/>
  <c r="Z35" i="9"/>
  <c r="AB35" i="9"/>
  <c r="AC35" i="9"/>
  <c r="F36" i="9"/>
  <c r="C36" i="9"/>
  <c r="Y36" i="9"/>
  <c r="Z36" i="9"/>
  <c r="AB36" i="9"/>
  <c r="AC36" i="9"/>
  <c r="F37" i="9"/>
  <c r="C37" i="9"/>
  <c r="Y37" i="9"/>
  <c r="Z37" i="9"/>
  <c r="AB37" i="9"/>
  <c r="AC37" i="9"/>
  <c r="F38" i="9"/>
  <c r="C38" i="9"/>
  <c r="Y38" i="9"/>
  <c r="Z38" i="9"/>
  <c r="AB38" i="9"/>
  <c r="AC38" i="9"/>
  <c r="F39" i="9"/>
  <c r="C39" i="9"/>
  <c r="Y39" i="9"/>
  <c r="Z39" i="9"/>
  <c r="AB39" i="9"/>
  <c r="AC39" i="9"/>
  <c r="F40" i="9"/>
  <c r="C40" i="9"/>
  <c r="Y40" i="9"/>
  <c r="Z40" i="9"/>
  <c r="AB40" i="9"/>
  <c r="AC40" i="9"/>
  <c r="F41" i="9"/>
  <c r="C41" i="9"/>
  <c r="Y41" i="9"/>
  <c r="Z41" i="9"/>
  <c r="AB41" i="9"/>
  <c r="AC41" i="9"/>
  <c r="F42" i="9"/>
  <c r="C42" i="9"/>
  <c r="Y42" i="9"/>
  <c r="Z42" i="9"/>
  <c r="AB42" i="9"/>
  <c r="AC42" i="9"/>
  <c r="F43" i="9"/>
  <c r="C43" i="9"/>
  <c r="Y43" i="9"/>
  <c r="Z43" i="9"/>
  <c r="AB43" i="9"/>
  <c r="AC43" i="9"/>
  <c r="F44" i="9"/>
  <c r="C44" i="9"/>
  <c r="Y44" i="9"/>
  <c r="Z44" i="9"/>
  <c r="AB44" i="9"/>
  <c r="AC44" i="9"/>
  <c r="F45" i="9"/>
  <c r="C45" i="9"/>
  <c r="Y45" i="9"/>
  <c r="Z45" i="9"/>
  <c r="AB45" i="9"/>
  <c r="AC45" i="9"/>
  <c r="F46" i="9"/>
  <c r="C46" i="9"/>
  <c r="Y46" i="9"/>
  <c r="Z46" i="9"/>
  <c r="AB46" i="9"/>
  <c r="AC46" i="9"/>
  <c r="F47" i="9"/>
  <c r="C47" i="9"/>
  <c r="Y47" i="9"/>
  <c r="Z47" i="9"/>
  <c r="AB47" i="9"/>
  <c r="AC47" i="9"/>
  <c r="F48" i="9"/>
  <c r="C48" i="9"/>
  <c r="Y48" i="9"/>
  <c r="Z48" i="9"/>
  <c r="AB48" i="9"/>
  <c r="AC48" i="9"/>
  <c r="F49" i="9"/>
  <c r="C49" i="9"/>
  <c r="Y49" i="9"/>
  <c r="Z49" i="9"/>
  <c r="AB49" i="9"/>
  <c r="AC49" i="9"/>
  <c r="F50" i="9"/>
  <c r="C50" i="9"/>
  <c r="Y50" i="9"/>
  <c r="Z50" i="9"/>
  <c r="AB50" i="9"/>
  <c r="AC50" i="9"/>
  <c r="F51" i="9"/>
  <c r="C51" i="9"/>
  <c r="Y51" i="9"/>
  <c r="Z51" i="9"/>
  <c r="AB51" i="9"/>
  <c r="AC51" i="9"/>
  <c r="F52" i="9"/>
  <c r="C52" i="9"/>
  <c r="Y52" i="9"/>
  <c r="Z52" i="9"/>
  <c r="AB52" i="9"/>
  <c r="AC52" i="9"/>
  <c r="F53" i="9"/>
  <c r="C53" i="9"/>
  <c r="Y53" i="9"/>
  <c r="Z53" i="9"/>
  <c r="AB53" i="9"/>
  <c r="AC53" i="9"/>
  <c r="F54" i="9"/>
  <c r="C54" i="9"/>
  <c r="Y54" i="9"/>
  <c r="Z54" i="9"/>
  <c r="AB54" i="9"/>
  <c r="AC54" i="9"/>
  <c r="F55" i="9"/>
  <c r="C55" i="9"/>
  <c r="Y55" i="9"/>
  <c r="Z55" i="9"/>
  <c r="AB55" i="9"/>
  <c r="AC55" i="9"/>
  <c r="F56" i="9"/>
  <c r="C56" i="9"/>
  <c r="Y56" i="9"/>
  <c r="Z56" i="9"/>
  <c r="AB56" i="9"/>
  <c r="AC56" i="9"/>
  <c r="F57" i="9"/>
  <c r="C57" i="9"/>
  <c r="Y57" i="9"/>
  <c r="Z57" i="9"/>
  <c r="AB57" i="9"/>
  <c r="AC57" i="9"/>
  <c r="F58" i="9"/>
  <c r="C58" i="9"/>
  <c r="Y58" i="9"/>
  <c r="Z58" i="9"/>
  <c r="AB58" i="9"/>
  <c r="AC58" i="9"/>
  <c r="F59" i="9"/>
  <c r="C59" i="9"/>
  <c r="Y59" i="9"/>
  <c r="Z59" i="9"/>
  <c r="AB59" i="9"/>
  <c r="AC59" i="9"/>
  <c r="F60" i="9"/>
  <c r="C60" i="9"/>
  <c r="Y60" i="9"/>
  <c r="Z60" i="9"/>
  <c r="AB60" i="9"/>
  <c r="AC60" i="9"/>
  <c r="F61" i="9"/>
  <c r="C61" i="9"/>
  <c r="Y61" i="9"/>
  <c r="Z61" i="9"/>
  <c r="AB61" i="9"/>
  <c r="AC61" i="9"/>
  <c r="F62" i="9"/>
  <c r="C62" i="9"/>
  <c r="Y62" i="9"/>
  <c r="Z62" i="9"/>
  <c r="AB62" i="9"/>
  <c r="AC62" i="9"/>
  <c r="F63" i="9"/>
  <c r="C63" i="9"/>
  <c r="Y63" i="9"/>
  <c r="Z63" i="9"/>
  <c r="AB63" i="9"/>
  <c r="AC63" i="9"/>
  <c r="F64" i="9"/>
  <c r="C64" i="9"/>
  <c r="Y64" i="9"/>
  <c r="Z64" i="9"/>
  <c r="AB64" i="9"/>
  <c r="AC64" i="9"/>
  <c r="F65" i="9"/>
  <c r="C65" i="9"/>
  <c r="Y65" i="9"/>
  <c r="Z65" i="9"/>
  <c r="AB65" i="9"/>
  <c r="AC65" i="9"/>
  <c r="F66" i="9"/>
  <c r="C66" i="9"/>
  <c r="Y66" i="9"/>
  <c r="Z66" i="9"/>
  <c r="AB66" i="9"/>
  <c r="AC66" i="9"/>
  <c r="F67" i="9"/>
  <c r="C67" i="9"/>
  <c r="Y67" i="9"/>
  <c r="Z67" i="9"/>
  <c r="AB67" i="9"/>
  <c r="AC67" i="9"/>
  <c r="F68" i="9"/>
  <c r="C68" i="9"/>
  <c r="Y68" i="9"/>
  <c r="Z68" i="9"/>
  <c r="AB68" i="9"/>
  <c r="AC68" i="9"/>
  <c r="F69" i="9"/>
  <c r="C69" i="9"/>
  <c r="Y69" i="9"/>
  <c r="Z69" i="9"/>
  <c r="AB69" i="9"/>
  <c r="AC69" i="9"/>
  <c r="F70" i="9"/>
  <c r="C70" i="9"/>
  <c r="Y70" i="9"/>
  <c r="Z70" i="9"/>
  <c r="AB70" i="9"/>
  <c r="AC70" i="9"/>
  <c r="F71" i="9"/>
  <c r="C71" i="9"/>
  <c r="Y71" i="9"/>
  <c r="Z71" i="9"/>
  <c r="AB71" i="9"/>
  <c r="AC71" i="9"/>
  <c r="F72" i="9"/>
  <c r="C72" i="9"/>
  <c r="Y72" i="9"/>
  <c r="Z72" i="9"/>
  <c r="AB72" i="9"/>
  <c r="AC72" i="9"/>
  <c r="F73" i="9"/>
  <c r="C73" i="9"/>
  <c r="Y73" i="9"/>
  <c r="Z73" i="9"/>
  <c r="AB73" i="9"/>
  <c r="AC73" i="9"/>
  <c r="F74" i="9"/>
  <c r="C74" i="9"/>
  <c r="Y74" i="9"/>
  <c r="Z74" i="9"/>
  <c r="AB74" i="9"/>
  <c r="AC74" i="9"/>
  <c r="F75" i="9"/>
  <c r="C75" i="9"/>
  <c r="Y75" i="9"/>
  <c r="Z75" i="9"/>
  <c r="AB75" i="9"/>
  <c r="AC75" i="9"/>
  <c r="F76" i="9"/>
  <c r="C76" i="9"/>
  <c r="Y76" i="9"/>
  <c r="Z76" i="9"/>
  <c r="AB76" i="9"/>
  <c r="AC76" i="9"/>
  <c r="F77" i="9"/>
  <c r="C77" i="9"/>
  <c r="Y77" i="9"/>
  <c r="Z77" i="9"/>
  <c r="AB77" i="9"/>
  <c r="AC77" i="9"/>
  <c r="F78" i="9"/>
  <c r="C78" i="9"/>
  <c r="Y78" i="9"/>
  <c r="Z78" i="9"/>
  <c r="AB78" i="9"/>
  <c r="AC78" i="9"/>
  <c r="F79" i="9"/>
  <c r="C79" i="9"/>
  <c r="Y79" i="9"/>
  <c r="Z79" i="9"/>
  <c r="AB79" i="9"/>
  <c r="AC79" i="9"/>
  <c r="F80" i="9"/>
  <c r="C80" i="9"/>
  <c r="Y80" i="9"/>
  <c r="Z80" i="9"/>
  <c r="AB80" i="9"/>
  <c r="AC80" i="9"/>
  <c r="F81" i="9"/>
  <c r="C81" i="9"/>
  <c r="Y81" i="9"/>
  <c r="Z81" i="9"/>
  <c r="AB81" i="9"/>
  <c r="AC81" i="9"/>
  <c r="F82" i="9"/>
  <c r="C82" i="9"/>
  <c r="Y82" i="9"/>
  <c r="Z82" i="9"/>
  <c r="AB82" i="9"/>
  <c r="AC82" i="9"/>
  <c r="F83" i="9"/>
  <c r="C83" i="9"/>
  <c r="Y83" i="9"/>
  <c r="Z83" i="9"/>
  <c r="AB83" i="9"/>
  <c r="AC83" i="9"/>
  <c r="F84" i="9"/>
  <c r="C84" i="9"/>
  <c r="Y84" i="9"/>
  <c r="Z84" i="9"/>
  <c r="AB84" i="9"/>
  <c r="AC84" i="9"/>
  <c r="F85" i="9"/>
  <c r="C85" i="9"/>
  <c r="Y85" i="9"/>
  <c r="Z85" i="9"/>
  <c r="AB85" i="9"/>
  <c r="AC85" i="9"/>
  <c r="F86" i="9"/>
  <c r="C86" i="9"/>
  <c r="Y86" i="9"/>
  <c r="Z86" i="9"/>
  <c r="AB86" i="9"/>
  <c r="AC86" i="9"/>
  <c r="F87" i="9"/>
  <c r="C87" i="9"/>
  <c r="Y87" i="9"/>
  <c r="Z87" i="9"/>
  <c r="AB87" i="9"/>
  <c r="AC87" i="9"/>
  <c r="F88" i="9"/>
  <c r="C88" i="9"/>
  <c r="Y88" i="9"/>
  <c r="Z88" i="9"/>
  <c r="AB88" i="9"/>
  <c r="AC88" i="9"/>
  <c r="F89" i="9"/>
  <c r="C89" i="9"/>
  <c r="Y89" i="9"/>
  <c r="Z89" i="9"/>
  <c r="AB89" i="9"/>
  <c r="AC89" i="9"/>
  <c r="F90" i="9"/>
  <c r="C90" i="9"/>
  <c r="Y90" i="9"/>
  <c r="Z90" i="9"/>
  <c r="AB90" i="9"/>
  <c r="AC90" i="9"/>
  <c r="F91" i="9"/>
  <c r="C91" i="9"/>
  <c r="Y91" i="9"/>
  <c r="Z91" i="9"/>
  <c r="AB91" i="9"/>
  <c r="AC91" i="9"/>
  <c r="F92" i="9"/>
  <c r="C92" i="9"/>
  <c r="Y92" i="9"/>
  <c r="Z92" i="9"/>
  <c r="AB92" i="9"/>
  <c r="AC92" i="9"/>
  <c r="F93" i="9"/>
  <c r="C93" i="9"/>
  <c r="Y93" i="9"/>
  <c r="Z93" i="9"/>
  <c r="AB93" i="9"/>
  <c r="AC93" i="9"/>
  <c r="F94" i="9"/>
  <c r="C94" i="9"/>
  <c r="Y94" i="9"/>
  <c r="Z94" i="9"/>
  <c r="AB94" i="9"/>
  <c r="AC94" i="9"/>
  <c r="F95" i="9"/>
  <c r="C95" i="9"/>
  <c r="Y95" i="9"/>
  <c r="Z95" i="9"/>
  <c r="AB95" i="9"/>
  <c r="AC95" i="9"/>
  <c r="F96" i="9"/>
  <c r="C96" i="9"/>
  <c r="Y96" i="9"/>
  <c r="Z96" i="9"/>
  <c r="AB96" i="9"/>
  <c r="AC96" i="9"/>
  <c r="F97" i="9"/>
  <c r="C97" i="9"/>
  <c r="Y97" i="9"/>
  <c r="Z97" i="9"/>
  <c r="AB97" i="9"/>
  <c r="AC97" i="9"/>
  <c r="F98" i="9"/>
  <c r="C98" i="9"/>
  <c r="Y98" i="9"/>
  <c r="Z98" i="9"/>
  <c r="AB98" i="9"/>
  <c r="AC98" i="9"/>
  <c r="F99" i="9"/>
  <c r="C99" i="9"/>
  <c r="Y99" i="9"/>
  <c r="Z99" i="9"/>
  <c r="AB99" i="9"/>
  <c r="AC99" i="9"/>
  <c r="F100" i="9"/>
  <c r="C100" i="9"/>
  <c r="Y100" i="9"/>
  <c r="Z100" i="9"/>
  <c r="AB100" i="9"/>
  <c r="AC100" i="9"/>
  <c r="F101" i="9"/>
  <c r="C101" i="9"/>
  <c r="Y101" i="9"/>
  <c r="Z101" i="9"/>
  <c r="AB101" i="9"/>
  <c r="AC101" i="9"/>
  <c r="F102" i="9"/>
  <c r="C102" i="9"/>
  <c r="Y102" i="9"/>
  <c r="Z102" i="9"/>
  <c r="AB102" i="9"/>
  <c r="AC102" i="9"/>
  <c r="F103" i="9"/>
  <c r="C103" i="9"/>
  <c r="Y103" i="9"/>
  <c r="Z103" i="9"/>
  <c r="AB103" i="9"/>
  <c r="AC103" i="9"/>
  <c r="F104" i="9"/>
  <c r="C104" i="9"/>
  <c r="Y104" i="9"/>
  <c r="Z104" i="9"/>
  <c r="AB104" i="9"/>
  <c r="AC104" i="9"/>
  <c r="F105" i="9"/>
  <c r="C105" i="9"/>
  <c r="Y105" i="9"/>
  <c r="Z105" i="9"/>
  <c r="AB105" i="9"/>
  <c r="AC105" i="9"/>
  <c r="F106" i="9"/>
  <c r="C106" i="9"/>
  <c r="Y106" i="9"/>
  <c r="Z106" i="9"/>
  <c r="AB106" i="9"/>
  <c r="AC106" i="9"/>
  <c r="F107" i="9"/>
  <c r="C107" i="9"/>
  <c r="Y107" i="9"/>
  <c r="Z107" i="9"/>
  <c r="AB107" i="9"/>
  <c r="AC107" i="9"/>
  <c r="F108" i="9"/>
  <c r="C108" i="9"/>
  <c r="Y108" i="9"/>
  <c r="Z108" i="9"/>
  <c r="AB108" i="9"/>
  <c r="AC108" i="9"/>
  <c r="F109" i="9"/>
  <c r="C109" i="9"/>
  <c r="Y109" i="9"/>
  <c r="Z109" i="9"/>
  <c r="AB109" i="9"/>
  <c r="AC109" i="9"/>
  <c r="F110" i="9"/>
  <c r="C110" i="9"/>
  <c r="Y110" i="9"/>
  <c r="Z110" i="9"/>
  <c r="AB110" i="9"/>
  <c r="AC110" i="9"/>
  <c r="F111" i="9"/>
  <c r="C111" i="9"/>
  <c r="Y111" i="9"/>
  <c r="Z111" i="9"/>
  <c r="AB111" i="9"/>
  <c r="AC111" i="9"/>
  <c r="F112" i="9"/>
  <c r="C112" i="9"/>
  <c r="Y112" i="9"/>
  <c r="Z112" i="9"/>
  <c r="AB112" i="9"/>
  <c r="AC112" i="9"/>
  <c r="F113" i="9"/>
  <c r="C113" i="9"/>
  <c r="Y113" i="9"/>
  <c r="Z113" i="9"/>
  <c r="AB113" i="9"/>
  <c r="AC113" i="9"/>
  <c r="F114" i="9"/>
  <c r="C114" i="9"/>
  <c r="Y114" i="9"/>
  <c r="Z114" i="9"/>
  <c r="AB114" i="9"/>
  <c r="AC114" i="9"/>
  <c r="F115" i="9"/>
  <c r="C115" i="9"/>
  <c r="Y115" i="9"/>
  <c r="Z115" i="9"/>
  <c r="AB115" i="9"/>
  <c r="AC115" i="9"/>
  <c r="F116" i="9"/>
  <c r="C116" i="9"/>
  <c r="Y116" i="9"/>
  <c r="Z116" i="9"/>
  <c r="AB116" i="9"/>
  <c r="AC116" i="9"/>
  <c r="F117" i="9"/>
  <c r="C117" i="9"/>
  <c r="Y117" i="9"/>
  <c r="Z117" i="9"/>
  <c r="AB117" i="9"/>
  <c r="AC117" i="9"/>
  <c r="F118" i="9"/>
  <c r="C118" i="9"/>
  <c r="Y118" i="9"/>
  <c r="Z118" i="9"/>
  <c r="AB118" i="9"/>
  <c r="AC118" i="9"/>
  <c r="F119" i="9"/>
  <c r="C119" i="9"/>
  <c r="Y119" i="9"/>
  <c r="Z119" i="9"/>
  <c r="AB119" i="9"/>
  <c r="AC119" i="9"/>
  <c r="F120" i="9"/>
  <c r="C120" i="9"/>
  <c r="Y120" i="9"/>
  <c r="Z120" i="9"/>
  <c r="AB120" i="9"/>
  <c r="AC120" i="9"/>
  <c r="F121" i="9"/>
  <c r="C121" i="9"/>
  <c r="Y121" i="9"/>
  <c r="Z121" i="9"/>
  <c r="AB121" i="9"/>
  <c r="AC121" i="9"/>
  <c r="F122" i="9"/>
  <c r="C122" i="9"/>
  <c r="Y122" i="9"/>
  <c r="Z122" i="9"/>
  <c r="AB122" i="9"/>
  <c r="AC122" i="9"/>
  <c r="F123" i="9"/>
  <c r="C123" i="9"/>
  <c r="Y123" i="9"/>
  <c r="Z123" i="9"/>
  <c r="AB123" i="9"/>
  <c r="AC123" i="9"/>
  <c r="F124" i="9"/>
  <c r="C124" i="9"/>
  <c r="Y124" i="9"/>
  <c r="Z124" i="9"/>
  <c r="AB124" i="9"/>
  <c r="AC124" i="9"/>
  <c r="F125" i="9"/>
  <c r="C125" i="9"/>
  <c r="Y125" i="9"/>
  <c r="Z125" i="9"/>
  <c r="AB125" i="9"/>
  <c r="AC125" i="9"/>
  <c r="F126" i="9"/>
  <c r="C126" i="9"/>
  <c r="Y126" i="9"/>
  <c r="Z126" i="9"/>
  <c r="AB126" i="9"/>
  <c r="AC126" i="9"/>
  <c r="F127" i="9"/>
  <c r="C127" i="9"/>
  <c r="Y127" i="9"/>
  <c r="Z127" i="9"/>
  <c r="AB127" i="9"/>
  <c r="AC127" i="9"/>
  <c r="F128" i="9"/>
  <c r="C128" i="9"/>
  <c r="Y128" i="9"/>
  <c r="Z128" i="9"/>
  <c r="AB128" i="9"/>
  <c r="AC128" i="9"/>
  <c r="F129" i="9"/>
  <c r="C129" i="9"/>
  <c r="Y129" i="9"/>
  <c r="Z129" i="9"/>
  <c r="AB129" i="9"/>
  <c r="AC129" i="9"/>
  <c r="F130" i="9"/>
  <c r="C130" i="9"/>
  <c r="Y130" i="9"/>
  <c r="Z130" i="9"/>
  <c r="AB130" i="9"/>
  <c r="AC130" i="9"/>
  <c r="F131" i="9"/>
  <c r="C131" i="9"/>
  <c r="Y131" i="9"/>
  <c r="Z131" i="9"/>
  <c r="AB131" i="9"/>
  <c r="AC131" i="9"/>
  <c r="F132" i="9"/>
  <c r="C132" i="9"/>
  <c r="Y132" i="9"/>
  <c r="Z132" i="9"/>
  <c r="AB132" i="9"/>
  <c r="AC132" i="9"/>
  <c r="F133" i="9"/>
  <c r="C133" i="9"/>
  <c r="Y133" i="9"/>
  <c r="Z133" i="9"/>
  <c r="AB133" i="9"/>
  <c r="AC133" i="9"/>
  <c r="F134" i="9"/>
  <c r="C134" i="9"/>
  <c r="Y134" i="9"/>
  <c r="Z134" i="9"/>
  <c r="AB134" i="9"/>
  <c r="AC134" i="9"/>
  <c r="F135" i="9"/>
  <c r="C135" i="9"/>
  <c r="Y135" i="9"/>
  <c r="Z135" i="9"/>
  <c r="AB135" i="9"/>
  <c r="AC135" i="9"/>
  <c r="F136" i="9"/>
  <c r="C136" i="9"/>
  <c r="Y136" i="9"/>
  <c r="Z136" i="9"/>
  <c r="AB136" i="9"/>
  <c r="AC136" i="9"/>
  <c r="F137" i="9"/>
  <c r="C137" i="9"/>
  <c r="Y137" i="9"/>
  <c r="Z137" i="9"/>
  <c r="AB137" i="9"/>
  <c r="AC137" i="9"/>
  <c r="F138" i="9"/>
  <c r="C138" i="9"/>
  <c r="Y138" i="9"/>
  <c r="Z138" i="9"/>
  <c r="AB138" i="9"/>
  <c r="AC138" i="9"/>
  <c r="F139" i="9"/>
  <c r="C139" i="9"/>
  <c r="Y139" i="9"/>
  <c r="Z139" i="9"/>
  <c r="AB139" i="9"/>
  <c r="AC139" i="9"/>
  <c r="F140" i="9"/>
  <c r="C140" i="9"/>
  <c r="Y140" i="9"/>
  <c r="Z140" i="9"/>
  <c r="AB140" i="9"/>
  <c r="AC140" i="9"/>
  <c r="F141" i="9"/>
  <c r="C141" i="9"/>
  <c r="Y141" i="9"/>
  <c r="Z141" i="9"/>
  <c r="AB141" i="9"/>
  <c r="AC141" i="9"/>
  <c r="F142" i="9"/>
  <c r="C142" i="9"/>
  <c r="Y142" i="9"/>
  <c r="Z142" i="9"/>
  <c r="AB142" i="9"/>
  <c r="AC142" i="9"/>
  <c r="F143" i="9"/>
  <c r="C143" i="9"/>
  <c r="Y143" i="9"/>
  <c r="Z143" i="9"/>
  <c r="AB143" i="9"/>
  <c r="AC143" i="9"/>
  <c r="F144" i="9"/>
  <c r="C144" i="9"/>
  <c r="Y144" i="9"/>
  <c r="Z144" i="9"/>
  <c r="AB144" i="9"/>
  <c r="AC144" i="9"/>
  <c r="F145" i="9"/>
  <c r="C145" i="9"/>
  <c r="Y145" i="9"/>
  <c r="Z145" i="9"/>
  <c r="AB145" i="9"/>
  <c r="AC145" i="9"/>
  <c r="F146" i="9"/>
  <c r="C146" i="9"/>
  <c r="Y146" i="9"/>
  <c r="Z146" i="9"/>
  <c r="AB146" i="9"/>
  <c r="AC146" i="9"/>
  <c r="F147" i="9"/>
  <c r="C147" i="9"/>
  <c r="Y147" i="9"/>
  <c r="Z147" i="9"/>
  <c r="AB147" i="9"/>
  <c r="AC147" i="9"/>
  <c r="F148" i="9"/>
  <c r="C148" i="9"/>
  <c r="Y148" i="9"/>
  <c r="Z148" i="9"/>
  <c r="AB148" i="9"/>
  <c r="AC148" i="9"/>
  <c r="F149" i="9"/>
  <c r="C149" i="9"/>
  <c r="Y149" i="9"/>
  <c r="Z149" i="9"/>
  <c r="AB149" i="9"/>
  <c r="AC149" i="9"/>
  <c r="F150" i="9"/>
  <c r="C150" i="9"/>
  <c r="Y150" i="9"/>
  <c r="Z150" i="9"/>
  <c r="AB150" i="9"/>
  <c r="AC150" i="9"/>
  <c r="F151" i="9"/>
  <c r="C151" i="9"/>
  <c r="Y151" i="9"/>
  <c r="Z151" i="9"/>
  <c r="AB151" i="9"/>
  <c r="AC151" i="9"/>
  <c r="F152" i="9"/>
  <c r="C152" i="9"/>
  <c r="Y152" i="9"/>
  <c r="Z152" i="9"/>
  <c r="AB152" i="9"/>
  <c r="AC152" i="9"/>
  <c r="F153" i="9"/>
  <c r="C153" i="9"/>
  <c r="Y153" i="9"/>
  <c r="Z153" i="9"/>
  <c r="AB153" i="9"/>
  <c r="AC153" i="9"/>
  <c r="F154" i="9"/>
  <c r="C154" i="9"/>
  <c r="Y154" i="9"/>
  <c r="Z154" i="9"/>
  <c r="AB154" i="9"/>
  <c r="AC154" i="9"/>
  <c r="F155" i="9"/>
  <c r="C155" i="9"/>
  <c r="Y155" i="9"/>
  <c r="Z155" i="9"/>
  <c r="AB155" i="9"/>
  <c r="AC155" i="9"/>
  <c r="F156" i="9"/>
  <c r="C156" i="9"/>
  <c r="Y156" i="9"/>
  <c r="Z156" i="9"/>
  <c r="AB156" i="9"/>
  <c r="AC156" i="9"/>
  <c r="F157" i="9"/>
  <c r="C157" i="9"/>
  <c r="Y157" i="9"/>
  <c r="Z157" i="9"/>
  <c r="AB157" i="9"/>
  <c r="AC157" i="9"/>
  <c r="F158" i="9"/>
  <c r="C158" i="9"/>
  <c r="Y158" i="9"/>
  <c r="Z158" i="9"/>
  <c r="AB158" i="9"/>
  <c r="AC158" i="9"/>
  <c r="F159" i="9"/>
  <c r="C159" i="9"/>
  <c r="Y159" i="9"/>
  <c r="Z159" i="9"/>
  <c r="AB159" i="9"/>
  <c r="AC159" i="9"/>
  <c r="F160" i="9"/>
  <c r="C160" i="9"/>
  <c r="Y160" i="9"/>
  <c r="Z160" i="9"/>
  <c r="AB160" i="9"/>
  <c r="AC160" i="9"/>
  <c r="F161" i="9"/>
  <c r="C161" i="9"/>
  <c r="Y161" i="9"/>
  <c r="Z161" i="9"/>
  <c r="AB161" i="9"/>
  <c r="AC161" i="9"/>
  <c r="F162" i="9"/>
  <c r="C162" i="9"/>
  <c r="Y162" i="9"/>
  <c r="Z162" i="9"/>
  <c r="AB162" i="9"/>
  <c r="AC162" i="9"/>
  <c r="F163" i="9"/>
  <c r="C163" i="9"/>
  <c r="Y163" i="9"/>
  <c r="Z163" i="9"/>
  <c r="AB163" i="9"/>
  <c r="AC163" i="9"/>
  <c r="F164" i="9"/>
  <c r="C164" i="9"/>
  <c r="Y164" i="9"/>
  <c r="Z164" i="9"/>
  <c r="AB164" i="9"/>
  <c r="AC164" i="9"/>
  <c r="F165" i="9"/>
  <c r="C165" i="9"/>
  <c r="Y165" i="9"/>
  <c r="Z165" i="9"/>
  <c r="AB165" i="9"/>
  <c r="AC165" i="9"/>
  <c r="F166" i="9"/>
  <c r="C166" i="9"/>
  <c r="Y166" i="9"/>
  <c r="Z166" i="9"/>
  <c r="AB166" i="9"/>
  <c r="AC166" i="9"/>
  <c r="F167" i="9"/>
  <c r="C167" i="9"/>
  <c r="Y167" i="9"/>
  <c r="Z167" i="9"/>
  <c r="AB167" i="9"/>
  <c r="AC167" i="9"/>
  <c r="F168" i="9"/>
  <c r="C168" i="9"/>
  <c r="Y168" i="9"/>
  <c r="Z168" i="9"/>
  <c r="AB168" i="9"/>
  <c r="AC168" i="9"/>
  <c r="F169" i="9"/>
  <c r="C169" i="9"/>
  <c r="Y169" i="9"/>
  <c r="Z169" i="9"/>
  <c r="AB169" i="9"/>
  <c r="AC169" i="9"/>
  <c r="F170" i="9"/>
  <c r="C170" i="9"/>
  <c r="Y170" i="9"/>
  <c r="Z170" i="9"/>
  <c r="AB170" i="9"/>
  <c r="AC170" i="9"/>
  <c r="F171" i="9"/>
  <c r="C171" i="9"/>
  <c r="Y171" i="9"/>
  <c r="Z171" i="9"/>
  <c r="AB171" i="9"/>
  <c r="AC171" i="9"/>
  <c r="F172" i="9"/>
  <c r="C172" i="9"/>
  <c r="Y172" i="9"/>
  <c r="Z172" i="9"/>
  <c r="AB172" i="9"/>
  <c r="AC172" i="9"/>
  <c r="F173" i="9"/>
  <c r="C173" i="9"/>
  <c r="Y173" i="9"/>
  <c r="Z173" i="9"/>
  <c r="AB173" i="9"/>
  <c r="AC173" i="9"/>
  <c r="F174" i="9"/>
  <c r="C174" i="9"/>
  <c r="Y174" i="9"/>
  <c r="Z174" i="9"/>
  <c r="AB174" i="9"/>
  <c r="AC174" i="9"/>
  <c r="F175" i="9"/>
  <c r="C175" i="9"/>
  <c r="Y175" i="9"/>
  <c r="Z175" i="9"/>
  <c r="AB175" i="9"/>
  <c r="AC175" i="9"/>
  <c r="F176" i="9"/>
  <c r="C176" i="9"/>
  <c r="Y176" i="9"/>
  <c r="Z176" i="9"/>
  <c r="AB176" i="9"/>
  <c r="AC176" i="9"/>
  <c r="F177" i="9"/>
  <c r="C177" i="9"/>
  <c r="Y177" i="9"/>
  <c r="Z177" i="9"/>
  <c r="AB177" i="9"/>
  <c r="AC177" i="9"/>
  <c r="F178" i="9"/>
  <c r="C178" i="9"/>
  <c r="Y178" i="9"/>
  <c r="Z178" i="9"/>
  <c r="AB178" i="9"/>
  <c r="AC178" i="9"/>
  <c r="F179" i="9"/>
  <c r="C179" i="9"/>
  <c r="Y179" i="9"/>
  <c r="Z179" i="9"/>
  <c r="AB179" i="9"/>
  <c r="AC179" i="9"/>
  <c r="F180" i="9"/>
  <c r="C180" i="9"/>
  <c r="Y180" i="9"/>
  <c r="Z180" i="9"/>
  <c r="AB180" i="9"/>
  <c r="AC180" i="9"/>
  <c r="F181" i="9"/>
  <c r="C181" i="9"/>
  <c r="Y181" i="9"/>
  <c r="Z181" i="9"/>
  <c r="AB181" i="9"/>
  <c r="AC181" i="9"/>
  <c r="F182" i="9"/>
  <c r="C182" i="9"/>
  <c r="Y182" i="9"/>
  <c r="Z182" i="9"/>
  <c r="AB182" i="9"/>
  <c r="AC182" i="9"/>
  <c r="F183" i="9"/>
  <c r="C183" i="9"/>
  <c r="Y183" i="9"/>
  <c r="Z183" i="9"/>
  <c r="AB183" i="9"/>
  <c r="AC183" i="9"/>
  <c r="F184" i="9"/>
  <c r="C184" i="9"/>
  <c r="Y184" i="9"/>
  <c r="Z184" i="9"/>
  <c r="AB184" i="9"/>
  <c r="AC184" i="9"/>
  <c r="F185" i="9"/>
  <c r="C185" i="9"/>
  <c r="Y185" i="9"/>
  <c r="Z185" i="9"/>
  <c r="AB185" i="9"/>
  <c r="AC185" i="9"/>
  <c r="F186" i="9"/>
  <c r="C186" i="9"/>
  <c r="Y186" i="9"/>
  <c r="Z186" i="9"/>
  <c r="AB186" i="9"/>
  <c r="AC186" i="9"/>
  <c r="F187" i="9"/>
  <c r="C187" i="9"/>
  <c r="Y187" i="9"/>
  <c r="Z187" i="9"/>
  <c r="AB187" i="9"/>
  <c r="AC187" i="9"/>
  <c r="F188" i="9"/>
  <c r="C188" i="9"/>
  <c r="Y188" i="9"/>
  <c r="Z188" i="9"/>
  <c r="AB188" i="9"/>
  <c r="AC188" i="9"/>
  <c r="F189" i="9"/>
  <c r="C189" i="9"/>
  <c r="Y189" i="9"/>
  <c r="Z189" i="9"/>
  <c r="AB189" i="9"/>
  <c r="AC189" i="9"/>
  <c r="F190" i="9"/>
  <c r="C190" i="9"/>
  <c r="Y190" i="9"/>
  <c r="Z190" i="9"/>
  <c r="AB190" i="9"/>
  <c r="AC190" i="9"/>
  <c r="F191" i="9"/>
  <c r="C191" i="9"/>
  <c r="Y191" i="9"/>
  <c r="Z191" i="9"/>
  <c r="AB191" i="9"/>
  <c r="AC191" i="9"/>
  <c r="F192" i="9"/>
  <c r="C192" i="9"/>
  <c r="Y192" i="9"/>
  <c r="Z192" i="9"/>
  <c r="AB192" i="9"/>
  <c r="AC192" i="9"/>
  <c r="F193" i="9"/>
  <c r="C193" i="9"/>
  <c r="Y193" i="9"/>
  <c r="Z193" i="9"/>
  <c r="AB193" i="9"/>
  <c r="AC193" i="9"/>
  <c r="F194" i="9"/>
  <c r="C194" i="9"/>
  <c r="Y194" i="9"/>
  <c r="Z194" i="9"/>
  <c r="AB194" i="9"/>
  <c r="AC194" i="9"/>
  <c r="F195" i="9"/>
  <c r="C195" i="9"/>
  <c r="Y195" i="9"/>
  <c r="Z195" i="9"/>
  <c r="AB195" i="9"/>
  <c r="AC195" i="9"/>
  <c r="F196" i="9"/>
  <c r="C196" i="9"/>
  <c r="Y196" i="9"/>
  <c r="Z196" i="9"/>
  <c r="AB196" i="9"/>
  <c r="AC196" i="9"/>
  <c r="F197" i="9"/>
  <c r="C197" i="9"/>
  <c r="Y197" i="9"/>
  <c r="Z197" i="9"/>
  <c r="AB197" i="9"/>
  <c r="AC197" i="9"/>
  <c r="F198" i="9"/>
  <c r="C198" i="9"/>
  <c r="Y198" i="9"/>
  <c r="Z198" i="9"/>
  <c r="AB198" i="9"/>
  <c r="AC198" i="9"/>
  <c r="F199" i="9"/>
  <c r="C199" i="9"/>
  <c r="Y199" i="9"/>
  <c r="Z199" i="9"/>
  <c r="AB199" i="9"/>
  <c r="AC199" i="9"/>
  <c r="F200" i="9"/>
  <c r="C200" i="9"/>
  <c r="Y200" i="9"/>
  <c r="Z200" i="9"/>
  <c r="AB200" i="9"/>
  <c r="AC200" i="9"/>
  <c r="F201" i="9"/>
  <c r="C201" i="9"/>
  <c r="Y201" i="9"/>
  <c r="Z201" i="9"/>
  <c r="AB201" i="9"/>
  <c r="AC201" i="9"/>
  <c r="F202" i="9"/>
  <c r="C202" i="9"/>
  <c r="Y202" i="9"/>
  <c r="Z202" i="9"/>
  <c r="AB202" i="9"/>
  <c r="AC202" i="9"/>
  <c r="F203" i="9"/>
  <c r="C203" i="9"/>
  <c r="Y203" i="9"/>
  <c r="Z203" i="9"/>
  <c r="AB203" i="9"/>
  <c r="AC203" i="9"/>
  <c r="F204" i="9"/>
  <c r="C204" i="9"/>
  <c r="Y204" i="9"/>
  <c r="Z204" i="9"/>
  <c r="AB204" i="9"/>
  <c r="AC204" i="9"/>
  <c r="F205" i="9"/>
  <c r="C205" i="9"/>
  <c r="Y205" i="9"/>
  <c r="Z205" i="9"/>
  <c r="AB205" i="9"/>
  <c r="AC205" i="9"/>
  <c r="F206" i="9"/>
  <c r="C206" i="9"/>
  <c r="Y206" i="9"/>
  <c r="Z206" i="9"/>
  <c r="AB206" i="9"/>
  <c r="AC206" i="9"/>
  <c r="F207" i="9"/>
  <c r="C207" i="9"/>
  <c r="Y207" i="9"/>
  <c r="Z207" i="9"/>
  <c r="AB207" i="9"/>
  <c r="AC207" i="9"/>
  <c r="F208" i="9"/>
  <c r="C208" i="9"/>
  <c r="Y208" i="9"/>
  <c r="Z208" i="9"/>
  <c r="AB208" i="9"/>
  <c r="AC208" i="9"/>
  <c r="F209" i="9"/>
  <c r="C209" i="9"/>
  <c r="Y209" i="9"/>
  <c r="Z209" i="9"/>
  <c r="AB209" i="9"/>
  <c r="AC209" i="9"/>
  <c r="F210" i="9"/>
  <c r="C210" i="9"/>
  <c r="Y210" i="9"/>
  <c r="Z210" i="9"/>
  <c r="AB210" i="9"/>
  <c r="AC210" i="9"/>
  <c r="F211" i="9"/>
  <c r="C211" i="9"/>
  <c r="Y211" i="9"/>
  <c r="Z211" i="9"/>
  <c r="AB211" i="9"/>
  <c r="AC211" i="9"/>
  <c r="F212" i="9"/>
  <c r="C212" i="9"/>
  <c r="Y212" i="9"/>
  <c r="Z212" i="9"/>
  <c r="AB212" i="9"/>
  <c r="AC212" i="9"/>
  <c r="F213" i="9"/>
  <c r="C213" i="9"/>
  <c r="Y213" i="9"/>
  <c r="Z213" i="9"/>
  <c r="AB213" i="9"/>
  <c r="AC213" i="9"/>
  <c r="F214" i="9"/>
  <c r="C214" i="9"/>
  <c r="Y214" i="9"/>
  <c r="Z214" i="9"/>
  <c r="AB214" i="9"/>
  <c r="AC214" i="9"/>
  <c r="F215" i="9"/>
  <c r="C215" i="9"/>
  <c r="Y215" i="9"/>
  <c r="Z215" i="9"/>
  <c r="AB215" i="9"/>
  <c r="AC215" i="9"/>
  <c r="F216" i="9"/>
  <c r="C216" i="9"/>
  <c r="Y216" i="9"/>
  <c r="Z216" i="9"/>
  <c r="AB216" i="9"/>
  <c r="AC216" i="9"/>
  <c r="F217" i="9"/>
  <c r="C217" i="9"/>
  <c r="Y217" i="9"/>
  <c r="Z217" i="9"/>
  <c r="AB217" i="9"/>
  <c r="AC217" i="9"/>
  <c r="F218" i="9"/>
  <c r="C218" i="9"/>
  <c r="Y218" i="9"/>
  <c r="Z218" i="9"/>
  <c r="AB218" i="9"/>
  <c r="AC218" i="9"/>
  <c r="F219" i="9"/>
  <c r="C219" i="9"/>
  <c r="Y219" i="9"/>
  <c r="Z219" i="9"/>
  <c r="AB219" i="9"/>
  <c r="AC219" i="9"/>
  <c r="F220" i="9"/>
  <c r="C220" i="9"/>
  <c r="Y220" i="9"/>
  <c r="Z220" i="9"/>
  <c r="AB220" i="9"/>
  <c r="AC220" i="9"/>
  <c r="F221" i="9"/>
  <c r="C221" i="9"/>
  <c r="Y221" i="9"/>
  <c r="Z221" i="9"/>
  <c r="AB221" i="9"/>
  <c r="AC221" i="9"/>
  <c r="F222" i="9"/>
  <c r="C222" i="9"/>
  <c r="Y222" i="9"/>
  <c r="Z222" i="9"/>
  <c r="AB222" i="9"/>
  <c r="AC222" i="9"/>
  <c r="F223" i="9"/>
  <c r="C223" i="9"/>
  <c r="Y223" i="9"/>
  <c r="Z223" i="9"/>
  <c r="AB223" i="9"/>
  <c r="AC223" i="9"/>
  <c r="F224" i="9"/>
  <c r="C224" i="9"/>
  <c r="Y224" i="9"/>
  <c r="Z224" i="9"/>
  <c r="AB224" i="9"/>
  <c r="AC224" i="9"/>
  <c r="F225" i="9"/>
  <c r="C225" i="9"/>
  <c r="Y225" i="9"/>
  <c r="Z225" i="9"/>
  <c r="AB225" i="9"/>
  <c r="AC225" i="9"/>
  <c r="F226" i="9"/>
  <c r="C226" i="9"/>
  <c r="Y226" i="9"/>
  <c r="Z226" i="9"/>
  <c r="AB226" i="9"/>
  <c r="AC226" i="9"/>
  <c r="F227" i="9"/>
  <c r="C227" i="9"/>
  <c r="Y227" i="9"/>
  <c r="Z227" i="9"/>
  <c r="AB227" i="9"/>
  <c r="AC227" i="9"/>
  <c r="F228" i="9"/>
  <c r="C228" i="9"/>
  <c r="Y228" i="9"/>
  <c r="Z228" i="9"/>
  <c r="AB228" i="9"/>
  <c r="AC228" i="9"/>
  <c r="F229" i="9"/>
  <c r="C229" i="9"/>
  <c r="Y229" i="9"/>
  <c r="Z229" i="9"/>
  <c r="AB229" i="9"/>
  <c r="AC229" i="9"/>
  <c r="F230" i="9"/>
  <c r="C230" i="9"/>
  <c r="Y230" i="9"/>
  <c r="Z230" i="9"/>
  <c r="AB230" i="9"/>
  <c r="AC230" i="9"/>
  <c r="F231" i="9"/>
  <c r="C231" i="9"/>
  <c r="Y231" i="9"/>
  <c r="Z231" i="9"/>
  <c r="AB231" i="9"/>
  <c r="AC231" i="9"/>
  <c r="F232" i="9"/>
  <c r="C232" i="9"/>
  <c r="Y232" i="9"/>
  <c r="Z232" i="9"/>
  <c r="AB232" i="9"/>
  <c r="AC232" i="9"/>
  <c r="F233" i="9"/>
  <c r="C233" i="9"/>
  <c r="Y233" i="9"/>
  <c r="Z233" i="9"/>
  <c r="AB233" i="9"/>
  <c r="AC233" i="9"/>
  <c r="F234" i="9"/>
  <c r="C234" i="9"/>
  <c r="Y234" i="9"/>
  <c r="Z234" i="9"/>
  <c r="AB234" i="9"/>
  <c r="AC234" i="9"/>
  <c r="F235" i="9"/>
  <c r="C235" i="9"/>
  <c r="Y235" i="9"/>
  <c r="Z235" i="9"/>
  <c r="AB235" i="9"/>
  <c r="AC235" i="9"/>
  <c r="F236" i="9"/>
  <c r="C236" i="9"/>
  <c r="Y236" i="9"/>
  <c r="Z236" i="9"/>
  <c r="AB236" i="9"/>
  <c r="AC236" i="9"/>
  <c r="F237" i="9"/>
  <c r="C237" i="9"/>
  <c r="Y237" i="9"/>
  <c r="Z237" i="9"/>
  <c r="AB237" i="9"/>
  <c r="AC237" i="9"/>
  <c r="F238" i="9"/>
  <c r="C238" i="9"/>
  <c r="Y238" i="9"/>
  <c r="Z238" i="9"/>
  <c r="AB238" i="9"/>
  <c r="AC238" i="9"/>
  <c r="F239" i="9"/>
  <c r="C239" i="9"/>
  <c r="Y239" i="9"/>
  <c r="Z239" i="9"/>
  <c r="AB239" i="9"/>
  <c r="AC239" i="9"/>
  <c r="F240" i="9"/>
  <c r="C240" i="9"/>
  <c r="Y240" i="9"/>
  <c r="Z240" i="9"/>
  <c r="AB240" i="9"/>
  <c r="AC240" i="9"/>
  <c r="F241" i="9"/>
  <c r="C241" i="9"/>
  <c r="Y241" i="9"/>
  <c r="Z241" i="9"/>
  <c r="AB241" i="9"/>
  <c r="AC241" i="9"/>
  <c r="F242" i="9"/>
  <c r="C242" i="9"/>
  <c r="Y242" i="9"/>
  <c r="Z242" i="9"/>
  <c r="AB242" i="9"/>
  <c r="AC242" i="9"/>
  <c r="F243" i="9"/>
  <c r="C243" i="9"/>
  <c r="Y243" i="9"/>
  <c r="Z243" i="9"/>
  <c r="AB243" i="9"/>
  <c r="AC243" i="9"/>
  <c r="F244" i="9"/>
  <c r="C244" i="9"/>
  <c r="Y244" i="9"/>
  <c r="Z244" i="9"/>
  <c r="AB244" i="9"/>
  <c r="AC244" i="9"/>
  <c r="F245" i="9"/>
  <c r="C245" i="9"/>
  <c r="Y245" i="9"/>
  <c r="Z245" i="9"/>
  <c r="AB245" i="9"/>
  <c r="AC245" i="9"/>
  <c r="F246" i="9"/>
  <c r="C246" i="9"/>
  <c r="Y246" i="9"/>
  <c r="Z246" i="9"/>
  <c r="AB246" i="9"/>
  <c r="AC246" i="9"/>
  <c r="F247" i="9"/>
  <c r="C247" i="9"/>
  <c r="Y247" i="9"/>
  <c r="Z247" i="9"/>
  <c r="AB247" i="9"/>
  <c r="AC247" i="9"/>
  <c r="F248" i="9"/>
  <c r="C248" i="9"/>
  <c r="Y248" i="9"/>
  <c r="Z248" i="9"/>
  <c r="AB248" i="9"/>
  <c r="AC248" i="9"/>
  <c r="F249" i="9"/>
  <c r="C249" i="9"/>
  <c r="Y249" i="9"/>
  <c r="Z249" i="9"/>
  <c r="AB249" i="9"/>
  <c r="AC249" i="9"/>
  <c r="F250" i="9"/>
  <c r="C250" i="9"/>
  <c r="Y250" i="9"/>
  <c r="Z250" i="9"/>
  <c r="AB250" i="9"/>
  <c r="AC250" i="9"/>
  <c r="F251" i="9"/>
  <c r="C251" i="9"/>
  <c r="Y251" i="9"/>
  <c r="Z251" i="9"/>
  <c r="AB251" i="9"/>
  <c r="AC251" i="9"/>
  <c r="F252" i="9"/>
  <c r="C252" i="9"/>
  <c r="Y252" i="9"/>
  <c r="Z252" i="9"/>
  <c r="AB252" i="9"/>
  <c r="AC252" i="9"/>
  <c r="F253" i="9"/>
  <c r="C253" i="9"/>
  <c r="Y253" i="9"/>
  <c r="Z253" i="9"/>
  <c r="AB253" i="9"/>
  <c r="AC253" i="9"/>
  <c r="F254" i="9"/>
  <c r="C254" i="9"/>
  <c r="Y254" i="9"/>
  <c r="Z254" i="9"/>
  <c r="AB254" i="9"/>
  <c r="AC254" i="9"/>
  <c r="F255" i="9"/>
  <c r="C255" i="9"/>
  <c r="Y255" i="9"/>
  <c r="Z255" i="9"/>
  <c r="AB255" i="9"/>
  <c r="AC255" i="9"/>
  <c r="F256" i="9"/>
  <c r="C256" i="9"/>
  <c r="Y256" i="9"/>
  <c r="Z256" i="9"/>
  <c r="AB256" i="9"/>
  <c r="AC256" i="9"/>
  <c r="F257" i="9"/>
  <c r="C257" i="9"/>
  <c r="Y257" i="9"/>
  <c r="Z257" i="9"/>
  <c r="AB257" i="9"/>
  <c r="AC257" i="9"/>
  <c r="F258" i="9"/>
  <c r="C258" i="9"/>
  <c r="Y258" i="9"/>
  <c r="Z258" i="9"/>
  <c r="AB258" i="9"/>
  <c r="AC258" i="9"/>
  <c r="F259" i="9"/>
  <c r="C259" i="9"/>
  <c r="Y259" i="9"/>
  <c r="Z259" i="9"/>
  <c r="AB259" i="9"/>
  <c r="AC259" i="9"/>
  <c r="F260" i="9"/>
  <c r="C260" i="9"/>
  <c r="Y260" i="9"/>
  <c r="Z260" i="9"/>
  <c r="AB260" i="9"/>
  <c r="AC260" i="9"/>
  <c r="F261" i="9"/>
  <c r="C261" i="9"/>
  <c r="Y261" i="9"/>
  <c r="Z261" i="9"/>
  <c r="AB261" i="9"/>
  <c r="AC261" i="9"/>
  <c r="F262" i="9"/>
  <c r="C262" i="9"/>
  <c r="Y262" i="9"/>
  <c r="Z262" i="9"/>
  <c r="AB262" i="9"/>
  <c r="AC262" i="9"/>
  <c r="F263" i="9"/>
  <c r="C263" i="9"/>
  <c r="Y263" i="9"/>
  <c r="Z263" i="9"/>
  <c r="AB263" i="9"/>
  <c r="AC263" i="9"/>
  <c r="F264" i="9"/>
  <c r="C264" i="9"/>
  <c r="Y264" i="9"/>
  <c r="Z264" i="9"/>
  <c r="AB264" i="9"/>
  <c r="AC264" i="9"/>
  <c r="F265" i="9"/>
  <c r="C265" i="9"/>
  <c r="Y265" i="9"/>
  <c r="Z265" i="9"/>
  <c r="AB265" i="9"/>
  <c r="AC265" i="9"/>
  <c r="F266" i="9"/>
  <c r="C266" i="9"/>
  <c r="Y266" i="9"/>
  <c r="Z266" i="9"/>
  <c r="AB266" i="9"/>
  <c r="AC266" i="9"/>
  <c r="F267" i="9"/>
  <c r="C267" i="9"/>
  <c r="Y267" i="9"/>
  <c r="Z267" i="9"/>
  <c r="AB267" i="9"/>
  <c r="AC267" i="9"/>
  <c r="F268" i="9"/>
  <c r="C268" i="9"/>
  <c r="Y268" i="9"/>
  <c r="Z268" i="9"/>
  <c r="AB268" i="9"/>
  <c r="AC268" i="9"/>
  <c r="F269" i="9"/>
  <c r="C269" i="9"/>
  <c r="Y269" i="9"/>
  <c r="Z269" i="9"/>
  <c r="AB269" i="9"/>
  <c r="AC269" i="9"/>
  <c r="F270" i="9"/>
  <c r="C270" i="9"/>
  <c r="Y270" i="9"/>
  <c r="Z270" i="9"/>
  <c r="AB270" i="9"/>
  <c r="AC270" i="9"/>
  <c r="F271" i="9"/>
  <c r="C271" i="9"/>
  <c r="Y271" i="9"/>
  <c r="Z271" i="9"/>
  <c r="AB271" i="9"/>
  <c r="AC271" i="9"/>
  <c r="F272" i="9"/>
  <c r="C272" i="9"/>
  <c r="Y272" i="9"/>
  <c r="Z272" i="9"/>
  <c r="AB272" i="9"/>
  <c r="AC272" i="9"/>
  <c r="F273" i="9"/>
  <c r="C273" i="9"/>
  <c r="Y273" i="9"/>
  <c r="Z273" i="9"/>
  <c r="AB273" i="9"/>
  <c r="AC273" i="9"/>
  <c r="F274" i="9"/>
  <c r="C274" i="9"/>
  <c r="Y274" i="9"/>
  <c r="Z274" i="9"/>
  <c r="AB274" i="9"/>
  <c r="AC274" i="9"/>
  <c r="F275" i="9"/>
  <c r="C275" i="9"/>
  <c r="Y275" i="9"/>
  <c r="Z275" i="9"/>
  <c r="AB275" i="9"/>
  <c r="AC275" i="9"/>
  <c r="F276" i="9"/>
  <c r="C276" i="9"/>
  <c r="Y276" i="9"/>
  <c r="Z276" i="9"/>
  <c r="AB276" i="9"/>
  <c r="AC276" i="9"/>
  <c r="F277" i="9"/>
  <c r="C277" i="9"/>
  <c r="Y277" i="9"/>
  <c r="Z277" i="9"/>
  <c r="AB277" i="9"/>
  <c r="AC277" i="9"/>
  <c r="F278" i="9"/>
  <c r="C278" i="9"/>
  <c r="Y278" i="9"/>
  <c r="Z278" i="9"/>
  <c r="AB278" i="9"/>
  <c r="AC278" i="9"/>
  <c r="F279" i="9"/>
  <c r="C279" i="9"/>
  <c r="Y279" i="9"/>
  <c r="Z279" i="9"/>
  <c r="AB279" i="9"/>
  <c r="AC279" i="9"/>
  <c r="F280" i="9"/>
  <c r="C280" i="9"/>
  <c r="Y280" i="9"/>
  <c r="Z280" i="9"/>
  <c r="AB280" i="9"/>
  <c r="AC280" i="9"/>
  <c r="F281" i="9"/>
  <c r="C281" i="9"/>
  <c r="Y281" i="9"/>
  <c r="Z281" i="9"/>
  <c r="AB281" i="9"/>
  <c r="AC281" i="9"/>
  <c r="F282" i="9"/>
  <c r="C282" i="9"/>
  <c r="Y282" i="9"/>
  <c r="Z282" i="9"/>
  <c r="AB282" i="9"/>
  <c r="AC282" i="9"/>
  <c r="F283" i="9"/>
  <c r="C283" i="9"/>
  <c r="Y283" i="9"/>
  <c r="Z283" i="9"/>
  <c r="AB283" i="9"/>
  <c r="AC283" i="9"/>
  <c r="F284" i="9"/>
  <c r="C284" i="9"/>
  <c r="Y284" i="9"/>
  <c r="Z284" i="9"/>
  <c r="AB284" i="9"/>
  <c r="AC284" i="9"/>
  <c r="F285" i="9"/>
  <c r="C285" i="9"/>
  <c r="Y285" i="9"/>
  <c r="Z285" i="9"/>
  <c r="AB285" i="9"/>
  <c r="AC285" i="9"/>
  <c r="F286" i="9"/>
  <c r="C286" i="9"/>
  <c r="Y286" i="9"/>
  <c r="Z286" i="9"/>
  <c r="AB286" i="9"/>
  <c r="AC286" i="9"/>
  <c r="F287" i="9"/>
  <c r="C287" i="9"/>
  <c r="Y287" i="9"/>
  <c r="Z287" i="9"/>
  <c r="AB287" i="9"/>
  <c r="AC287" i="9"/>
  <c r="F288" i="9"/>
  <c r="C288" i="9"/>
  <c r="Y288" i="9"/>
  <c r="Z288" i="9"/>
  <c r="AB288" i="9"/>
  <c r="AC288" i="9"/>
  <c r="F289" i="9"/>
  <c r="C289" i="9"/>
  <c r="Y289" i="9"/>
  <c r="Z289" i="9"/>
  <c r="AB289" i="9"/>
  <c r="AC289" i="9"/>
  <c r="F290" i="9"/>
  <c r="C290" i="9"/>
  <c r="Y290" i="9"/>
  <c r="Z290" i="9"/>
  <c r="AB290" i="9"/>
  <c r="AC290" i="9"/>
  <c r="F291" i="9"/>
  <c r="C291" i="9"/>
  <c r="Y291" i="9"/>
  <c r="Z291" i="9"/>
  <c r="AB291" i="9"/>
  <c r="AC291" i="9"/>
  <c r="F292" i="9"/>
  <c r="C292" i="9"/>
  <c r="Y292" i="9"/>
  <c r="Z292" i="9"/>
  <c r="AB292" i="9"/>
  <c r="AC292" i="9"/>
  <c r="F293" i="9"/>
  <c r="C293" i="9"/>
  <c r="Y293" i="9"/>
  <c r="Z293" i="9"/>
  <c r="AB293" i="9"/>
  <c r="AC293" i="9"/>
  <c r="F294" i="9"/>
  <c r="C294" i="9"/>
  <c r="Y294" i="9"/>
  <c r="Z294" i="9"/>
  <c r="AB294" i="9"/>
  <c r="AC294" i="9"/>
  <c r="F295" i="9"/>
  <c r="C295" i="9"/>
  <c r="Y295" i="9"/>
  <c r="Z295" i="9"/>
  <c r="AB295" i="9"/>
  <c r="AC295" i="9"/>
  <c r="F296" i="9"/>
  <c r="C296" i="9"/>
  <c r="Y296" i="9"/>
  <c r="Z296" i="9"/>
  <c r="AB296" i="9"/>
  <c r="AC296" i="9"/>
  <c r="F297" i="9"/>
  <c r="C297" i="9"/>
  <c r="Y297" i="9"/>
  <c r="Z297" i="9"/>
  <c r="AB297" i="9"/>
  <c r="AC297" i="9"/>
  <c r="F298" i="9"/>
  <c r="C298" i="9"/>
  <c r="Y298" i="9"/>
  <c r="Z298" i="9"/>
  <c r="AB298" i="9"/>
  <c r="AC298" i="9"/>
  <c r="F299" i="9"/>
  <c r="C299" i="9"/>
  <c r="Y299" i="9"/>
  <c r="Z299" i="9"/>
  <c r="AB299" i="9"/>
  <c r="AC299" i="9"/>
  <c r="F300" i="9"/>
  <c r="C300" i="9"/>
  <c r="Y300" i="9"/>
  <c r="Z300" i="9"/>
  <c r="AB300" i="9"/>
  <c r="AC300" i="9"/>
  <c r="F301" i="9"/>
  <c r="C301" i="9"/>
  <c r="Y301" i="9"/>
  <c r="Z301" i="9"/>
  <c r="AB301" i="9"/>
  <c r="AC301" i="9"/>
  <c r="F302" i="9"/>
  <c r="C302" i="9"/>
  <c r="Y302" i="9"/>
  <c r="Z302" i="9"/>
  <c r="AB302" i="9"/>
  <c r="AC302" i="9"/>
  <c r="F303" i="9"/>
  <c r="C303" i="9"/>
  <c r="Y303" i="9"/>
  <c r="Z303" i="9"/>
  <c r="AB303" i="9"/>
  <c r="AC303" i="9"/>
  <c r="F304" i="9"/>
  <c r="C304" i="9"/>
  <c r="Y304" i="9"/>
  <c r="Z304" i="9"/>
  <c r="AB304" i="9"/>
  <c r="AC304" i="9"/>
  <c r="F305" i="9"/>
  <c r="C305" i="9"/>
  <c r="Y305" i="9"/>
  <c r="Z305" i="9"/>
  <c r="AB305" i="9"/>
  <c r="AC305" i="9"/>
  <c r="F306" i="9"/>
  <c r="C306" i="9"/>
  <c r="Y306" i="9"/>
  <c r="Z306" i="9"/>
  <c r="AB306" i="9"/>
  <c r="AC306" i="9"/>
  <c r="F307" i="9"/>
  <c r="C307" i="9"/>
  <c r="Y307" i="9"/>
  <c r="Z307" i="9"/>
  <c r="AB307" i="9"/>
  <c r="AC307" i="9"/>
  <c r="F308" i="9"/>
  <c r="C308" i="9"/>
  <c r="Y308" i="9"/>
  <c r="Z308" i="9"/>
  <c r="AB308" i="9"/>
  <c r="AC308" i="9"/>
  <c r="F309" i="9"/>
  <c r="C309" i="9"/>
  <c r="Y309" i="9"/>
  <c r="Z309" i="9"/>
  <c r="AB309" i="9"/>
  <c r="AC309" i="9"/>
  <c r="F310" i="9"/>
  <c r="C310" i="9"/>
  <c r="Y310" i="9"/>
  <c r="Z310" i="9"/>
  <c r="AB310" i="9"/>
  <c r="AC310" i="9"/>
  <c r="F311" i="9"/>
  <c r="C311" i="9"/>
  <c r="Y311" i="9"/>
  <c r="Z311" i="9"/>
  <c r="AB311" i="9"/>
  <c r="AC311" i="9"/>
  <c r="F312" i="9"/>
  <c r="C312" i="9"/>
  <c r="Y312" i="9"/>
  <c r="Z312" i="9"/>
  <c r="AB312" i="9"/>
  <c r="AC312" i="9"/>
  <c r="F313" i="9"/>
  <c r="C313" i="9"/>
  <c r="Y313" i="9"/>
  <c r="Z313" i="9"/>
  <c r="AB313" i="9"/>
  <c r="AC313" i="9"/>
  <c r="F314" i="9"/>
  <c r="C314" i="9"/>
  <c r="Y314" i="9"/>
  <c r="Z314" i="9"/>
  <c r="AB314" i="9"/>
  <c r="AC314" i="9"/>
  <c r="F315" i="9"/>
  <c r="C315" i="9"/>
  <c r="Y315" i="9"/>
  <c r="Z315" i="9"/>
  <c r="AB315" i="9"/>
  <c r="AC315" i="9"/>
  <c r="F316" i="9"/>
  <c r="C316" i="9"/>
  <c r="Y316" i="9"/>
  <c r="Z316" i="9"/>
  <c r="AB316" i="9"/>
  <c r="AC316" i="9"/>
  <c r="F317" i="9"/>
  <c r="C317" i="9"/>
  <c r="Y317" i="9"/>
  <c r="Z317" i="9"/>
  <c r="AB317" i="9"/>
  <c r="AC317" i="9"/>
  <c r="F318" i="9"/>
  <c r="C318" i="9"/>
  <c r="Y318" i="9"/>
  <c r="Z318" i="9"/>
  <c r="AB318" i="9"/>
  <c r="AC318" i="9"/>
  <c r="F319" i="9"/>
  <c r="C319" i="9"/>
  <c r="Y319" i="9"/>
  <c r="Z319" i="9"/>
  <c r="AB319" i="9"/>
  <c r="AC319" i="9"/>
  <c r="F320" i="9"/>
  <c r="C320" i="9"/>
  <c r="Y320" i="9"/>
  <c r="Z320" i="9"/>
  <c r="AB320" i="9"/>
  <c r="AC320" i="9"/>
  <c r="F321" i="9"/>
  <c r="C321" i="9"/>
  <c r="Y321" i="9"/>
  <c r="Z321" i="9"/>
  <c r="AB321" i="9"/>
  <c r="AC321" i="9"/>
  <c r="F322" i="9"/>
  <c r="C322" i="9"/>
  <c r="Y322" i="9"/>
  <c r="Z322" i="9"/>
  <c r="AB322" i="9"/>
  <c r="AC322" i="9"/>
  <c r="F323" i="9"/>
  <c r="C323" i="9"/>
  <c r="Y323" i="9"/>
  <c r="Z323" i="9"/>
  <c r="AB323" i="9"/>
  <c r="AC323" i="9"/>
  <c r="F324" i="9"/>
  <c r="C324" i="9"/>
  <c r="Y324" i="9"/>
  <c r="Z324" i="9"/>
  <c r="AB324" i="9"/>
  <c r="AC324" i="9"/>
  <c r="F325" i="9"/>
  <c r="C325" i="9"/>
  <c r="Y325" i="9"/>
  <c r="Z325" i="9"/>
  <c r="AB325" i="9"/>
  <c r="AC325" i="9"/>
  <c r="F326" i="9"/>
  <c r="C326" i="9"/>
  <c r="Y326" i="9"/>
  <c r="Z326" i="9"/>
  <c r="AB326" i="9"/>
  <c r="AC326" i="9"/>
  <c r="F327" i="9"/>
  <c r="C327" i="9"/>
  <c r="Y327" i="9"/>
  <c r="Z327" i="9"/>
  <c r="AB327" i="9"/>
  <c r="AC327" i="9"/>
  <c r="F328" i="9"/>
  <c r="C328" i="9"/>
  <c r="Y328" i="9"/>
  <c r="Z328" i="9"/>
  <c r="AB328" i="9"/>
  <c r="AC328" i="9"/>
  <c r="F329" i="9"/>
  <c r="C329" i="9"/>
  <c r="Y329" i="9"/>
  <c r="Z329" i="9"/>
  <c r="AB329" i="9"/>
  <c r="AC329" i="9"/>
  <c r="F330" i="9"/>
  <c r="C330" i="9"/>
  <c r="Y330" i="9"/>
  <c r="Z330" i="9"/>
  <c r="AB330" i="9"/>
  <c r="AC330" i="9"/>
  <c r="F331" i="9"/>
  <c r="C331" i="9"/>
  <c r="Y331" i="9"/>
  <c r="Z331" i="9"/>
  <c r="AB331" i="9"/>
  <c r="AC331" i="9"/>
  <c r="F332" i="9"/>
  <c r="C332" i="9"/>
  <c r="Y332" i="9"/>
  <c r="Z332" i="9"/>
  <c r="AB332" i="9"/>
  <c r="AC332" i="9"/>
  <c r="F333" i="9"/>
  <c r="C333" i="9"/>
  <c r="Y333" i="9"/>
  <c r="Z333" i="9"/>
  <c r="AB333" i="9"/>
  <c r="AC333" i="9"/>
  <c r="F334" i="9"/>
  <c r="C334" i="9"/>
  <c r="Y334" i="9"/>
  <c r="Z334" i="9"/>
  <c r="AB334" i="9"/>
  <c r="AC334" i="9"/>
  <c r="F335" i="9"/>
  <c r="C335" i="9"/>
  <c r="Y335" i="9"/>
  <c r="Z335" i="9"/>
  <c r="AB335" i="9"/>
  <c r="AC335" i="9"/>
  <c r="F336" i="9"/>
  <c r="C336" i="9"/>
  <c r="Y336" i="9"/>
  <c r="Z336" i="9"/>
  <c r="AB336" i="9"/>
  <c r="AC336" i="9"/>
  <c r="F337" i="9"/>
  <c r="C337" i="9"/>
  <c r="Y337" i="9"/>
  <c r="Z337" i="9"/>
  <c r="AB337" i="9"/>
  <c r="AC337" i="9"/>
  <c r="F338" i="9"/>
  <c r="C338" i="9"/>
  <c r="Y338" i="9"/>
  <c r="Z338" i="9"/>
  <c r="AB338" i="9"/>
  <c r="AC338" i="9"/>
  <c r="F339" i="9"/>
  <c r="C339" i="9"/>
  <c r="Y339" i="9"/>
  <c r="Z339" i="9"/>
  <c r="AB339" i="9"/>
  <c r="AC339" i="9"/>
  <c r="F340" i="9"/>
  <c r="C340" i="9"/>
  <c r="Y340" i="9"/>
  <c r="Z340" i="9"/>
  <c r="AB340" i="9"/>
  <c r="AC340" i="9"/>
  <c r="F341" i="9"/>
  <c r="C341" i="9"/>
  <c r="Y341" i="9"/>
  <c r="Z341" i="9"/>
  <c r="AB341" i="9"/>
  <c r="AC341" i="9"/>
  <c r="F342" i="9"/>
  <c r="C342" i="9"/>
  <c r="Y342" i="9"/>
  <c r="Z342" i="9"/>
  <c r="AB342" i="9"/>
  <c r="AC342" i="9"/>
  <c r="F343" i="9"/>
  <c r="C343" i="9"/>
  <c r="Y343" i="9"/>
  <c r="Z343" i="9"/>
  <c r="AB343" i="9"/>
  <c r="AC343" i="9"/>
  <c r="F344" i="9"/>
  <c r="C344" i="9"/>
  <c r="Y344" i="9"/>
  <c r="Z344" i="9"/>
  <c r="AB344" i="9"/>
  <c r="AC344" i="9"/>
  <c r="F345" i="9"/>
  <c r="C345" i="9"/>
  <c r="Y345" i="9"/>
  <c r="Z345" i="9"/>
  <c r="AB345" i="9"/>
  <c r="AC345" i="9"/>
  <c r="F346" i="9"/>
  <c r="C346" i="9"/>
  <c r="Y346" i="9"/>
  <c r="Z346" i="9"/>
  <c r="AB346" i="9"/>
  <c r="AC346" i="9"/>
  <c r="F347" i="9"/>
  <c r="C347" i="9"/>
  <c r="Y347" i="9"/>
  <c r="Z347" i="9"/>
  <c r="AB347" i="9"/>
  <c r="AC347" i="9"/>
  <c r="F348" i="9"/>
  <c r="C348" i="9"/>
  <c r="Y348" i="9"/>
  <c r="Z348" i="9"/>
  <c r="AB348" i="9"/>
  <c r="AC348" i="9"/>
  <c r="F349" i="9"/>
  <c r="C349" i="9"/>
  <c r="Y349" i="9"/>
  <c r="Z349" i="9"/>
  <c r="AB349" i="9"/>
  <c r="AC349" i="9"/>
  <c r="F350" i="9"/>
  <c r="C350" i="9"/>
  <c r="Y350" i="9"/>
  <c r="Z350" i="9"/>
  <c r="AB350" i="9"/>
  <c r="AC350" i="9"/>
  <c r="F351" i="9"/>
  <c r="C351" i="9"/>
  <c r="Y351" i="9"/>
  <c r="Z351" i="9"/>
  <c r="AB351" i="9"/>
  <c r="AC351" i="9"/>
  <c r="F352" i="9"/>
  <c r="C352" i="9"/>
  <c r="Y352" i="9"/>
  <c r="Z352" i="9"/>
  <c r="AB352" i="9"/>
  <c r="AC352" i="9"/>
  <c r="F353" i="9"/>
  <c r="C353" i="9"/>
  <c r="Y353" i="9"/>
  <c r="Z353" i="9"/>
  <c r="AB353" i="9"/>
  <c r="AC353" i="9"/>
  <c r="F354" i="9"/>
  <c r="C354" i="9"/>
  <c r="Y354" i="9"/>
  <c r="Z354" i="9"/>
  <c r="AB354" i="9"/>
  <c r="AC354" i="9"/>
  <c r="F355" i="9"/>
  <c r="C355" i="9"/>
  <c r="Y355" i="9"/>
  <c r="Z355" i="9"/>
  <c r="AB355" i="9"/>
  <c r="AC355" i="9"/>
  <c r="F356" i="9"/>
  <c r="C356" i="9"/>
  <c r="Y356" i="9"/>
  <c r="Z356" i="9"/>
  <c r="AB356" i="9"/>
  <c r="AC356" i="9"/>
  <c r="F357" i="9"/>
  <c r="C357" i="9"/>
  <c r="Y357" i="9"/>
  <c r="Z357" i="9"/>
  <c r="AB357" i="9"/>
  <c r="AC357" i="9"/>
  <c r="F358" i="9"/>
  <c r="C358" i="9"/>
  <c r="Y358" i="9"/>
  <c r="Z358" i="9"/>
  <c r="AB358" i="9"/>
  <c r="AC358" i="9"/>
  <c r="F359" i="9"/>
  <c r="C359" i="9"/>
  <c r="Y359" i="9"/>
  <c r="Z359" i="9"/>
  <c r="AB359" i="9"/>
  <c r="AC359" i="9"/>
  <c r="F360" i="9"/>
  <c r="C360" i="9"/>
  <c r="Y360" i="9"/>
  <c r="Z360" i="9"/>
  <c r="AB360" i="9"/>
  <c r="AC360" i="9"/>
  <c r="F361" i="9"/>
  <c r="C361" i="9"/>
  <c r="Y361" i="9"/>
  <c r="Z361" i="9"/>
  <c r="AB361" i="9"/>
  <c r="AC361" i="9"/>
  <c r="F362" i="9"/>
  <c r="C362" i="9"/>
  <c r="Y362" i="9"/>
  <c r="Z362" i="9"/>
  <c r="AB362" i="9"/>
  <c r="AC362" i="9"/>
  <c r="F363" i="9"/>
  <c r="C363" i="9"/>
  <c r="Y363" i="9"/>
  <c r="Z363" i="9"/>
  <c r="AB363" i="9"/>
  <c r="AC363" i="9"/>
  <c r="F364" i="9"/>
  <c r="C364" i="9"/>
  <c r="Y364" i="9"/>
  <c r="Z364" i="9"/>
  <c r="AB364" i="9"/>
  <c r="AC364" i="9"/>
  <c r="F365" i="9"/>
  <c r="C365" i="9"/>
  <c r="Y365" i="9"/>
  <c r="Z365" i="9"/>
  <c r="AB365" i="9"/>
  <c r="AC365" i="9"/>
  <c r="F366" i="9"/>
  <c r="C366" i="9"/>
  <c r="Y366" i="9"/>
  <c r="Z366" i="9"/>
  <c r="AB366" i="9"/>
  <c r="AC366" i="9"/>
  <c r="F367" i="9"/>
  <c r="C367" i="9"/>
  <c r="Y367" i="9"/>
  <c r="Z367" i="9"/>
  <c r="AB367" i="9"/>
  <c r="AC367" i="9"/>
  <c r="F368" i="9"/>
  <c r="C368" i="9"/>
  <c r="Y368" i="9"/>
  <c r="Z368" i="9"/>
  <c r="AB368" i="9"/>
  <c r="AC368" i="9"/>
  <c r="F369" i="9"/>
  <c r="C369" i="9"/>
  <c r="Y369" i="9"/>
  <c r="Z369" i="9"/>
  <c r="AB369" i="9"/>
  <c r="AC369" i="9"/>
  <c r="F370" i="9"/>
  <c r="C370" i="9"/>
  <c r="Y370" i="9"/>
  <c r="Z370" i="9"/>
  <c r="AB370" i="9"/>
  <c r="AC370" i="9"/>
  <c r="F371" i="9"/>
  <c r="C371" i="9"/>
  <c r="Y371" i="9"/>
  <c r="Z371" i="9"/>
  <c r="AB371" i="9"/>
  <c r="AC371" i="9"/>
  <c r="F372" i="9"/>
  <c r="C372" i="9"/>
  <c r="Y372" i="9"/>
  <c r="Z372" i="9"/>
  <c r="AB372" i="9"/>
  <c r="AC372" i="9"/>
  <c r="F373" i="9"/>
  <c r="C373" i="9"/>
  <c r="Y373" i="9"/>
  <c r="Z373" i="9"/>
  <c r="AB373" i="9"/>
  <c r="AC373" i="9"/>
  <c r="F374" i="9"/>
  <c r="C374" i="9"/>
  <c r="Y374" i="9"/>
  <c r="Z374" i="9"/>
  <c r="AB374" i="9"/>
  <c r="AC374" i="9"/>
  <c r="F375" i="9"/>
  <c r="C375" i="9"/>
  <c r="Y375" i="9"/>
  <c r="Z375" i="9"/>
  <c r="AB375" i="9"/>
  <c r="AC375" i="9"/>
  <c r="F376" i="9"/>
  <c r="C376" i="9"/>
  <c r="Y376" i="9"/>
  <c r="Z376" i="9"/>
  <c r="AB376" i="9"/>
  <c r="AC376" i="9"/>
  <c r="F377" i="9"/>
  <c r="C377" i="9"/>
  <c r="Y377" i="9"/>
  <c r="Z377" i="9"/>
  <c r="AB377" i="9"/>
  <c r="AC377" i="9"/>
  <c r="F378" i="9"/>
  <c r="C378" i="9"/>
  <c r="Y378" i="9"/>
  <c r="Z378" i="9"/>
  <c r="AB378" i="9"/>
  <c r="AC378" i="9"/>
  <c r="F379" i="9"/>
  <c r="C379" i="9"/>
  <c r="Y379" i="9"/>
  <c r="Z379" i="9"/>
  <c r="AB379" i="9"/>
  <c r="AC379" i="9"/>
  <c r="F380" i="9"/>
  <c r="C380" i="9"/>
  <c r="Y380" i="9"/>
  <c r="Z380" i="9"/>
  <c r="AB380" i="9"/>
  <c r="AC380" i="9"/>
  <c r="F381" i="9"/>
  <c r="C381" i="9"/>
  <c r="Y381" i="9"/>
  <c r="Z381" i="9"/>
  <c r="AB381" i="9"/>
  <c r="AC381" i="9"/>
  <c r="F382" i="9"/>
  <c r="C382" i="9"/>
  <c r="Y382" i="9"/>
  <c r="Z382" i="9"/>
  <c r="AB382" i="9"/>
  <c r="AC382" i="9"/>
  <c r="F383" i="9"/>
  <c r="C383" i="9"/>
  <c r="Y383" i="9"/>
  <c r="Z383" i="9"/>
  <c r="AB383" i="9"/>
  <c r="AC383" i="9"/>
  <c r="F384" i="9"/>
  <c r="C384" i="9"/>
  <c r="Y384" i="9"/>
  <c r="Z384" i="9"/>
  <c r="AB384" i="9"/>
  <c r="AC384" i="9"/>
  <c r="F385" i="9"/>
  <c r="C385" i="9"/>
  <c r="Y385" i="9"/>
  <c r="Z385" i="9"/>
  <c r="AB385" i="9"/>
  <c r="AC385" i="9"/>
  <c r="F386" i="9"/>
  <c r="C386" i="9"/>
  <c r="Y386" i="9"/>
  <c r="Z386" i="9"/>
  <c r="AB386" i="9"/>
  <c r="AC386" i="9"/>
  <c r="F387" i="9"/>
  <c r="C387" i="9"/>
  <c r="Y387" i="9"/>
  <c r="Z387" i="9"/>
  <c r="AB387" i="9"/>
  <c r="AC387" i="9"/>
  <c r="F388" i="9"/>
  <c r="C388" i="9"/>
  <c r="Y388" i="9"/>
  <c r="Z388" i="9"/>
  <c r="AB388" i="9"/>
  <c r="AC388" i="9"/>
  <c r="F389" i="9"/>
  <c r="C389" i="9"/>
  <c r="Y389" i="9"/>
  <c r="Z389" i="9"/>
  <c r="AB389" i="9"/>
  <c r="AC389" i="9"/>
  <c r="F390" i="9"/>
  <c r="C390" i="9"/>
  <c r="Y390" i="9"/>
  <c r="Z390" i="9"/>
  <c r="AB390" i="9"/>
  <c r="AC390" i="9"/>
  <c r="F391" i="9"/>
  <c r="C391" i="9"/>
  <c r="Y391" i="9"/>
  <c r="Z391" i="9"/>
  <c r="AB391" i="9"/>
  <c r="AC391" i="9"/>
  <c r="F392" i="9"/>
  <c r="C392" i="9"/>
  <c r="Y392" i="9"/>
  <c r="Z392" i="9"/>
  <c r="AB392" i="9"/>
  <c r="AC392" i="9"/>
  <c r="F393" i="9"/>
  <c r="C393" i="9"/>
  <c r="Y393" i="9"/>
  <c r="Z393" i="9"/>
  <c r="AB393" i="9"/>
  <c r="AC393" i="9"/>
  <c r="F394" i="9"/>
  <c r="C394" i="9"/>
  <c r="Y394" i="9"/>
  <c r="Z394" i="9"/>
  <c r="AB394" i="9"/>
  <c r="AC394" i="9"/>
  <c r="F395" i="9"/>
  <c r="C395" i="9"/>
  <c r="Y395" i="9"/>
  <c r="Z395" i="9"/>
  <c r="AB395" i="9"/>
  <c r="AC395" i="9"/>
  <c r="F396" i="9"/>
  <c r="C396" i="9"/>
  <c r="Y396" i="9"/>
  <c r="Z396" i="9"/>
  <c r="AB396" i="9"/>
  <c r="AC396" i="9"/>
  <c r="F397" i="9"/>
  <c r="C397" i="9"/>
  <c r="Y397" i="9"/>
  <c r="Z397" i="9"/>
  <c r="AB397" i="9"/>
  <c r="AC397" i="9"/>
  <c r="F398" i="9"/>
  <c r="C398" i="9"/>
  <c r="Y398" i="9"/>
  <c r="Z398" i="9"/>
  <c r="AB398" i="9"/>
  <c r="AC398" i="9"/>
  <c r="F399" i="9"/>
  <c r="C399" i="9"/>
  <c r="Y399" i="9"/>
  <c r="Z399" i="9"/>
  <c r="AB399" i="9"/>
  <c r="AC399" i="9"/>
  <c r="F400" i="9"/>
  <c r="C400" i="9"/>
  <c r="Y400" i="9"/>
  <c r="Z400" i="9"/>
  <c r="AB400" i="9"/>
  <c r="AC400" i="9"/>
  <c r="F401" i="9"/>
  <c r="C401" i="9"/>
  <c r="Y401" i="9"/>
  <c r="Z401" i="9"/>
  <c r="AB401" i="9"/>
  <c r="AC401" i="9"/>
  <c r="F402" i="9"/>
  <c r="C402" i="9"/>
  <c r="Y402" i="9"/>
  <c r="Z402" i="9"/>
  <c r="AB402" i="9"/>
  <c r="AC402" i="9"/>
  <c r="F403" i="9"/>
  <c r="C403" i="9"/>
  <c r="Y403" i="9"/>
  <c r="Z403" i="9"/>
  <c r="AB403" i="9"/>
  <c r="AC403" i="9"/>
  <c r="F404" i="9"/>
  <c r="C404" i="9"/>
  <c r="Y404" i="9"/>
  <c r="Z404" i="9"/>
  <c r="AB404" i="9"/>
  <c r="AC404" i="9"/>
  <c r="F405" i="9"/>
  <c r="C405" i="9"/>
  <c r="Y405" i="9"/>
  <c r="Z405" i="9"/>
  <c r="AB405" i="9"/>
  <c r="AC405" i="9"/>
  <c r="F406" i="9"/>
  <c r="C406" i="9"/>
  <c r="Y406" i="9"/>
  <c r="Z406" i="9"/>
  <c r="AB406" i="9"/>
  <c r="AC406" i="9"/>
  <c r="F407" i="9"/>
  <c r="C407" i="9"/>
  <c r="Y407" i="9"/>
  <c r="Z407" i="9"/>
  <c r="AB407" i="9"/>
  <c r="AC407" i="9"/>
  <c r="F408" i="9"/>
  <c r="C408" i="9"/>
  <c r="Y408" i="9"/>
  <c r="Z408" i="9"/>
  <c r="AB408" i="9"/>
  <c r="AC408" i="9"/>
  <c r="F409" i="9"/>
  <c r="C409" i="9"/>
  <c r="Y409" i="9"/>
  <c r="Z409" i="9"/>
  <c r="AB409" i="9"/>
  <c r="AC409" i="9"/>
  <c r="F410" i="9"/>
  <c r="C410" i="9"/>
  <c r="Y410" i="9"/>
  <c r="Z410" i="9"/>
  <c r="AB410" i="9"/>
  <c r="AC410" i="9"/>
  <c r="F411" i="9"/>
  <c r="C411" i="9"/>
  <c r="Y411" i="9"/>
  <c r="Z411" i="9"/>
  <c r="AB411" i="9"/>
  <c r="AC411" i="9"/>
  <c r="F412" i="9"/>
  <c r="C412" i="9"/>
  <c r="Y412" i="9"/>
  <c r="Z412" i="9"/>
  <c r="AB412" i="9"/>
  <c r="AC412" i="9"/>
  <c r="F413" i="9"/>
  <c r="C413" i="9"/>
  <c r="Y413" i="9"/>
  <c r="Z413" i="9"/>
  <c r="AB413" i="9"/>
  <c r="AC413" i="9"/>
  <c r="F414" i="9"/>
  <c r="C414" i="9"/>
  <c r="Y414" i="9"/>
  <c r="Z414" i="9"/>
  <c r="AB414" i="9"/>
  <c r="AC414" i="9"/>
  <c r="F415" i="9"/>
  <c r="C415" i="9"/>
  <c r="Y415" i="9"/>
  <c r="Z415" i="9"/>
  <c r="AB415" i="9"/>
  <c r="AC415" i="9"/>
  <c r="F416" i="9"/>
  <c r="C416" i="9"/>
  <c r="Y416" i="9"/>
  <c r="Z416" i="9"/>
  <c r="AB416" i="9"/>
  <c r="AC416" i="9"/>
  <c r="F417" i="9"/>
  <c r="C417" i="9"/>
  <c r="Y417" i="9"/>
  <c r="Z417" i="9"/>
  <c r="AB417" i="9"/>
  <c r="AC417" i="9"/>
  <c r="F418" i="9"/>
  <c r="C418" i="9"/>
  <c r="Y418" i="9"/>
  <c r="Z418" i="9"/>
  <c r="AB418" i="9"/>
  <c r="AC418" i="9"/>
  <c r="F419" i="9"/>
  <c r="C419" i="9"/>
  <c r="Y419" i="9"/>
  <c r="Z419" i="9"/>
  <c r="AB419" i="9"/>
  <c r="AC419" i="9"/>
  <c r="F420" i="9"/>
  <c r="C420" i="9"/>
  <c r="Y420" i="9"/>
  <c r="Z420" i="9"/>
  <c r="AB420" i="9"/>
  <c r="AC420" i="9"/>
  <c r="F421" i="9"/>
  <c r="C421" i="9"/>
  <c r="Y421" i="9"/>
  <c r="Z421" i="9"/>
  <c r="AB421" i="9"/>
  <c r="AC421" i="9"/>
  <c r="F422" i="9"/>
  <c r="C422" i="9"/>
  <c r="Y422" i="9"/>
  <c r="Z422" i="9"/>
  <c r="AB422" i="9"/>
  <c r="AC422" i="9"/>
  <c r="F423" i="9"/>
  <c r="C423" i="9"/>
  <c r="Y423" i="9"/>
  <c r="Z423" i="9"/>
  <c r="AB423" i="9"/>
  <c r="AC423" i="9"/>
  <c r="F424" i="9"/>
  <c r="C424" i="9"/>
  <c r="Y424" i="9"/>
  <c r="Z424" i="9"/>
  <c r="AB424" i="9"/>
  <c r="AC424" i="9"/>
  <c r="F425" i="9"/>
  <c r="C425" i="9"/>
  <c r="Y425" i="9"/>
  <c r="Z425" i="9"/>
  <c r="AB425" i="9"/>
  <c r="AC425" i="9"/>
  <c r="F426" i="9"/>
  <c r="C426" i="9"/>
  <c r="Y426" i="9"/>
  <c r="Z426" i="9"/>
  <c r="AB426" i="9"/>
  <c r="AC426" i="9"/>
  <c r="F427" i="9"/>
  <c r="C427" i="9"/>
  <c r="Y427" i="9"/>
  <c r="Z427" i="9"/>
  <c r="AB427" i="9"/>
  <c r="AC427" i="9"/>
  <c r="F428" i="9"/>
  <c r="C428" i="9"/>
  <c r="Y428" i="9"/>
  <c r="Z428" i="9"/>
  <c r="AB428" i="9"/>
  <c r="AC428" i="9"/>
  <c r="F429" i="9"/>
  <c r="C429" i="9"/>
  <c r="Y429" i="9"/>
  <c r="Z429" i="9"/>
  <c r="AB429" i="9"/>
  <c r="AC429" i="9"/>
  <c r="F430" i="9"/>
  <c r="C430" i="9"/>
  <c r="Y430" i="9"/>
  <c r="Z430" i="9"/>
  <c r="AB430" i="9"/>
  <c r="AC430" i="9"/>
  <c r="F431" i="9"/>
  <c r="C431" i="9"/>
  <c r="Y431" i="9"/>
  <c r="Z431" i="9"/>
  <c r="AB431" i="9"/>
  <c r="AC431" i="9"/>
  <c r="F432" i="9"/>
  <c r="C432" i="9"/>
  <c r="Y432" i="9"/>
  <c r="Z432" i="9"/>
  <c r="AB432" i="9"/>
  <c r="AC432" i="9"/>
  <c r="F433" i="9"/>
  <c r="C433" i="9"/>
  <c r="Y433" i="9"/>
  <c r="Z433" i="9"/>
  <c r="AB433" i="9"/>
  <c r="AC433" i="9"/>
  <c r="F434" i="9"/>
  <c r="C434" i="9"/>
  <c r="Y434" i="9"/>
  <c r="Z434" i="9"/>
  <c r="AB434" i="9"/>
  <c r="AC434" i="9"/>
  <c r="F435" i="9"/>
  <c r="C435" i="9"/>
  <c r="Y435" i="9"/>
  <c r="Z435" i="9"/>
  <c r="AB435" i="9"/>
  <c r="AC435" i="9"/>
  <c r="F436" i="9"/>
  <c r="C436" i="9"/>
  <c r="Y436" i="9"/>
  <c r="Z436" i="9"/>
  <c r="AB436" i="9"/>
  <c r="AC436" i="9"/>
  <c r="F437" i="9"/>
  <c r="C437" i="9"/>
  <c r="Y437" i="9"/>
  <c r="Z437" i="9"/>
  <c r="AB437" i="9"/>
  <c r="AC437" i="9"/>
  <c r="F438" i="9"/>
  <c r="C438" i="9"/>
  <c r="Y438" i="9"/>
  <c r="Z438" i="9"/>
  <c r="AB438" i="9"/>
  <c r="AC438" i="9"/>
  <c r="F439" i="9"/>
  <c r="C439" i="9"/>
  <c r="Y439" i="9"/>
  <c r="Z439" i="9"/>
  <c r="AB439" i="9"/>
  <c r="AC439" i="9"/>
  <c r="F440" i="9"/>
  <c r="C440" i="9"/>
  <c r="Y440" i="9"/>
  <c r="Z440" i="9"/>
  <c r="AB440" i="9"/>
  <c r="AC440" i="9"/>
  <c r="F441" i="9"/>
  <c r="C441" i="9"/>
  <c r="Y441" i="9"/>
  <c r="Z441" i="9"/>
  <c r="AB441" i="9"/>
  <c r="AC441" i="9"/>
  <c r="F442" i="9"/>
  <c r="C442" i="9"/>
  <c r="Y442" i="9"/>
  <c r="Z442" i="9"/>
  <c r="AB442" i="9"/>
  <c r="AC442" i="9"/>
  <c r="F443" i="9"/>
  <c r="C443" i="9"/>
  <c r="Y443" i="9"/>
  <c r="Z443" i="9"/>
  <c r="AB443" i="9"/>
  <c r="AC443" i="9"/>
  <c r="F444" i="9"/>
  <c r="C444" i="9"/>
  <c r="Y444" i="9"/>
  <c r="Z444" i="9"/>
  <c r="AB444" i="9"/>
  <c r="AC444" i="9"/>
  <c r="F445" i="9"/>
  <c r="C445" i="9"/>
  <c r="Y445" i="9"/>
  <c r="Z445" i="9"/>
  <c r="AB445" i="9"/>
  <c r="AC445" i="9"/>
  <c r="F446" i="9"/>
  <c r="C446" i="9"/>
  <c r="Y446" i="9"/>
  <c r="Z446" i="9"/>
  <c r="AB446" i="9"/>
  <c r="AC446" i="9"/>
  <c r="F447" i="9"/>
  <c r="C447" i="9"/>
  <c r="Y447" i="9"/>
  <c r="Z447" i="9"/>
  <c r="AB447" i="9"/>
  <c r="AC447" i="9"/>
  <c r="F448" i="9"/>
  <c r="C448" i="9"/>
  <c r="Y448" i="9"/>
  <c r="Z448" i="9"/>
  <c r="AB448" i="9"/>
  <c r="AC448" i="9"/>
  <c r="F449" i="9"/>
  <c r="C449" i="9"/>
  <c r="Y449" i="9"/>
  <c r="Z449" i="9"/>
  <c r="AB449" i="9"/>
  <c r="AC449" i="9"/>
  <c r="F450" i="9"/>
  <c r="C450" i="9"/>
  <c r="Y450" i="9"/>
  <c r="Z450" i="9"/>
  <c r="AB450" i="9"/>
  <c r="AC450" i="9"/>
  <c r="F451" i="9"/>
  <c r="C451" i="9"/>
  <c r="Y451" i="9"/>
  <c r="Z451" i="9"/>
  <c r="AB451" i="9"/>
  <c r="AC451" i="9"/>
  <c r="F452" i="9"/>
  <c r="C452" i="9"/>
  <c r="Y452" i="9"/>
  <c r="Z452" i="9"/>
  <c r="AB452" i="9"/>
  <c r="AC452" i="9"/>
  <c r="F453" i="9"/>
  <c r="C453" i="9"/>
  <c r="Y453" i="9"/>
  <c r="Z453" i="9"/>
  <c r="AB453" i="9"/>
  <c r="AC453" i="9"/>
  <c r="F454" i="9"/>
  <c r="C454" i="9"/>
  <c r="Y454" i="9"/>
  <c r="Z454" i="9"/>
  <c r="AB454" i="9"/>
  <c r="AC454" i="9"/>
  <c r="F455" i="9"/>
  <c r="C455" i="9"/>
  <c r="Y455" i="9"/>
  <c r="Z455" i="9"/>
  <c r="AB455" i="9"/>
  <c r="AC455" i="9"/>
  <c r="F456" i="9"/>
  <c r="C456" i="9"/>
  <c r="Y456" i="9"/>
  <c r="Z456" i="9"/>
  <c r="AB456" i="9"/>
  <c r="AC456" i="9"/>
  <c r="F457" i="9"/>
  <c r="C457" i="9"/>
  <c r="Y457" i="9"/>
  <c r="Z457" i="9"/>
  <c r="AB457" i="9"/>
  <c r="AC457" i="9"/>
  <c r="F458" i="9"/>
  <c r="C458" i="9"/>
  <c r="Y458" i="9"/>
  <c r="Z458" i="9"/>
  <c r="AB458" i="9"/>
  <c r="AC458" i="9"/>
  <c r="F459" i="9"/>
  <c r="C459" i="9"/>
  <c r="Y459" i="9"/>
  <c r="Z459" i="9"/>
  <c r="AB459" i="9"/>
  <c r="AC459" i="9"/>
  <c r="F460" i="9"/>
  <c r="C460" i="9"/>
  <c r="Y460" i="9"/>
  <c r="Z460" i="9"/>
  <c r="AB460" i="9"/>
  <c r="AC460" i="9"/>
  <c r="F461" i="9"/>
  <c r="C461" i="9"/>
  <c r="Y461" i="9"/>
  <c r="Z461" i="9"/>
  <c r="AB461" i="9"/>
  <c r="AC461" i="9"/>
  <c r="F462" i="9"/>
  <c r="C462" i="9"/>
  <c r="Y462" i="9"/>
  <c r="Z462" i="9"/>
  <c r="AB462" i="9"/>
  <c r="AC462" i="9"/>
  <c r="F463" i="9"/>
  <c r="C463" i="9"/>
  <c r="Y463" i="9"/>
  <c r="Z463" i="9"/>
  <c r="AB463" i="9"/>
  <c r="AC463" i="9"/>
  <c r="F464" i="9"/>
  <c r="C464" i="9"/>
  <c r="Y464" i="9"/>
  <c r="Z464" i="9"/>
  <c r="AB464" i="9"/>
  <c r="AC464" i="9"/>
  <c r="F465" i="9"/>
  <c r="C465" i="9"/>
  <c r="Y465" i="9"/>
  <c r="Z465" i="9"/>
  <c r="AB465" i="9"/>
  <c r="AC465" i="9"/>
  <c r="F466" i="9"/>
  <c r="C466" i="9"/>
  <c r="Y466" i="9"/>
  <c r="Z466" i="9"/>
  <c r="AB466" i="9"/>
  <c r="AC466" i="9"/>
  <c r="F467" i="9"/>
  <c r="C467" i="9"/>
  <c r="Y467" i="9"/>
  <c r="Z467" i="9"/>
  <c r="AB467" i="9"/>
  <c r="AC467" i="9"/>
  <c r="F468" i="9"/>
  <c r="C468" i="9"/>
  <c r="Y468" i="9"/>
  <c r="Z468" i="9"/>
  <c r="AB468" i="9"/>
  <c r="AC468" i="9"/>
  <c r="F469" i="9"/>
  <c r="C469" i="9"/>
  <c r="Y469" i="9"/>
  <c r="Z469" i="9"/>
  <c r="AB469" i="9"/>
  <c r="AC469" i="9"/>
  <c r="F470" i="9"/>
  <c r="C470" i="9"/>
  <c r="Y470" i="9"/>
  <c r="Z470" i="9"/>
  <c r="AB470" i="9"/>
  <c r="AC470" i="9"/>
  <c r="F471" i="9"/>
  <c r="C471" i="9"/>
  <c r="Y471" i="9"/>
  <c r="Z471" i="9"/>
  <c r="AB471" i="9"/>
  <c r="AC471" i="9"/>
  <c r="F472" i="9"/>
  <c r="C472" i="9"/>
  <c r="Y472" i="9"/>
  <c r="Z472" i="9"/>
  <c r="AB472" i="9"/>
  <c r="AC472" i="9"/>
  <c r="F473" i="9"/>
  <c r="C473" i="9"/>
  <c r="Y473" i="9"/>
  <c r="Z473" i="9"/>
  <c r="AB473" i="9"/>
  <c r="AC473" i="9"/>
  <c r="F474" i="9"/>
  <c r="C474" i="9"/>
  <c r="Y474" i="9"/>
  <c r="Z474" i="9"/>
  <c r="AB474" i="9"/>
  <c r="AC474" i="9"/>
  <c r="F475" i="9"/>
  <c r="C475" i="9"/>
  <c r="Y475" i="9"/>
  <c r="Z475" i="9"/>
  <c r="AB475" i="9"/>
  <c r="AC475" i="9"/>
  <c r="F476" i="9"/>
  <c r="C476" i="9"/>
  <c r="Y476" i="9"/>
  <c r="Z476" i="9"/>
  <c r="AB476" i="9"/>
  <c r="AC476" i="9"/>
  <c r="F477" i="9"/>
  <c r="C477" i="9"/>
  <c r="Y477" i="9"/>
  <c r="Z477" i="9"/>
  <c r="AB477" i="9"/>
  <c r="AC477" i="9"/>
  <c r="F478" i="9"/>
  <c r="C478" i="9"/>
  <c r="Y478" i="9"/>
  <c r="Z478" i="9"/>
  <c r="AB478" i="9"/>
  <c r="AC478" i="9"/>
  <c r="F479" i="9"/>
  <c r="C479" i="9"/>
  <c r="Y479" i="9"/>
  <c r="Z479" i="9"/>
  <c r="AB479" i="9"/>
  <c r="AC479" i="9"/>
  <c r="F480" i="9"/>
  <c r="C480" i="9"/>
  <c r="Y480" i="9"/>
  <c r="Z480" i="9"/>
  <c r="AB480" i="9"/>
  <c r="AC480" i="9"/>
  <c r="F481" i="9"/>
  <c r="C481" i="9"/>
  <c r="Y481" i="9"/>
  <c r="Z481" i="9"/>
  <c r="AB481" i="9"/>
  <c r="AC481" i="9"/>
  <c r="F482" i="9"/>
  <c r="C482" i="9"/>
  <c r="Y482" i="9"/>
  <c r="Z482" i="9"/>
  <c r="AB482" i="9"/>
  <c r="AC482" i="9"/>
  <c r="F483" i="9"/>
  <c r="C483" i="9"/>
  <c r="Y483" i="9"/>
  <c r="Z483" i="9"/>
  <c r="AB483" i="9"/>
  <c r="AC483" i="9"/>
  <c r="F484" i="9"/>
  <c r="C484" i="9"/>
  <c r="Y484" i="9"/>
  <c r="Z484" i="9"/>
  <c r="AB484" i="9"/>
  <c r="AC484" i="9"/>
  <c r="F485" i="9"/>
  <c r="C485" i="9"/>
  <c r="Y485" i="9"/>
  <c r="Z485" i="9"/>
  <c r="AB485" i="9"/>
  <c r="AC485" i="9"/>
  <c r="F486" i="9"/>
  <c r="C486" i="9"/>
  <c r="Y486" i="9"/>
  <c r="Z486" i="9"/>
  <c r="AB486" i="9"/>
  <c r="AC486" i="9"/>
  <c r="F487" i="9"/>
  <c r="C487" i="9"/>
  <c r="Y487" i="9"/>
  <c r="Z487" i="9"/>
  <c r="AB487" i="9"/>
  <c r="AC487" i="9"/>
  <c r="F488" i="9"/>
  <c r="C488" i="9"/>
  <c r="Y488" i="9"/>
  <c r="Z488" i="9"/>
  <c r="AB488" i="9"/>
  <c r="AC488" i="9"/>
  <c r="F489" i="9"/>
  <c r="C489" i="9"/>
  <c r="Y489" i="9"/>
  <c r="Z489" i="9"/>
  <c r="AB489" i="9"/>
  <c r="AC489" i="9"/>
  <c r="F490" i="9"/>
  <c r="C490" i="9"/>
  <c r="Y490" i="9"/>
  <c r="Z490" i="9"/>
  <c r="AB490" i="9"/>
  <c r="AC490" i="9"/>
  <c r="F491" i="9"/>
  <c r="C491" i="9"/>
  <c r="Y491" i="9"/>
  <c r="Z491" i="9"/>
  <c r="AB491" i="9"/>
  <c r="AC491" i="9"/>
  <c r="F492" i="9"/>
  <c r="C492" i="9"/>
  <c r="Y492" i="9"/>
  <c r="Z492" i="9"/>
  <c r="AB492" i="9"/>
  <c r="AC492" i="9"/>
  <c r="F493" i="9"/>
  <c r="C493" i="9"/>
  <c r="Y493" i="9"/>
  <c r="Z493" i="9"/>
  <c r="AB493" i="9"/>
  <c r="AC493" i="9"/>
  <c r="F494" i="9"/>
  <c r="C494" i="9"/>
  <c r="Y494" i="9"/>
  <c r="Z494" i="9"/>
  <c r="AB494" i="9"/>
  <c r="AC494" i="9"/>
  <c r="F495" i="9"/>
  <c r="C495" i="9"/>
  <c r="Y495" i="9"/>
  <c r="Z495" i="9"/>
  <c r="AB495" i="9"/>
  <c r="AC495" i="9"/>
  <c r="F496" i="9"/>
  <c r="C496" i="9"/>
  <c r="Y496" i="9"/>
  <c r="Z496" i="9"/>
  <c r="AB496" i="9"/>
  <c r="AC496" i="9"/>
  <c r="F497" i="9"/>
  <c r="C497" i="9"/>
  <c r="Y497" i="9"/>
  <c r="Z497" i="9"/>
  <c r="AB497" i="9"/>
  <c r="AC497" i="9"/>
  <c r="F498" i="9"/>
  <c r="C498" i="9"/>
  <c r="Y498" i="9"/>
  <c r="Z498" i="9"/>
  <c r="AB498" i="9"/>
  <c r="AC498" i="9"/>
  <c r="F499" i="9"/>
  <c r="C499" i="9"/>
  <c r="Y499" i="9"/>
  <c r="Z499" i="9"/>
  <c r="AB499" i="9"/>
  <c r="AC499" i="9"/>
  <c r="F500" i="9"/>
  <c r="C500" i="9"/>
  <c r="Y500" i="9"/>
  <c r="Z500" i="9"/>
  <c r="AB500" i="9"/>
  <c r="AC500" i="9"/>
  <c r="F501" i="9"/>
  <c r="C501" i="9"/>
  <c r="Y501" i="9"/>
  <c r="Z501" i="9"/>
  <c r="AB501" i="9"/>
  <c r="AC501" i="9"/>
  <c r="F502" i="9"/>
  <c r="C502" i="9"/>
  <c r="Y502" i="9"/>
  <c r="Z502" i="9"/>
  <c r="AB502" i="9"/>
  <c r="AC502" i="9"/>
  <c r="F503" i="9"/>
  <c r="C503" i="9"/>
  <c r="Y503" i="9"/>
  <c r="Z503" i="9"/>
  <c r="AB503" i="9"/>
  <c r="AC503" i="9"/>
  <c r="F504" i="9"/>
  <c r="C504" i="9"/>
  <c r="Y504" i="9"/>
  <c r="Z504" i="9"/>
  <c r="AB504" i="9"/>
  <c r="AC504" i="9"/>
  <c r="F505" i="9"/>
  <c r="C505" i="9"/>
  <c r="Y505" i="9"/>
  <c r="Z505" i="9"/>
  <c r="AB505" i="9"/>
  <c r="AC505" i="9"/>
  <c r="F506" i="9"/>
  <c r="C506" i="9"/>
  <c r="Y506" i="9"/>
  <c r="Z506" i="9"/>
  <c r="AB506" i="9"/>
  <c r="AC506" i="9"/>
  <c r="F507" i="9"/>
  <c r="C507" i="9"/>
  <c r="Y507" i="9"/>
  <c r="Z507" i="9"/>
  <c r="AB507" i="9"/>
  <c r="AC507" i="9"/>
  <c r="F508" i="9"/>
  <c r="C508" i="9"/>
  <c r="Y508" i="9"/>
  <c r="Z508" i="9"/>
  <c r="AB508" i="9"/>
  <c r="AC508" i="9"/>
  <c r="F509" i="9"/>
  <c r="C509" i="9"/>
  <c r="Y509" i="9"/>
  <c r="Z509" i="9"/>
  <c r="AB509" i="9"/>
  <c r="AC509" i="9"/>
  <c r="F510" i="9"/>
  <c r="C510" i="9"/>
  <c r="Y510" i="9"/>
  <c r="Z510" i="9"/>
  <c r="AB510" i="9"/>
  <c r="AC510" i="9"/>
  <c r="F511" i="9"/>
  <c r="C511" i="9"/>
  <c r="Y511" i="9"/>
  <c r="Z511" i="9"/>
  <c r="AB511" i="9"/>
  <c r="AC511" i="9"/>
  <c r="F512" i="9"/>
  <c r="C512" i="9"/>
  <c r="Y512" i="9"/>
  <c r="Z512" i="9"/>
  <c r="AB512" i="9"/>
  <c r="AC512" i="9"/>
  <c r="F513" i="9"/>
  <c r="C513" i="9"/>
  <c r="Y513" i="9"/>
  <c r="Z513" i="9"/>
  <c r="AB513" i="9"/>
  <c r="AC513" i="9"/>
  <c r="F514" i="9"/>
  <c r="C514" i="9"/>
  <c r="Y514" i="9"/>
  <c r="Z514" i="9"/>
  <c r="AB514" i="9"/>
  <c r="AC514" i="9"/>
  <c r="F515" i="9"/>
  <c r="C515" i="9"/>
  <c r="Y515" i="9"/>
  <c r="Z515" i="9"/>
  <c r="AB515" i="9"/>
  <c r="AC515" i="9"/>
  <c r="F516" i="9"/>
  <c r="C516" i="9"/>
  <c r="Y516" i="9"/>
  <c r="Z516" i="9"/>
  <c r="AB516" i="9"/>
  <c r="AC516" i="9"/>
  <c r="F517" i="9"/>
  <c r="C517" i="9"/>
  <c r="Y517" i="9"/>
  <c r="Z517" i="9"/>
  <c r="AB517" i="9"/>
  <c r="AC517" i="9"/>
  <c r="F518" i="9"/>
  <c r="C518" i="9"/>
  <c r="Y518" i="9"/>
  <c r="Z518" i="9"/>
  <c r="AB518" i="9"/>
  <c r="AC518" i="9"/>
  <c r="F519" i="9"/>
  <c r="C519" i="9"/>
  <c r="Y519" i="9"/>
  <c r="Z519" i="9"/>
  <c r="AB519" i="9"/>
  <c r="AC519" i="9"/>
  <c r="F520" i="9"/>
  <c r="C520" i="9"/>
  <c r="Y520" i="9"/>
  <c r="Z520" i="9"/>
  <c r="AB520" i="9"/>
  <c r="AC520" i="9"/>
  <c r="F521" i="9"/>
  <c r="C521" i="9"/>
  <c r="Y521" i="9"/>
  <c r="Z521" i="9"/>
  <c r="AB521" i="9"/>
  <c r="AC521" i="9"/>
  <c r="F522" i="9"/>
  <c r="C522" i="9"/>
  <c r="Y522" i="9"/>
  <c r="Z522" i="9"/>
  <c r="AB522" i="9"/>
  <c r="AC522" i="9"/>
  <c r="F523" i="9"/>
  <c r="C523" i="9"/>
  <c r="Y523" i="9"/>
  <c r="Z523" i="9"/>
  <c r="AB523" i="9"/>
  <c r="AC523" i="9"/>
  <c r="F524" i="9"/>
  <c r="C524" i="9"/>
  <c r="Y524" i="9"/>
  <c r="Z524" i="9"/>
  <c r="AB524" i="9"/>
  <c r="AC524" i="9"/>
  <c r="F525" i="9"/>
  <c r="C525" i="9"/>
  <c r="Y525" i="9"/>
  <c r="Z525" i="9"/>
  <c r="AB525" i="9"/>
  <c r="AC525" i="9"/>
  <c r="F526" i="9"/>
  <c r="C526" i="9"/>
  <c r="Y526" i="9"/>
  <c r="Z526" i="9"/>
  <c r="AB526" i="9"/>
  <c r="AC526" i="9"/>
  <c r="F527" i="9"/>
  <c r="C527" i="9"/>
  <c r="Y527" i="9"/>
  <c r="Z527" i="9"/>
  <c r="AB527" i="9"/>
  <c r="AC527" i="9"/>
  <c r="F528" i="9"/>
  <c r="C528" i="9"/>
  <c r="Y528" i="9"/>
  <c r="Z528" i="9"/>
  <c r="AB528" i="9"/>
  <c r="AC528" i="9"/>
  <c r="F529" i="9"/>
  <c r="C529" i="9"/>
  <c r="Y529" i="9"/>
  <c r="Z529" i="9"/>
  <c r="AB529" i="9"/>
  <c r="AC529" i="9"/>
  <c r="F530" i="9"/>
  <c r="C530" i="9"/>
  <c r="Y530" i="9"/>
  <c r="Z530" i="9"/>
  <c r="AB530" i="9"/>
  <c r="AC530" i="9"/>
  <c r="F531" i="9"/>
  <c r="C531" i="9"/>
  <c r="Y531" i="9"/>
  <c r="Z531" i="9"/>
  <c r="AB531" i="9"/>
  <c r="AC531" i="9"/>
  <c r="F532" i="9"/>
  <c r="C532" i="9"/>
  <c r="Y532" i="9"/>
  <c r="Z532" i="9"/>
  <c r="AB532" i="9"/>
  <c r="AC532" i="9"/>
  <c r="F533" i="9"/>
  <c r="C533" i="9"/>
  <c r="Y533" i="9"/>
  <c r="Z533" i="9"/>
  <c r="AB533" i="9"/>
  <c r="AC533" i="9"/>
  <c r="F534" i="9"/>
  <c r="C534" i="9"/>
  <c r="Y534" i="9"/>
  <c r="Z534" i="9"/>
  <c r="AB534" i="9"/>
  <c r="AC534" i="9"/>
  <c r="F535" i="9"/>
  <c r="C535" i="9"/>
  <c r="Y535" i="9"/>
  <c r="Z535" i="9"/>
  <c r="AB535" i="9"/>
  <c r="AC535" i="9"/>
  <c r="F536" i="9"/>
  <c r="C536" i="9"/>
  <c r="Y536" i="9"/>
  <c r="Z536" i="9"/>
  <c r="AB536" i="9"/>
  <c r="AC536" i="9"/>
  <c r="F537" i="9"/>
  <c r="C537" i="9"/>
  <c r="Y537" i="9"/>
  <c r="Z537" i="9"/>
  <c r="AB537" i="9"/>
  <c r="AC537" i="9"/>
  <c r="F538" i="9"/>
  <c r="C538" i="9"/>
  <c r="Y538" i="9"/>
  <c r="Z538" i="9"/>
  <c r="AB538" i="9"/>
  <c r="AC538" i="9"/>
  <c r="F539" i="9"/>
  <c r="C539" i="9"/>
  <c r="Y539" i="9"/>
  <c r="Z539" i="9"/>
  <c r="AB539" i="9"/>
  <c r="AC539" i="9"/>
  <c r="F540" i="9"/>
  <c r="C540" i="9"/>
  <c r="Y540" i="9"/>
  <c r="Z540" i="9"/>
  <c r="AB540" i="9"/>
  <c r="AC540" i="9"/>
  <c r="F541" i="9"/>
  <c r="C541" i="9"/>
  <c r="Y541" i="9"/>
  <c r="Z541" i="9"/>
  <c r="AB541" i="9"/>
  <c r="AC541" i="9"/>
  <c r="F542" i="9"/>
  <c r="C542" i="9"/>
  <c r="Y542" i="9"/>
  <c r="Z542" i="9"/>
  <c r="AB542" i="9"/>
  <c r="AC542" i="9"/>
  <c r="F543" i="9"/>
  <c r="C543" i="9"/>
  <c r="Y543" i="9"/>
  <c r="Z543" i="9"/>
  <c r="AB543" i="9"/>
  <c r="AC543" i="9"/>
  <c r="F544" i="9"/>
  <c r="C544" i="9"/>
  <c r="Y544" i="9"/>
  <c r="Z544" i="9"/>
  <c r="AB544" i="9"/>
  <c r="AC544" i="9"/>
  <c r="F545" i="9"/>
  <c r="C545" i="9"/>
  <c r="Y545" i="9"/>
  <c r="Z545" i="9"/>
  <c r="AB545" i="9"/>
  <c r="AC545" i="9"/>
  <c r="F546" i="9"/>
  <c r="C546" i="9"/>
  <c r="Y546" i="9"/>
  <c r="Z546" i="9"/>
  <c r="AB546" i="9"/>
  <c r="AC546" i="9"/>
  <c r="F547" i="9"/>
  <c r="C547" i="9"/>
  <c r="Y547" i="9"/>
  <c r="Z547" i="9"/>
  <c r="AB547" i="9"/>
  <c r="AC547" i="9"/>
  <c r="F548" i="9"/>
  <c r="C548" i="9"/>
  <c r="Y548" i="9"/>
  <c r="Z548" i="9"/>
  <c r="AB548" i="9"/>
  <c r="AC548" i="9"/>
  <c r="F549" i="9"/>
  <c r="C549" i="9"/>
  <c r="Y549" i="9"/>
  <c r="Z549" i="9"/>
  <c r="AB549" i="9"/>
  <c r="AC549" i="9"/>
  <c r="F550" i="9"/>
  <c r="C550" i="9"/>
  <c r="Y550" i="9"/>
  <c r="Z550" i="9"/>
  <c r="AB550" i="9"/>
  <c r="AC550" i="9"/>
  <c r="F551" i="9"/>
  <c r="C551" i="9"/>
  <c r="Y551" i="9"/>
  <c r="Z551" i="9"/>
  <c r="AB551" i="9"/>
  <c r="AC551" i="9"/>
  <c r="F552" i="9"/>
  <c r="C552" i="9"/>
  <c r="Y552" i="9"/>
  <c r="Z552" i="9"/>
  <c r="AB552" i="9"/>
  <c r="AC552" i="9"/>
  <c r="F553" i="9"/>
  <c r="C553" i="9"/>
  <c r="Y553" i="9"/>
  <c r="Z553" i="9"/>
  <c r="AB553" i="9"/>
  <c r="AC553" i="9"/>
  <c r="F554" i="9"/>
  <c r="C554" i="9"/>
  <c r="Y554" i="9"/>
  <c r="Z554" i="9"/>
  <c r="AB554" i="9"/>
  <c r="AC554" i="9"/>
  <c r="F555" i="9"/>
  <c r="C555" i="9"/>
  <c r="Y555" i="9"/>
  <c r="Z555" i="9"/>
  <c r="AB555" i="9"/>
  <c r="AC555" i="9"/>
  <c r="F556" i="9"/>
  <c r="C556" i="9"/>
  <c r="Y556" i="9"/>
  <c r="Z556" i="9"/>
  <c r="AB556" i="9"/>
  <c r="AC556" i="9"/>
  <c r="F557" i="9"/>
  <c r="C557" i="9"/>
  <c r="Y557" i="9"/>
  <c r="Z557" i="9"/>
  <c r="AB557" i="9"/>
  <c r="AC557" i="9"/>
  <c r="F558" i="9"/>
  <c r="C558" i="9"/>
  <c r="Y558" i="9"/>
  <c r="Z558" i="9"/>
  <c r="AB558" i="9"/>
  <c r="AC558" i="9"/>
  <c r="F559" i="9"/>
  <c r="C559" i="9"/>
  <c r="Y559" i="9"/>
  <c r="Z559" i="9"/>
  <c r="AB559" i="9"/>
  <c r="AC559" i="9"/>
  <c r="F560" i="9"/>
  <c r="C560" i="9"/>
  <c r="Y560" i="9"/>
  <c r="Z560" i="9"/>
  <c r="AB560" i="9"/>
  <c r="AC560" i="9"/>
  <c r="F561" i="9"/>
  <c r="C561" i="9"/>
  <c r="Y561" i="9"/>
  <c r="Z561" i="9"/>
  <c r="AB561" i="9"/>
  <c r="AC561" i="9"/>
  <c r="F562" i="9"/>
  <c r="C562" i="9"/>
  <c r="Y562" i="9"/>
  <c r="Z562" i="9"/>
  <c r="AB562" i="9"/>
  <c r="AC562" i="9"/>
  <c r="F563" i="9"/>
  <c r="C563" i="9"/>
  <c r="Y563" i="9"/>
  <c r="Z563" i="9"/>
  <c r="AB563" i="9"/>
  <c r="AC563" i="9"/>
  <c r="F564" i="9"/>
  <c r="C564" i="9"/>
  <c r="Y564" i="9"/>
  <c r="Z564" i="9"/>
  <c r="AB564" i="9"/>
  <c r="AC564" i="9"/>
  <c r="F565" i="9"/>
  <c r="C565" i="9"/>
  <c r="Y565" i="9"/>
  <c r="Z565" i="9"/>
  <c r="AB565" i="9"/>
  <c r="AC565" i="9"/>
  <c r="F566" i="9"/>
  <c r="C566" i="9"/>
  <c r="Y566" i="9"/>
  <c r="Z566" i="9"/>
  <c r="AB566" i="9"/>
  <c r="AC566" i="9"/>
  <c r="F567" i="9"/>
  <c r="C567" i="9"/>
  <c r="Y567" i="9"/>
  <c r="Z567" i="9"/>
  <c r="AB567" i="9"/>
  <c r="AC567" i="9"/>
  <c r="F568" i="9"/>
  <c r="C568" i="9"/>
  <c r="Y568" i="9"/>
  <c r="Z568" i="9"/>
  <c r="AB568" i="9"/>
  <c r="AC568" i="9"/>
  <c r="F569" i="9"/>
  <c r="C569" i="9"/>
  <c r="Y569" i="9"/>
  <c r="Z569" i="9"/>
  <c r="AB569" i="9"/>
  <c r="AC569" i="9"/>
  <c r="F570" i="9"/>
  <c r="C570" i="9"/>
  <c r="Y570" i="9"/>
  <c r="Z570" i="9"/>
  <c r="AB570" i="9"/>
  <c r="AC570" i="9"/>
  <c r="F571" i="9"/>
  <c r="C571" i="9"/>
  <c r="Y571" i="9"/>
  <c r="Z571" i="9"/>
  <c r="AB571" i="9"/>
  <c r="AC571" i="9"/>
  <c r="F572" i="9"/>
  <c r="C572" i="9"/>
  <c r="Y572" i="9"/>
  <c r="Z572" i="9"/>
  <c r="AB572" i="9"/>
  <c r="AC572" i="9"/>
  <c r="F573" i="9"/>
  <c r="C573" i="9"/>
  <c r="Y573" i="9"/>
  <c r="Z573" i="9"/>
  <c r="AB573" i="9"/>
  <c r="AC573" i="9"/>
  <c r="F574" i="9"/>
  <c r="C574" i="9"/>
  <c r="Y574" i="9"/>
  <c r="Z574" i="9"/>
  <c r="AB574" i="9"/>
  <c r="AC574" i="9"/>
  <c r="F575" i="9"/>
  <c r="C575" i="9"/>
  <c r="Y575" i="9"/>
  <c r="Z575" i="9"/>
  <c r="AB575" i="9"/>
  <c r="AC575" i="9"/>
  <c r="F576" i="9"/>
  <c r="C576" i="9"/>
  <c r="Y576" i="9"/>
  <c r="Z576" i="9"/>
  <c r="AB576" i="9"/>
  <c r="AC576" i="9"/>
  <c r="F577" i="9"/>
  <c r="C577" i="9"/>
  <c r="Y577" i="9"/>
  <c r="Z577" i="9"/>
  <c r="AB577" i="9"/>
  <c r="AC577" i="9"/>
  <c r="F578" i="9"/>
  <c r="C578" i="9"/>
  <c r="Y578" i="9"/>
  <c r="Z578" i="9"/>
  <c r="AB578" i="9"/>
  <c r="AC578" i="9"/>
  <c r="F579" i="9"/>
  <c r="C579" i="9"/>
  <c r="Y579" i="9"/>
  <c r="Z579" i="9"/>
  <c r="AB579" i="9"/>
  <c r="AC579" i="9"/>
  <c r="F580" i="9"/>
  <c r="C580" i="9"/>
  <c r="Y580" i="9"/>
  <c r="Z580" i="9"/>
  <c r="AB580" i="9"/>
  <c r="AC580" i="9"/>
  <c r="F581" i="9"/>
  <c r="C581" i="9"/>
  <c r="Y581" i="9"/>
  <c r="Z581" i="9"/>
  <c r="AB581" i="9"/>
  <c r="AC581" i="9"/>
  <c r="F582" i="9"/>
  <c r="C582" i="9"/>
  <c r="Y582" i="9"/>
  <c r="Z582" i="9"/>
  <c r="AB582" i="9"/>
  <c r="AC582" i="9"/>
  <c r="F583" i="9"/>
  <c r="C583" i="9"/>
  <c r="Y583" i="9"/>
  <c r="Z583" i="9"/>
  <c r="AB583" i="9"/>
  <c r="AC583" i="9"/>
  <c r="F584" i="9"/>
  <c r="C584" i="9"/>
  <c r="Y584" i="9"/>
  <c r="Z584" i="9"/>
  <c r="AB584" i="9"/>
  <c r="AC584" i="9"/>
  <c r="F585" i="9"/>
  <c r="C585" i="9"/>
  <c r="Y585" i="9"/>
  <c r="Z585" i="9"/>
  <c r="AB585" i="9"/>
  <c r="AC585" i="9"/>
  <c r="F586" i="9"/>
  <c r="C586" i="9"/>
  <c r="Y586" i="9"/>
  <c r="Z586" i="9"/>
  <c r="AB586" i="9"/>
  <c r="AC586" i="9"/>
  <c r="F587" i="9"/>
  <c r="C587" i="9"/>
  <c r="Y587" i="9"/>
  <c r="Z587" i="9"/>
  <c r="AB587" i="9"/>
  <c r="AC587" i="9"/>
  <c r="F588" i="9"/>
  <c r="C588" i="9"/>
  <c r="Y588" i="9"/>
  <c r="Z588" i="9"/>
  <c r="AB588" i="9"/>
  <c r="AC588" i="9"/>
  <c r="F589" i="9"/>
  <c r="C589" i="9"/>
  <c r="Y589" i="9"/>
  <c r="Z589" i="9"/>
  <c r="AB589" i="9"/>
  <c r="AC589" i="9"/>
  <c r="F590" i="9"/>
  <c r="C590" i="9"/>
  <c r="Y590" i="9"/>
  <c r="Z590" i="9"/>
  <c r="AB590" i="9"/>
  <c r="AC590" i="9"/>
  <c r="F591" i="9"/>
  <c r="C591" i="9"/>
  <c r="Y591" i="9"/>
  <c r="Z591" i="9"/>
  <c r="AB591" i="9"/>
  <c r="AC591" i="9"/>
  <c r="F592" i="9"/>
  <c r="C592" i="9"/>
  <c r="Y592" i="9"/>
  <c r="Z592" i="9"/>
  <c r="AB592" i="9"/>
  <c r="AC592" i="9"/>
  <c r="F593" i="9"/>
  <c r="C593" i="9"/>
  <c r="Y593" i="9"/>
  <c r="Z593" i="9"/>
  <c r="AB593" i="9"/>
  <c r="AC593" i="9"/>
  <c r="F594" i="9"/>
  <c r="C594" i="9"/>
  <c r="Y594" i="9"/>
  <c r="Z594" i="9"/>
  <c r="AB594" i="9"/>
  <c r="AC594" i="9"/>
  <c r="F595" i="9"/>
  <c r="C595" i="9"/>
  <c r="Y595" i="9"/>
  <c r="Z595" i="9"/>
  <c r="AB595" i="9"/>
  <c r="AC595" i="9"/>
  <c r="F596" i="9"/>
  <c r="C596" i="9"/>
  <c r="Y596" i="9"/>
  <c r="Z596" i="9"/>
  <c r="AB596" i="9"/>
  <c r="AC596" i="9"/>
  <c r="F597" i="9"/>
  <c r="C597" i="9"/>
  <c r="Y597" i="9"/>
  <c r="Z597" i="9"/>
  <c r="AB597" i="9"/>
  <c r="AC597" i="9"/>
  <c r="F598" i="9"/>
  <c r="C598" i="9"/>
  <c r="Y598" i="9"/>
  <c r="Z598" i="9"/>
  <c r="AB598" i="9"/>
  <c r="AC598" i="9"/>
  <c r="F599" i="9"/>
  <c r="C599" i="9"/>
  <c r="Y599" i="9"/>
  <c r="Z599" i="9"/>
  <c r="AB599" i="9"/>
  <c r="AC599" i="9"/>
  <c r="F600" i="9"/>
  <c r="C600" i="9"/>
  <c r="Y600" i="9"/>
  <c r="Z600" i="9"/>
  <c r="AB600" i="9"/>
  <c r="AC600" i="9"/>
  <c r="F601" i="9"/>
  <c r="C601" i="9"/>
  <c r="Y601" i="9"/>
  <c r="Z601" i="9"/>
  <c r="AB601" i="9"/>
  <c r="AC601" i="9"/>
  <c r="F602" i="9"/>
  <c r="C602" i="9"/>
  <c r="Y602" i="9"/>
  <c r="Z602" i="9"/>
  <c r="AB602" i="9"/>
  <c r="AC602" i="9"/>
  <c r="F603" i="9"/>
  <c r="C603" i="9"/>
  <c r="Y603" i="9"/>
  <c r="Z603" i="9"/>
  <c r="AB603" i="9"/>
  <c r="AC603" i="9"/>
  <c r="F604" i="9"/>
  <c r="C604" i="9"/>
  <c r="Y604" i="9"/>
  <c r="Z604" i="9"/>
  <c r="AB604" i="9"/>
  <c r="AC604" i="9"/>
  <c r="F605" i="9"/>
  <c r="C605" i="9"/>
  <c r="Y605" i="9"/>
  <c r="Z605" i="9"/>
  <c r="AB605" i="9"/>
  <c r="AC605" i="9"/>
  <c r="F606" i="9"/>
  <c r="C606" i="9"/>
  <c r="Y606" i="9"/>
  <c r="Z606" i="9"/>
  <c r="AB606" i="9"/>
  <c r="AC606" i="9"/>
  <c r="F607" i="9"/>
  <c r="C607" i="9"/>
  <c r="Y607" i="9"/>
  <c r="Z607" i="9"/>
  <c r="AB607" i="9"/>
  <c r="AC607" i="9"/>
  <c r="F608" i="9"/>
  <c r="C608" i="9"/>
  <c r="Y608" i="9"/>
  <c r="Z608" i="9"/>
  <c r="AB608" i="9"/>
  <c r="AC608" i="9"/>
  <c r="F609" i="9"/>
  <c r="C609" i="9"/>
  <c r="Y609" i="9"/>
  <c r="Z609" i="9"/>
  <c r="AB609" i="9"/>
  <c r="AC609" i="9"/>
  <c r="F610" i="9"/>
  <c r="C610" i="9"/>
  <c r="Y610" i="9"/>
  <c r="Z610" i="9"/>
  <c r="AB610" i="9"/>
  <c r="AC610" i="9"/>
  <c r="F611" i="9"/>
  <c r="C611" i="9"/>
  <c r="Y611" i="9"/>
  <c r="Z611" i="9"/>
  <c r="AB611" i="9"/>
  <c r="AC611" i="9"/>
  <c r="F612" i="9"/>
  <c r="C612" i="9"/>
  <c r="Y612" i="9"/>
  <c r="Z612" i="9"/>
  <c r="AB612" i="9"/>
  <c r="AC612" i="9"/>
  <c r="F613" i="9"/>
  <c r="C613" i="9"/>
  <c r="Y613" i="9"/>
  <c r="Z613" i="9"/>
  <c r="AB613" i="9"/>
  <c r="AC613" i="9"/>
  <c r="F614" i="9"/>
  <c r="C614" i="9"/>
  <c r="Y614" i="9"/>
  <c r="Z614" i="9"/>
  <c r="AB614" i="9"/>
  <c r="AC614" i="9"/>
  <c r="F615" i="9"/>
  <c r="C615" i="9"/>
  <c r="Y615" i="9"/>
  <c r="Z615" i="9"/>
  <c r="AB615" i="9"/>
  <c r="AC615" i="9"/>
  <c r="F616" i="9"/>
  <c r="C616" i="9"/>
  <c r="Y616" i="9"/>
  <c r="Z616" i="9"/>
  <c r="AB616" i="9"/>
  <c r="AC616" i="9"/>
  <c r="F617" i="9"/>
  <c r="C617" i="9"/>
  <c r="Y617" i="9"/>
  <c r="Z617" i="9"/>
  <c r="AB617" i="9"/>
  <c r="AC617" i="9"/>
  <c r="F618" i="9"/>
  <c r="C618" i="9"/>
  <c r="Y618" i="9"/>
  <c r="Z618" i="9"/>
  <c r="AB618" i="9"/>
  <c r="AC618" i="9"/>
  <c r="F619" i="9"/>
  <c r="C619" i="9"/>
  <c r="Y619" i="9"/>
  <c r="Z619" i="9"/>
  <c r="AB619" i="9"/>
  <c r="AC619" i="9"/>
  <c r="F620" i="9"/>
  <c r="C620" i="9"/>
  <c r="Y620" i="9"/>
  <c r="Z620" i="9"/>
  <c r="AB620" i="9"/>
  <c r="AC620" i="9"/>
  <c r="F621" i="9"/>
  <c r="C621" i="9"/>
  <c r="Y621" i="9"/>
  <c r="Z621" i="9"/>
  <c r="AB621" i="9"/>
  <c r="AC621" i="9"/>
  <c r="F622" i="9"/>
  <c r="C622" i="9"/>
  <c r="Y622" i="9"/>
  <c r="Z622" i="9"/>
  <c r="AB622" i="9"/>
  <c r="AC622" i="9"/>
  <c r="F623" i="9"/>
  <c r="C623" i="9"/>
  <c r="Y623" i="9"/>
  <c r="Z623" i="9"/>
  <c r="AB623" i="9"/>
  <c r="AC623" i="9"/>
  <c r="F624" i="9"/>
  <c r="C624" i="9"/>
  <c r="Y624" i="9"/>
  <c r="Z624" i="9"/>
  <c r="AB624" i="9"/>
  <c r="AC624" i="9"/>
  <c r="F625" i="9"/>
  <c r="C625" i="9"/>
  <c r="Y625" i="9"/>
  <c r="Z625" i="9"/>
  <c r="AB625" i="9"/>
  <c r="AC625" i="9"/>
  <c r="F626" i="9"/>
  <c r="C626" i="9"/>
  <c r="Y626" i="9"/>
  <c r="Z626" i="9"/>
  <c r="AB626" i="9"/>
  <c r="AC626" i="9"/>
  <c r="F627" i="9"/>
  <c r="C627" i="9"/>
  <c r="Y627" i="9"/>
  <c r="Z627" i="9"/>
  <c r="AB627" i="9"/>
  <c r="AC627" i="9"/>
  <c r="F628" i="9"/>
  <c r="C628" i="9"/>
  <c r="Y628" i="9"/>
  <c r="Z628" i="9"/>
  <c r="AB628" i="9"/>
  <c r="AC628" i="9"/>
  <c r="F629" i="9"/>
  <c r="C629" i="9"/>
  <c r="Y629" i="9"/>
  <c r="Z629" i="9"/>
  <c r="AB629" i="9"/>
  <c r="AC629" i="9"/>
  <c r="F630" i="9"/>
  <c r="C630" i="9"/>
  <c r="Y630" i="9"/>
  <c r="Z630" i="9"/>
  <c r="AB630" i="9"/>
  <c r="AC630" i="9"/>
  <c r="F631" i="9"/>
  <c r="C631" i="9"/>
  <c r="Y631" i="9"/>
  <c r="Z631" i="9"/>
  <c r="AB631" i="9"/>
  <c r="AC631" i="9"/>
  <c r="F632" i="9"/>
  <c r="C632" i="9"/>
  <c r="Y632" i="9"/>
  <c r="Z632" i="9"/>
  <c r="AB632" i="9"/>
  <c r="AC632" i="9"/>
  <c r="F633" i="9"/>
  <c r="C633" i="9"/>
  <c r="Y633" i="9"/>
  <c r="Z633" i="9"/>
  <c r="AB633" i="9"/>
  <c r="AC633" i="9"/>
  <c r="F634" i="9"/>
  <c r="C634" i="9"/>
  <c r="Y634" i="9"/>
  <c r="Z634" i="9"/>
  <c r="AB634" i="9"/>
  <c r="AC634" i="9"/>
  <c r="F635" i="9"/>
  <c r="C635" i="9"/>
  <c r="Y635" i="9"/>
  <c r="Z635" i="9"/>
  <c r="AB635" i="9"/>
  <c r="AC635" i="9"/>
  <c r="F636" i="9"/>
  <c r="C636" i="9"/>
  <c r="Y636" i="9"/>
  <c r="Z636" i="9"/>
  <c r="AB636" i="9"/>
  <c r="AC636" i="9"/>
  <c r="F637" i="9"/>
  <c r="C637" i="9"/>
  <c r="Y637" i="9"/>
  <c r="Z637" i="9"/>
  <c r="AB637" i="9"/>
  <c r="AC637" i="9"/>
  <c r="F638" i="9"/>
  <c r="C638" i="9"/>
  <c r="Y638" i="9"/>
  <c r="Z638" i="9"/>
  <c r="AB638" i="9"/>
  <c r="AC638" i="9"/>
  <c r="F639" i="9"/>
  <c r="C639" i="9"/>
  <c r="Y639" i="9"/>
  <c r="Z639" i="9"/>
  <c r="AB639" i="9"/>
  <c r="AC639" i="9"/>
  <c r="F640" i="9"/>
  <c r="C640" i="9"/>
  <c r="Y640" i="9"/>
  <c r="Z640" i="9"/>
  <c r="AB640" i="9"/>
  <c r="AC640" i="9"/>
  <c r="F641" i="9"/>
  <c r="C641" i="9"/>
  <c r="Y641" i="9"/>
  <c r="Z641" i="9"/>
  <c r="AB641" i="9"/>
  <c r="AC641" i="9"/>
  <c r="F642" i="9"/>
  <c r="C642" i="9"/>
  <c r="Y642" i="9"/>
  <c r="Z642" i="9"/>
  <c r="AB642" i="9"/>
  <c r="AC642" i="9"/>
  <c r="F643" i="9"/>
  <c r="C643" i="9"/>
  <c r="Y643" i="9"/>
  <c r="Z643" i="9"/>
  <c r="AB643" i="9"/>
  <c r="AC643" i="9"/>
  <c r="F644" i="9"/>
  <c r="C644" i="9"/>
  <c r="Y644" i="9"/>
  <c r="Z644" i="9"/>
  <c r="AB644" i="9"/>
  <c r="AC644" i="9"/>
  <c r="F645" i="9"/>
  <c r="C645" i="9"/>
  <c r="Y645" i="9"/>
  <c r="Z645" i="9"/>
  <c r="AB645" i="9"/>
  <c r="AC645" i="9"/>
  <c r="F646" i="9"/>
  <c r="C646" i="9"/>
  <c r="Y646" i="9"/>
  <c r="Z646" i="9"/>
  <c r="AB646" i="9"/>
  <c r="AC646" i="9"/>
  <c r="F647" i="9"/>
  <c r="C647" i="9"/>
  <c r="Y647" i="9"/>
  <c r="Z647" i="9"/>
  <c r="AB647" i="9"/>
  <c r="AC647" i="9"/>
  <c r="F648" i="9"/>
  <c r="C648" i="9"/>
  <c r="Y648" i="9"/>
  <c r="Z648" i="9"/>
  <c r="AB648" i="9"/>
  <c r="AC648" i="9"/>
  <c r="F649" i="9"/>
  <c r="C649" i="9"/>
  <c r="Y649" i="9"/>
  <c r="Z649" i="9"/>
  <c r="AB649" i="9"/>
  <c r="AC649" i="9"/>
  <c r="F650" i="9"/>
  <c r="C650" i="9"/>
  <c r="Y650" i="9"/>
  <c r="Z650" i="9"/>
  <c r="AB650" i="9"/>
  <c r="AC650" i="9"/>
  <c r="F651" i="9"/>
  <c r="C651" i="9"/>
  <c r="Y651" i="9"/>
  <c r="Z651" i="9"/>
  <c r="AB651" i="9"/>
  <c r="AC651" i="9"/>
  <c r="F652" i="9"/>
  <c r="C652" i="9"/>
  <c r="Y652" i="9"/>
  <c r="Z652" i="9"/>
  <c r="AB652" i="9"/>
  <c r="AC652" i="9"/>
  <c r="F653" i="9"/>
  <c r="C653" i="9"/>
  <c r="Y653" i="9"/>
  <c r="Z653" i="9"/>
  <c r="AB653" i="9"/>
  <c r="AC653" i="9"/>
  <c r="F654" i="9"/>
  <c r="C654" i="9"/>
  <c r="Y654" i="9"/>
  <c r="Z654" i="9"/>
  <c r="AB654" i="9"/>
  <c r="AC654" i="9"/>
  <c r="F655" i="9"/>
  <c r="C655" i="9"/>
  <c r="Y655" i="9"/>
  <c r="Z655" i="9"/>
  <c r="AB655" i="9"/>
  <c r="AC655" i="9"/>
  <c r="F656" i="9"/>
  <c r="C656" i="9"/>
  <c r="Y656" i="9"/>
  <c r="Z656" i="9"/>
  <c r="AB656" i="9"/>
  <c r="AC656" i="9"/>
  <c r="F657" i="9"/>
  <c r="C657" i="9"/>
  <c r="Y657" i="9"/>
  <c r="Z657" i="9"/>
  <c r="AB657" i="9"/>
  <c r="AC657" i="9"/>
  <c r="F658" i="9"/>
  <c r="C658" i="9"/>
  <c r="Y658" i="9"/>
  <c r="Z658" i="9"/>
  <c r="AB658" i="9"/>
  <c r="AC658" i="9"/>
  <c r="F659" i="9"/>
  <c r="C659" i="9"/>
  <c r="Y659" i="9"/>
  <c r="Z659" i="9"/>
  <c r="AB659" i="9"/>
  <c r="AC659" i="9"/>
  <c r="F660" i="9"/>
  <c r="C660" i="9"/>
  <c r="Y660" i="9"/>
  <c r="Z660" i="9"/>
  <c r="AB660" i="9"/>
  <c r="AC660" i="9"/>
  <c r="F661" i="9"/>
  <c r="C661" i="9"/>
  <c r="Y661" i="9"/>
  <c r="Z661" i="9"/>
  <c r="AB661" i="9"/>
  <c r="AC661" i="9"/>
  <c r="F662" i="9"/>
  <c r="C662" i="9"/>
  <c r="Y662" i="9"/>
  <c r="Z662" i="9"/>
  <c r="AB662" i="9"/>
  <c r="AC662" i="9"/>
  <c r="F663" i="9"/>
  <c r="C663" i="9"/>
  <c r="Y663" i="9"/>
  <c r="Z663" i="9"/>
  <c r="AB663" i="9"/>
  <c r="AC663" i="9"/>
  <c r="F664" i="9"/>
  <c r="C664" i="9"/>
  <c r="Y664" i="9"/>
  <c r="Z664" i="9"/>
  <c r="AB664" i="9"/>
  <c r="AC664" i="9"/>
  <c r="F665" i="9"/>
  <c r="C665" i="9"/>
  <c r="Y665" i="9"/>
  <c r="Z665" i="9"/>
  <c r="AB665" i="9"/>
  <c r="AC665" i="9"/>
  <c r="F666" i="9"/>
  <c r="C666" i="9"/>
  <c r="Y666" i="9"/>
  <c r="Z666" i="9"/>
  <c r="AB666" i="9"/>
  <c r="AC666" i="9"/>
  <c r="F667" i="9"/>
  <c r="C667" i="9"/>
  <c r="Y667" i="9"/>
  <c r="Z667" i="9"/>
  <c r="AB667" i="9"/>
  <c r="AC667" i="9"/>
  <c r="F668" i="9"/>
  <c r="C668" i="9"/>
  <c r="Y668" i="9"/>
  <c r="Z668" i="9"/>
  <c r="AB668" i="9"/>
  <c r="AC668" i="9"/>
  <c r="F669" i="9"/>
  <c r="C669" i="9"/>
  <c r="Y669" i="9"/>
  <c r="Z669" i="9"/>
  <c r="AB669" i="9"/>
  <c r="AC669" i="9"/>
  <c r="F670" i="9"/>
  <c r="C670" i="9"/>
  <c r="Y670" i="9"/>
  <c r="Z670" i="9"/>
  <c r="AB670" i="9"/>
  <c r="AC670" i="9"/>
  <c r="F671" i="9"/>
  <c r="C671" i="9"/>
  <c r="Y671" i="9"/>
  <c r="Z671" i="9"/>
  <c r="AB671" i="9"/>
  <c r="AC671" i="9"/>
  <c r="F672" i="9"/>
  <c r="C672" i="9"/>
  <c r="Y672" i="9"/>
  <c r="Z672" i="9"/>
  <c r="AB672" i="9"/>
  <c r="AC672" i="9"/>
  <c r="F673" i="9"/>
  <c r="C673" i="9"/>
  <c r="Y673" i="9"/>
  <c r="Z673" i="9"/>
  <c r="AB673" i="9"/>
  <c r="AC673" i="9"/>
  <c r="F674" i="9"/>
  <c r="C674" i="9"/>
  <c r="Y674" i="9"/>
  <c r="Z674" i="9"/>
  <c r="AB674" i="9"/>
  <c r="AC674" i="9"/>
  <c r="F675" i="9"/>
  <c r="C675" i="9"/>
  <c r="Y675" i="9"/>
  <c r="Z675" i="9"/>
  <c r="AB675" i="9"/>
  <c r="AC675" i="9"/>
  <c r="F676" i="9"/>
  <c r="C676" i="9"/>
  <c r="Y676" i="9"/>
  <c r="Z676" i="9"/>
  <c r="AB676" i="9"/>
  <c r="AC676" i="9"/>
  <c r="F677" i="9"/>
  <c r="C677" i="9"/>
  <c r="Y677" i="9"/>
  <c r="Z677" i="9"/>
  <c r="AB677" i="9"/>
  <c r="AC677" i="9"/>
  <c r="F678" i="9"/>
  <c r="C678" i="9"/>
  <c r="Y678" i="9"/>
  <c r="Z678" i="9"/>
  <c r="AB678" i="9"/>
  <c r="AC678" i="9"/>
  <c r="F679" i="9"/>
  <c r="C679" i="9"/>
  <c r="Y679" i="9"/>
  <c r="Z679" i="9"/>
  <c r="AB679" i="9"/>
  <c r="AC679" i="9"/>
  <c r="F680" i="9"/>
  <c r="C680" i="9"/>
  <c r="Y680" i="9"/>
  <c r="Z680" i="9"/>
  <c r="AB680" i="9"/>
  <c r="AC680" i="9"/>
  <c r="F681" i="9"/>
  <c r="C681" i="9"/>
  <c r="Y681" i="9"/>
  <c r="Z681" i="9"/>
  <c r="AB681" i="9"/>
  <c r="AC681" i="9"/>
  <c r="F682" i="9"/>
  <c r="C682" i="9"/>
  <c r="Y682" i="9"/>
  <c r="Z682" i="9"/>
  <c r="AB682" i="9"/>
  <c r="AC682" i="9"/>
  <c r="F683" i="9"/>
  <c r="C683" i="9"/>
  <c r="Y683" i="9"/>
  <c r="Z683" i="9"/>
  <c r="AB683" i="9"/>
  <c r="AC683" i="9"/>
  <c r="F684" i="9"/>
  <c r="C684" i="9"/>
  <c r="Y684" i="9"/>
  <c r="Z684" i="9"/>
  <c r="AB684" i="9"/>
  <c r="AC684" i="9"/>
  <c r="F685" i="9"/>
  <c r="C685" i="9"/>
  <c r="Y685" i="9"/>
  <c r="Z685" i="9"/>
  <c r="AB685" i="9"/>
  <c r="AC685" i="9"/>
  <c r="F686" i="9"/>
  <c r="C686" i="9"/>
  <c r="Y686" i="9"/>
  <c r="Z686" i="9"/>
  <c r="AB686" i="9"/>
  <c r="AC686" i="9"/>
  <c r="F687" i="9"/>
  <c r="C687" i="9"/>
  <c r="Y687" i="9"/>
  <c r="Z687" i="9"/>
  <c r="AB687" i="9"/>
  <c r="AC687" i="9"/>
  <c r="F688" i="9"/>
  <c r="C688" i="9"/>
  <c r="Y688" i="9"/>
  <c r="Z688" i="9"/>
  <c r="AB688" i="9"/>
  <c r="AC688" i="9"/>
  <c r="F689" i="9"/>
  <c r="C689" i="9"/>
  <c r="Y689" i="9"/>
  <c r="Z689" i="9"/>
  <c r="AB689" i="9"/>
  <c r="AC689" i="9"/>
  <c r="F690" i="9"/>
  <c r="C690" i="9"/>
  <c r="Y690" i="9"/>
  <c r="Z690" i="9"/>
  <c r="AB690" i="9"/>
  <c r="AC690" i="9"/>
  <c r="F691" i="9"/>
  <c r="C691" i="9"/>
  <c r="Y691" i="9"/>
  <c r="Z691" i="9"/>
  <c r="AB691" i="9"/>
  <c r="AC691" i="9"/>
  <c r="F692" i="9"/>
  <c r="C692" i="9"/>
  <c r="Y692" i="9"/>
  <c r="Z692" i="9"/>
  <c r="AB692" i="9"/>
  <c r="AC692" i="9"/>
  <c r="F693" i="9"/>
  <c r="C693" i="9"/>
  <c r="Y693" i="9"/>
  <c r="Z693" i="9"/>
  <c r="AB693" i="9"/>
  <c r="AC693" i="9"/>
  <c r="F694" i="9"/>
  <c r="C694" i="9"/>
  <c r="Y694" i="9"/>
  <c r="Z694" i="9"/>
  <c r="AB694" i="9"/>
  <c r="AC694" i="9"/>
  <c r="F695" i="9"/>
  <c r="C695" i="9"/>
  <c r="Y695" i="9"/>
  <c r="Z695" i="9"/>
  <c r="AB695" i="9"/>
  <c r="AC695" i="9"/>
  <c r="F696" i="9"/>
  <c r="C696" i="9"/>
  <c r="Y696" i="9"/>
  <c r="Z696" i="9"/>
  <c r="AB696" i="9"/>
  <c r="AC696" i="9"/>
  <c r="F697" i="9"/>
  <c r="C697" i="9"/>
  <c r="Y697" i="9"/>
  <c r="Z697" i="9"/>
  <c r="AB697" i="9"/>
  <c r="AC697" i="9"/>
  <c r="F698" i="9"/>
  <c r="C698" i="9"/>
  <c r="Y698" i="9"/>
  <c r="Z698" i="9"/>
  <c r="AB698" i="9"/>
  <c r="AC698" i="9"/>
  <c r="F699" i="9"/>
  <c r="C699" i="9"/>
  <c r="Y699" i="9"/>
  <c r="Z699" i="9"/>
  <c r="AB699" i="9"/>
  <c r="AC699" i="9"/>
  <c r="F700" i="9"/>
  <c r="C700" i="9"/>
  <c r="Y700" i="9"/>
  <c r="Z700" i="9"/>
  <c r="AB700" i="9"/>
  <c r="AC700" i="9"/>
  <c r="F701" i="9"/>
  <c r="C701" i="9"/>
  <c r="Y701" i="9"/>
  <c r="Z701" i="9"/>
  <c r="AB701" i="9"/>
  <c r="AC701" i="9"/>
  <c r="F702" i="9"/>
  <c r="C702" i="9"/>
  <c r="Y702" i="9"/>
  <c r="Z702" i="9"/>
  <c r="AB702" i="9"/>
  <c r="AC702" i="9"/>
  <c r="F703" i="9"/>
  <c r="C703" i="9"/>
  <c r="Y703" i="9"/>
  <c r="Z703" i="9"/>
  <c r="AB703" i="9"/>
  <c r="AC703" i="9"/>
  <c r="F704" i="9"/>
  <c r="C704" i="9"/>
  <c r="Y704" i="9"/>
  <c r="Z704" i="9"/>
  <c r="AB704" i="9"/>
  <c r="AC704" i="9"/>
  <c r="F705" i="9"/>
  <c r="C705" i="9"/>
  <c r="Y705" i="9"/>
  <c r="Z705" i="9"/>
  <c r="AB705" i="9"/>
  <c r="AC705" i="9"/>
  <c r="F706" i="9"/>
  <c r="C706" i="9"/>
  <c r="Y706" i="9"/>
  <c r="Z706" i="9"/>
  <c r="AB706" i="9"/>
  <c r="AC706" i="9"/>
  <c r="F707" i="9"/>
  <c r="C707" i="9"/>
  <c r="Y707" i="9"/>
  <c r="Z707" i="9"/>
  <c r="AB707" i="9"/>
  <c r="AC707" i="9"/>
  <c r="F708" i="9"/>
  <c r="C708" i="9"/>
  <c r="Y708" i="9"/>
  <c r="Z708" i="9"/>
  <c r="AB708" i="9"/>
  <c r="AC708" i="9"/>
  <c r="F709" i="9"/>
  <c r="C709" i="9"/>
  <c r="Y709" i="9"/>
  <c r="Z709" i="9"/>
  <c r="AB709" i="9"/>
  <c r="AC709" i="9"/>
  <c r="F710" i="9"/>
  <c r="C710" i="9"/>
  <c r="Y710" i="9"/>
  <c r="Z710" i="9"/>
  <c r="AB710" i="9"/>
  <c r="AC710" i="9"/>
  <c r="F711" i="9"/>
  <c r="C711" i="9"/>
  <c r="Y711" i="9"/>
  <c r="Z711" i="9"/>
  <c r="AB711" i="9"/>
  <c r="AC711" i="9"/>
  <c r="F712" i="9"/>
  <c r="C712" i="9"/>
  <c r="Y712" i="9"/>
  <c r="Z712" i="9"/>
  <c r="AB712" i="9"/>
  <c r="AC712" i="9"/>
  <c r="F713" i="9"/>
  <c r="C713" i="9"/>
  <c r="Y713" i="9"/>
  <c r="Z713" i="9"/>
  <c r="AB713" i="9"/>
  <c r="AC713" i="9"/>
  <c r="F714" i="9"/>
  <c r="C714" i="9"/>
  <c r="Y714" i="9"/>
  <c r="Z714" i="9"/>
  <c r="AB714" i="9"/>
  <c r="AC714" i="9"/>
  <c r="F715" i="9"/>
  <c r="C715" i="9"/>
  <c r="Y715" i="9"/>
  <c r="Z715" i="9"/>
  <c r="AB715" i="9"/>
  <c r="AC715" i="9"/>
  <c r="F716" i="9"/>
  <c r="C716" i="9"/>
  <c r="Y716" i="9"/>
  <c r="Z716" i="9"/>
  <c r="AB716" i="9"/>
  <c r="AC716" i="9"/>
  <c r="F717" i="9"/>
  <c r="C717" i="9"/>
  <c r="Y717" i="9"/>
  <c r="Z717" i="9"/>
  <c r="AB717" i="9"/>
  <c r="AC717" i="9"/>
  <c r="F718" i="9"/>
  <c r="C718" i="9"/>
  <c r="Y718" i="9"/>
  <c r="Z718" i="9"/>
  <c r="AB718" i="9"/>
  <c r="AC718" i="9"/>
  <c r="F719" i="9"/>
  <c r="C719" i="9"/>
  <c r="Y719" i="9"/>
  <c r="Z719" i="9"/>
  <c r="AB719" i="9"/>
  <c r="AC719" i="9"/>
  <c r="F720" i="9"/>
  <c r="C720" i="9"/>
  <c r="Y720" i="9"/>
  <c r="Z720" i="9"/>
  <c r="AB720" i="9"/>
  <c r="AC720" i="9"/>
  <c r="F721" i="9"/>
  <c r="C721" i="9"/>
  <c r="Y721" i="9"/>
  <c r="Z721" i="9"/>
  <c r="AB721" i="9"/>
  <c r="AC721" i="9"/>
  <c r="F722" i="9"/>
  <c r="C722" i="9"/>
  <c r="Y722" i="9"/>
  <c r="Z722" i="9"/>
  <c r="AB722" i="9"/>
  <c r="AC722" i="9"/>
  <c r="F723" i="9"/>
  <c r="C723" i="9"/>
  <c r="Y723" i="9"/>
  <c r="Z723" i="9"/>
  <c r="AB723" i="9"/>
  <c r="AC723" i="9"/>
  <c r="F724" i="9"/>
  <c r="C724" i="9"/>
  <c r="Y724" i="9"/>
  <c r="Z724" i="9"/>
  <c r="AB724" i="9"/>
  <c r="AC724" i="9"/>
  <c r="F725" i="9"/>
  <c r="C725" i="9"/>
  <c r="Y725" i="9"/>
  <c r="Z725" i="9"/>
  <c r="AB725" i="9"/>
  <c r="AC725" i="9"/>
  <c r="F726" i="9"/>
  <c r="C726" i="9"/>
  <c r="Y726" i="9"/>
  <c r="Z726" i="9"/>
  <c r="AB726" i="9"/>
  <c r="AC726" i="9"/>
  <c r="F727" i="9"/>
  <c r="C727" i="9"/>
  <c r="Y727" i="9"/>
  <c r="Z727" i="9"/>
  <c r="AB727" i="9"/>
  <c r="AC727" i="9"/>
  <c r="F728" i="9"/>
  <c r="C728" i="9"/>
  <c r="Y728" i="9"/>
  <c r="Z728" i="9"/>
  <c r="AB728" i="9"/>
  <c r="AC728" i="9"/>
  <c r="F729" i="9"/>
  <c r="C729" i="9"/>
  <c r="Y729" i="9"/>
  <c r="Z729" i="9"/>
  <c r="AB729" i="9"/>
  <c r="AC729" i="9"/>
  <c r="F730" i="9"/>
  <c r="C730" i="9"/>
  <c r="Y730" i="9"/>
  <c r="Z730" i="9"/>
  <c r="AB730" i="9"/>
  <c r="AC730" i="9"/>
  <c r="F731" i="9"/>
  <c r="C731" i="9"/>
  <c r="Y731" i="9"/>
  <c r="Z731" i="9"/>
  <c r="AB731" i="9"/>
  <c r="AC731" i="9"/>
  <c r="F732" i="9"/>
  <c r="C732" i="9"/>
  <c r="Y732" i="9"/>
  <c r="Z732" i="9"/>
  <c r="AB732" i="9"/>
  <c r="AC732" i="9"/>
  <c r="F733" i="9"/>
  <c r="C733" i="9"/>
  <c r="Y733" i="9"/>
  <c r="Z733" i="9"/>
  <c r="AB733" i="9"/>
  <c r="AC733" i="9"/>
  <c r="F734" i="9"/>
  <c r="C734" i="9"/>
  <c r="Y734" i="9"/>
  <c r="Z734" i="9"/>
  <c r="AB734" i="9"/>
  <c r="AC734" i="9"/>
  <c r="F735" i="9"/>
  <c r="C735" i="9"/>
  <c r="Y735" i="9"/>
  <c r="Z735" i="9"/>
  <c r="AB735" i="9"/>
  <c r="AC735" i="9"/>
  <c r="F736" i="9"/>
  <c r="C736" i="9"/>
  <c r="Y736" i="9"/>
  <c r="Z736" i="9"/>
  <c r="AB736" i="9"/>
  <c r="AC736" i="9"/>
  <c r="F737" i="9"/>
  <c r="C737" i="9"/>
  <c r="Y737" i="9"/>
  <c r="Z737" i="9"/>
  <c r="AB737" i="9"/>
  <c r="AC737" i="9"/>
  <c r="F738" i="9"/>
  <c r="C738" i="9"/>
  <c r="Y738" i="9"/>
  <c r="Z738" i="9"/>
  <c r="AB738" i="9"/>
  <c r="AC738" i="9"/>
  <c r="F739" i="9"/>
  <c r="C739" i="9"/>
  <c r="Y739" i="9"/>
  <c r="Z739" i="9"/>
  <c r="AB739" i="9"/>
  <c r="AC739" i="9"/>
  <c r="F740" i="9"/>
  <c r="C740" i="9"/>
  <c r="Y740" i="9"/>
  <c r="Z740" i="9"/>
  <c r="AB740" i="9"/>
  <c r="AC740" i="9"/>
  <c r="F741" i="9"/>
  <c r="C741" i="9"/>
  <c r="Y741" i="9"/>
  <c r="Z741" i="9"/>
  <c r="AB741" i="9"/>
  <c r="AC741" i="9"/>
  <c r="F742" i="9"/>
  <c r="C742" i="9"/>
  <c r="Y742" i="9"/>
  <c r="Z742" i="9"/>
  <c r="AB742" i="9"/>
  <c r="AC742" i="9"/>
  <c r="F743" i="9"/>
  <c r="C743" i="9"/>
  <c r="Y743" i="9"/>
  <c r="Z743" i="9"/>
  <c r="AB743" i="9"/>
  <c r="AC743" i="9"/>
  <c r="F744" i="9"/>
  <c r="C744" i="9"/>
  <c r="Y744" i="9"/>
  <c r="Z744" i="9"/>
  <c r="AB744" i="9"/>
  <c r="AC744" i="9"/>
  <c r="F745" i="9"/>
  <c r="C745" i="9"/>
  <c r="Y745" i="9"/>
  <c r="Z745" i="9"/>
  <c r="AB745" i="9"/>
  <c r="AC745" i="9"/>
  <c r="F746" i="9"/>
  <c r="C746" i="9"/>
  <c r="Y746" i="9"/>
  <c r="Z746" i="9"/>
  <c r="AB746" i="9"/>
  <c r="AC746" i="9"/>
  <c r="F747" i="9"/>
  <c r="C747" i="9"/>
  <c r="Y747" i="9"/>
  <c r="Z747" i="9"/>
  <c r="AB747" i="9"/>
  <c r="AC747" i="9"/>
  <c r="F748" i="9"/>
  <c r="C748" i="9"/>
  <c r="Y748" i="9"/>
  <c r="Z748" i="9"/>
  <c r="AB748" i="9"/>
  <c r="AC748" i="9"/>
  <c r="F749" i="9"/>
  <c r="C749" i="9"/>
  <c r="Y749" i="9"/>
  <c r="Z749" i="9"/>
  <c r="AB749" i="9"/>
  <c r="AC749" i="9"/>
  <c r="F750" i="9"/>
  <c r="C750" i="9"/>
  <c r="Y750" i="9"/>
  <c r="Z750" i="9"/>
  <c r="AB750" i="9"/>
  <c r="AC750" i="9"/>
  <c r="F751" i="9"/>
  <c r="C751" i="9"/>
  <c r="Y751" i="9"/>
  <c r="Z751" i="9"/>
  <c r="AB751" i="9"/>
  <c r="AC751" i="9"/>
  <c r="F752" i="9"/>
  <c r="C752" i="9"/>
  <c r="Y752" i="9"/>
  <c r="Z752" i="9"/>
  <c r="AB752" i="9"/>
  <c r="AC752" i="9"/>
  <c r="F753" i="9"/>
  <c r="C753" i="9"/>
  <c r="Y753" i="9"/>
  <c r="Z753" i="9"/>
  <c r="AB753" i="9"/>
  <c r="AC753" i="9"/>
  <c r="F754" i="9"/>
  <c r="C754" i="9"/>
  <c r="Y754" i="9"/>
  <c r="Z754" i="9"/>
  <c r="AB754" i="9"/>
  <c r="AC754" i="9"/>
  <c r="F755" i="9"/>
  <c r="C755" i="9"/>
  <c r="Y755" i="9"/>
  <c r="Z755" i="9"/>
  <c r="AB755" i="9"/>
  <c r="AC755" i="9"/>
  <c r="F756" i="9"/>
  <c r="C756" i="9"/>
  <c r="Y756" i="9"/>
  <c r="Z756" i="9"/>
  <c r="AB756" i="9"/>
  <c r="AC756" i="9"/>
  <c r="F757" i="9"/>
  <c r="C757" i="9"/>
  <c r="Y757" i="9"/>
  <c r="Z757" i="9"/>
  <c r="AB757" i="9"/>
  <c r="AC757" i="9"/>
  <c r="F758" i="9"/>
  <c r="C758" i="9"/>
  <c r="Y758" i="9"/>
  <c r="Z758" i="9"/>
  <c r="AB758" i="9"/>
  <c r="AC758" i="9"/>
  <c r="F759" i="9"/>
  <c r="C759" i="9"/>
  <c r="Y759" i="9"/>
  <c r="Z759" i="9"/>
  <c r="AB759" i="9"/>
  <c r="AC759" i="9"/>
  <c r="F760" i="9"/>
  <c r="C760" i="9"/>
  <c r="Y760" i="9"/>
  <c r="Z760" i="9"/>
  <c r="AB760" i="9"/>
  <c r="AC760" i="9"/>
  <c r="F761" i="9"/>
  <c r="C761" i="9"/>
  <c r="Y761" i="9"/>
  <c r="Z761" i="9"/>
  <c r="AB761" i="9"/>
  <c r="AC761" i="9"/>
  <c r="F762" i="9"/>
  <c r="C762" i="9"/>
  <c r="Y762" i="9"/>
  <c r="Z762" i="9"/>
  <c r="AB762" i="9"/>
  <c r="AC762" i="9"/>
  <c r="F763" i="9"/>
  <c r="C763" i="9"/>
  <c r="Y763" i="9"/>
  <c r="Z763" i="9"/>
  <c r="AB763" i="9"/>
  <c r="AC763" i="9"/>
  <c r="F764" i="9"/>
  <c r="C764" i="9"/>
  <c r="Y764" i="9"/>
  <c r="Z764" i="9"/>
  <c r="AB764" i="9"/>
  <c r="AC764" i="9"/>
  <c r="F765" i="9"/>
  <c r="C765" i="9"/>
  <c r="Y765" i="9"/>
  <c r="Z765" i="9"/>
  <c r="AB765" i="9"/>
  <c r="AC765" i="9"/>
  <c r="F766" i="9"/>
  <c r="C766" i="9"/>
  <c r="Y766" i="9"/>
  <c r="Z766" i="9"/>
  <c r="AB766" i="9"/>
  <c r="AC766" i="9"/>
  <c r="F767" i="9"/>
  <c r="C767" i="9"/>
  <c r="Y767" i="9"/>
  <c r="Z767" i="9"/>
  <c r="AB767" i="9"/>
  <c r="AC767" i="9"/>
  <c r="F768" i="9"/>
  <c r="C768" i="9"/>
  <c r="Y768" i="9"/>
  <c r="Z768" i="9"/>
  <c r="AB768" i="9"/>
  <c r="AC768" i="9"/>
  <c r="F769" i="9"/>
  <c r="C769" i="9"/>
  <c r="Y769" i="9"/>
  <c r="Z769" i="9"/>
  <c r="AB769" i="9"/>
  <c r="AC769" i="9"/>
  <c r="F770" i="9"/>
  <c r="C770" i="9"/>
  <c r="Y770" i="9"/>
  <c r="Z770" i="9"/>
  <c r="AB770" i="9"/>
  <c r="AC770" i="9"/>
  <c r="F771" i="9"/>
  <c r="C771" i="9"/>
  <c r="Y771" i="9"/>
  <c r="Z771" i="9"/>
  <c r="AB771" i="9"/>
  <c r="AC771" i="9"/>
  <c r="F772" i="9"/>
  <c r="C772" i="9"/>
  <c r="Y772" i="9"/>
  <c r="Z772" i="9"/>
  <c r="AB772" i="9"/>
  <c r="AC772" i="9"/>
  <c r="F773" i="9"/>
  <c r="C773" i="9"/>
  <c r="Y773" i="9"/>
  <c r="Z773" i="9"/>
  <c r="AB773" i="9"/>
  <c r="AC773" i="9"/>
  <c r="F774" i="9"/>
  <c r="C774" i="9"/>
  <c r="Y774" i="9"/>
  <c r="Z774" i="9"/>
  <c r="AB774" i="9"/>
  <c r="AC774" i="9"/>
  <c r="F775" i="9"/>
  <c r="C775" i="9"/>
  <c r="Y775" i="9"/>
  <c r="Z775" i="9"/>
  <c r="AB775" i="9"/>
  <c r="AC775" i="9"/>
  <c r="F776" i="9"/>
  <c r="C776" i="9"/>
  <c r="Y776" i="9"/>
  <c r="Z776" i="9"/>
  <c r="AB776" i="9"/>
  <c r="AC776" i="9"/>
  <c r="F777" i="9"/>
  <c r="C777" i="9"/>
  <c r="Y777" i="9"/>
  <c r="Z777" i="9"/>
  <c r="AB777" i="9"/>
  <c r="AC777" i="9"/>
  <c r="F778" i="9"/>
  <c r="C778" i="9"/>
  <c r="Y778" i="9"/>
  <c r="Z778" i="9"/>
  <c r="AB778" i="9"/>
  <c r="AC778" i="9"/>
  <c r="F779" i="9"/>
  <c r="C779" i="9"/>
  <c r="Y779" i="9"/>
  <c r="Z779" i="9"/>
  <c r="AB779" i="9"/>
  <c r="AC779" i="9"/>
  <c r="F780" i="9"/>
  <c r="C780" i="9"/>
  <c r="Y780" i="9"/>
  <c r="Z780" i="9"/>
  <c r="AB780" i="9"/>
  <c r="AC780" i="9"/>
  <c r="F781" i="9"/>
  <c r="C781" i="9"/>
  <c r="Y781" i="9"/>
  <c r="Z781" i="9"/>
  <c r="AB781" i="9"/>
  <c r="AC781" i="9"/>
  <c r="F782" i="9"/>
  <c r="C782" i="9"/>
  <c r="Y782" i="9"/>
  <c r="Z782" i="9"/>
  <c r="AB782" i="9"/>
  <c r="AC782" i="9"/>
  <c r="F783" i="9"/>
  <c r="C783" i="9"/>
  <c r="Y783" i="9"/>
  <c r="Z783" i="9"/>
  <c r="AB783" i="9"/>
  <c r="AC783" i="9"/>
  <c r="F784" i="9"/>
  <c r="C784" i="9"/>
  <c r="Y784" i="9"/>
  <c r="Z784" i="9"/>
  <c r="AB784" i="9"/>
  <c r="AC784" i="9"/>
  <c r="F785" i="9"/>
  <c r="C785" i="9"/>
  <c r="Y785" i="9"/>
  <c r="Z785" i="9"/>
  <c r="AB785" i="9"/>
  <c r="AC785" i="9"/>
  <c r="F786" i="9"/>
  <c r="C786" i="9"/>
  <c r="Y786" i="9"/>
  <c r="Z786" i="9"/>
  <c r="AB786" i="9"/>
  <c r="AC786" i="9"/>
  <c r="F787" i="9"/>
  <c r="C787" i="9"/>
  <c r="Y787" i="9"/>
  <c r="Z787" i="9"/>
  <c r="AB787" i="9"/>
  <c r="AC787" i="9"/>
  <c r="F788" i="9"/>
  <c r="C788" i="9"/>
  <c r="Y788" i="9"/>
  <c r="Z788" i="9"/>
  <c r="AB788" i="9"/>
  <c r="AC788" i="9"/>
  <c r="F789" i="9"/>
  <c r="C789" i="9"/>
  <c r="Y789" i="9"/>
  <c r="Z789" i="9"/>
  <c r="AB789" i="9"/>
  <c r="AC789" i="9"/>
  <c r="F790" i="9"/>
  <c r="C790" i="9"/>
  <c r="Y790" i="9"/>
  <c r="Z790" i="9"/>
  <c r="AB790" i="9"/>
  <c r="AC790" i="9"/>
  <c r="F791" i="9"/>
  <c r="C791" i="9"/>
  <c r="Y791" i="9"/>
  <c r="Z791" i="9"/>
  <c r="AB791" i="9"/>
  <c r="AC791" i="9"/>
  <c r="F792" i="9"/>
  <c r="C792" i="9"/>
  <c r="Y792" i="9"/>
  <c r="Z792" i="9"/>
  <c r="AB792" i="9"/>
  <c r="AC792" i="9"/>
  <c r="F793" i="9"/>
  <c r="C793" i="9"/>
  <c r="Y793" i="9"/>
  <c r="Z793" i="9"/>
  <c r="AB793" i="9"/>
  <c r="AC793" i="9"/>
  <c r="F794" i="9"/>
  <c r="C794" i="9"/>
  <c r="Y794" i="9"/>
  <c r="Z794" i="9"/>
  <c r="AB794" i="9"/>
  <c r="AC794" i="9"/>
  <c r="F795" i="9"/>
  <c r="C795" i="9"/>
  <c r="Y795" i="9"/>
  <c r="Z795" i="9"/>
  <c r="AB795" i="9"/>
  <c r="AC795" i="9"/>
  <c r="F796" i="9"/>
  <c r="C796" i="9"/>
  <c r="Y796" i="9"/>
  <c r="Z796" i="9"/>
  <c r="AB796" i="9"/>
  <c r="AC796" i="9"/>
  <c r="F797" i="9"/>
  <c r="C797" i="9"/>
  <c r="Y797" i="9"/>
  <c r="Z797" i="9"/>
  <c r="AB797" i="9"/>
  <c r="AC797" i="9"/>
  <c r="F798" i="9"/>
  <c r="C798" i="9"/>
  <c r="Y798" i="9"/>
  <c r="Z798" i="9"/>
  <c r="AB798" i="9"/>
  <c r="AC798" i="9"/>
  <c r="F799" i="9"/>
  <c r="C799" i="9"/>
  <c r="Y799" i="9"/>
  <c r="Z799" i="9"/>
  <c r="AB799" i="9"/>
  <c r="AC799" i="9"/>
  <c r="F800" i="9"/>
  <c r="C800" i="9"/>
  <c r="Y800" i="9"/>
  <c r="Z800" i="9"/>
  <c r="AB800" i="9"/>
  <c r="AC800" i="9"/>
  <c r="F801" i="9"/>
  <c r="C801" i="9"/>
  <c r="Y801" i="9"/>
  <c r="Z801" i="9"/>
  <c r="AB801" i="9"/>
  <c r="AC801" i="9"/>
  <c r="F802" i="9"/>
  <c r="C802" i="9"/>
  <c r="Y802" i="9"/>
  <c r="Z802" i="9"/>
  <c r="AB802" i="9"/>
  <c r="AC802" i="9"/>
  <c r="F803" i="9"/>
  <c r="C803" i="9"/>
  <c r="Y803" i="9"/>
  <c r="Z803" i="9"/>
  <c r="AB803" i="9"/>
  <c r="AC803" i="9"/>
  <c r="F804" i="9"/>
  <c r="C804" i="9"/>
  <c r="Y804" i="9"/>
  <c r="Z804" i="9"/>
  <c r="AB804" i="9"/>
  <c r="AC804" i="9"/>
  <c r="F805" i="9"/>
  <c r="C805" i="9"/>
  <c r="Y805" i="9"/>
  <c r="Z805" i="9"/>
  <c r="AB805" i="9"/>
  <c r="AC805" i="9"/>
  <c r="F806" i="9"/>
  <c r="C806" i="9"/>
  <c r="Y806" i="9"/>
  <c r="Z806" i="9"/>
  <c r="AB806" i="9"/>
  <c r="AC806" i="9"/>
  <c r="F807" i="9"/>
  <c r="C807" i="9"/>
  <c r="Y807" i="9"/>
  <c r="Z807" i="9"/>
  <c r="AB807" i="9"/>
  <c r="AC807" i="9"/>
  <c r="F808" i="9"/>
  <c r="C808" i="9"/>
  <c r="Y808" i="9"/>
  <c r="Z808" i="9"/>
  <c r="AB808" i="9"/>
  <c r="AC808" i="9"/>
  <c r="F809" i="9"/>
  <c r="C809" i="9"/>
  <c r="Y809" i="9"/>
  <c r="Z809" i="9"/>
  <c r="AB809" i="9"/>
  <c r="AC809" i="9"/>
  <c r="F810" i="9"/>
  <c r="C810" i="9"/>
  <c r="Y810" i="9"/>
  <c r="Z810" i="9"/>
  <c r="AB810" i="9"/>
  <c r="AC810" i="9"/>
  <c r="F811" i="9"/>
  <c r="C811" i="9"/>
  <c r="Y811" i="9"/>
  <c r="Z811" i="9"/>
  <c r="AB811" i="9"/>
  <c r="AC811" i="9"/>
  <c r="F812" i="9"/>
  <c r="C812" i="9"/>
  <c r="Y812" i="9"/>
  <c r="Z812" i="9"/>
  <c r="AB812" i="9"/>
  <c r="AC812" i="9"/>
  <c r="F813" i="9"/>
  <c r="C813" i="9"/>
  <c r="Y813" i="9"/>
  <c r="Z813" i="9"/>
  <c r="AB813" i="9"/>
  <c r="AC813" i="9"/>
  <c r="F814" i="9"/>
  <c r="C814" i="9"/>
  <c r="Y814" i="9"/>
  <c r="Z814" i="9"/>
  <c r="AB814" i="9"/>
  <c r="AC814" i="9"/>
  <c r="F815" i="9"/>
  <c r="C815" i="9"/>
  <c r="Y815" i="9"/>
  <c r="Z815" i="9"/>
  <c r="AB815" i="9"/>
  <c r="AC815" i="9"/>
  <c r="F816" i="9"/>
  <c r="C816" i="9"/>
  <c r="Y816" i="9"/>
  <c r="Z816" i="9"/>
  <c r="AB816" i="9"/>
  <c r="AC816" i="9"/>
  <c r="F817" i="9"/>
  <c r="C817" i="9"/>
  <c r="Y817" i="9"/>
  <c r="Z817" i="9"/>
  <c r="AB817" i="9"/>
  <c r="AC817" i="9"/>
  <c r="F818" i="9"/>
  <c r="C818" i="9"/>
  <c r="Y818" i="9"/>
  <c r="Z818" i="9"/>
  <c r="AB818" i="9"/>
  <c r="AC818" i="9"/>
  <c r="F819" i="9"/>
  <c r="C819" i="9"/>
  <c r="Y819" i="9"/>
  <c r="Z819" i="9"/>
  <c r="AB819" i="9"/>
  <c r="AC819" i="9"/>
  <c r="F820" i="9"/>
  <c r="C820" i="9"/>
  <c r="Y820" i="9"/>
  <c r="Z820" i="9"/>
  <c r="AB820" i="9"/>
  <c r="AC820" i="9"/>
  <c r="F821" i="9"/>
  <c r="C821" i="9"/>
  <c r="Y821" i="9"/>
  <c r="Z821" i="9"/>
  <c r="AB821" i="9"/>
  <c r="AC821" i="9"/>
  <c r="F822" i="9"/>
  <c r="C822" i="9"/>
  <c r="Y822" i="9"/>
  <c r="Z822" i="9"/>
  <c r="AB822" i="9"/>
  <c r="AC822" i="9"/>
  <c r="F823" i="9"/>
  <c r="C823" i="9"/>
  <c r="Y823" i="9"/>
  <c r="Z823" i="9"/>
  <c r="AB823" i="9"/>
  <c r="AC823" i="9"/>
  <c r="F824" i="9"/>
  <c r="C824" i="9"/>
  <c r="Y824" i="9"/>
  <c r="Z824" i="9"/>
  <c r="AB824" i="9"/>
  <c r="AC824" i="9"/>
  <c r="F825" i="9"/>
  <c r="C825" i="9"/>
  <c r="Y825" i="9"/>
  <c r="Z825" i="9"/>
  <c r="AB825" i="9"/>
  <c r="AC825" i="9"/>
  <c r="F826" i="9"/>
  <c r="C826" i="9"/>
  <c r="Y826" i="9"/>
  <c r="Z826" i="9"/>
  <c r="AB826" i="9"/>
  <c r="AC826" i="9"/>
  <c r="F827" i="9"/>
  <c r="C827" i="9"/>
  <c r="Y827" i="9"/>
  <c r="Z827" i="9"/>
  <c r="AB827" i="9"/>
  <c r="AC827" i="9"/>
  <c r="F828" i="9"/>
  <c r="C828" i="9"/>
  <c r="Y828" i="9"/>
  <c r="Z828" i="9"/>
  <c r="AB828" i="9"/>
  <c r="AC828" i="9"/>
  <c r="F829" i="9"/>
  <c r="C829" i="9"/>
  <c r="Y829" i="9"/>
  <c r="Z829" i="9"/>
  <c r="AB829" i="9"/>
  <c r="AC829" i="9"/>
  <c r="F830" i="9"/>
  <c r="C830" i="9"/>
  <c r="Y830" i="9"/>
  <c r="Z830" i="9"/>
  <c r="AB830" i="9"/>
  <c r="AC830" i="9"/>
  <c r="F831" i="9"/>
  <c r="C831" i="9"/>
  <c r="Y831" i="9"/>
  <c r="Z831" i="9"/>
  <c r="AB831" i="9"/>
  <c r="AC831" i="9"/>
  <c r="F832" i="9"/>
  <c r="C832" i="9"/>
  <c r="Y832" i="9"/>
  <c r="Z832" i="9"/>
  <c r="AB832" i="9"/>
  <c r="AC832" i="9"/>
  <c r="F833" i="9"/>
  <c r="C833" i="9"/>
  <c r="Y833" i="9"/>
  <c r="Z833" i="9"/>
  <c r="AB833" i="9"/>
  <c r="AC833" i="9"/>
  <c r="F834" i="9"/>
  <c r="C834" i="9"/>
  <c r="Y834" i="9"/>
  <c r="Z834" i="9"/>
  <c r="AB834" i="9"/>
  <c r="AC834" i="9"/>
  <c r="F835" i="9"/>
  <c r="C835" i="9"/>
  <c r="Y835" i="9"/>
  <c r="Z835" i="9"/>
  <c r="AB835" i="9"/>
  <c r="AC835" i="9"/>
  <c r="F836" i="9"/>
  <c r="C836" i="9"/>
  <c r="Y836" i="9"/>
  <c r="Z836" i="9"/>
  <c r="AB836" i="9"/>
  <c r="AC836" i="9"/>
  <c r="F837" i="9"/>
  <c r="C837" i="9"/>
  <c r="Y837" i="9"/>
  <c r="Z837" i="9"/>
  <c r="AB837" i="9"/>
  <c r="AC837" i="9"/>
  <c r="F838" i="9"/>
  <c r="C838" i="9"/>
  <c r="Y838" i="9"/>
  <c r="Z838" i="9"/>
  <c r="AB838" i="9"/>
  <c r="AC838" i="9"/>
  <c r="F839" i="9"/>
  <c r="C839" i="9"/>
  <c r="Y839" i="9"/>
  <c r="Z839" i="9"/>
  <c r="AB839" i="9"/>
  <c r="AC839" i="9"/>
  <c r="F840" i="9"/>
  <c r="C840" i="9"/>
  <c r="Y840" i="9"/>
  <c r="Z840" i="9"/>
  <c r="AB840" i="9"/>
  <c r="AC840" i="9"/>
  <c r="F841" i="9"/>
  <c r="C841" i="9"/>
  <c r="Y841" i="9"/>
  <c r="Z841" i="9"/>
  <c r="AB841" i="9"/>
  <c r="AC841" i="9"/>
  <c r="F842" i="9"/>
  <c r="C842" i="9"/>
  <c r="Y842" i="9"/>
  <c r="Z842" i="9"/>
  <c r="AB842" i="9"/>
  <c r="AC842" i="9"/>
  <c r="F843" i="9"/>
  <c r="C843" i="9"/>
  <c r="Y843" i="9"/>
  <c r="Z843" i="9"/>
  <c r="AB843" i="9"/>
  <c r="AC843" i="9"/>
  <c r="F844" i="9"/>
  <c r="C844" i="9"/>
  <c r="Y844" i="9"/>
  <c r="Z844" i="9"/>
  <c r="AB844" i="9"/>
  <c r="AC844" i="9"/>
  <c r="F845" i="9"/>
  <c r="C845" i="9"/>
  <c r="Y845" i="9"/>
  <c r="Z845" i="9"/>
  <c r="AB845" i="9"/>
  <c r="AC845" i="9"/>
  <c r="F846" i="9"/>
  <c r="C846" i="9"/>
  <c r="Y846" i="9"/>
  <c r="Z846" i="9"/>
  <c r="AB846" i="9"/>
  <c r="AC846" i="9"/>
  <c r="F847" i="9"/>
  <c r="C847" i="9"/>
  <c r="Y847" i="9"/>
  <c r="Z847" i="9"/>
  <c r="AB847" i="9"/>
  <c r="AC847" i="9"/>
  <c r="F848" i="9"/>
  <c r="C848" i="9"/>
  <c r="Y848" i="9"/>
  <c r="Z848" i="9"/>
  <c r="AB848" i="9"/>
  <c r="AC848" i="9"/>
  <c r="F849" i="9"/>
  <c r="C849" i="9"/>
  <c r="Y849" i="9"/>
  <c r="Z849" i="9"/>
  <c r="AB849" i="9"/>
  <c r="AC849" i="9"/>
  <c r="F850" i="9"/>
  <c r="C850" i="9"/>
  <c r="Y850" i="9"/>
  <c r="Z850" i="9"/>
  <c r="AB850" i="9"/>
  <c r="AC850" i="9"/>
  <c r="F851" i="9"/>
  <c r="C851" i="9"/>
  <c r="Y851" i="9"/>
  <c r="Z851" i="9"/>
  <c r="AB851" i="9"/>
  <c r="AC851" i="9"/>
  <c r="F852" i="9"/>
  <c r="C852" i="9"/>
  <c r="Y852" i="9"/>
  <c r="Z852" i="9"/>
  <c r="AB852" i="9"/>
  <c r="AC852" i="9"/>
  <c r="F853" i="9"/>
  <c r="C853" i="9"/>
  <c r="Y853" i="9"/>
  <c r="Z853" i="9"/>
  <c r="AB853" i="9"/>
  <c r="AC853" i="9"/>
  <c r="F854" i="9"/>
  <c r="C854" i="9"/>
  <c r="Y854" i="9"/>
  <c r="Z854" i="9"/>
  <c r="AB854" i="9"/>
  <c r="AC854" i="9"/>
  <c r="F855" i="9"/>
  <c r="C855" i="9"/>
  <c r="Y855" i="9"/>
  <c r="Z855" i="9"/>
  <c r="AB855" i="9"/>
  <c r="AC855" i="9"/>
  <c r="F856" i="9"/>
  <c r="C856" i="9"/>
  <c r="Y856" i="9"/>
  <c r="Z856" i="9"/>
  <c r="AB856" i="9"/>
  <c r="AC856" i="9"/>
  <c r="F857" i="9"/>
  <c r="C857" i="9"/>
  <c r="Y857" i="9"/>
  <c r="Z857" i="9"/>
  <c r="AB857" i="9"/>
  <c r="AC857" i="9"/>
  <c r="F858" i="9"/>
  <c r="C858" i="9"/>
  <c r="Y858" i="9"/>
  <c r="Z858" i="9"/>
  <c r="AB858" i="9"/>
  <c r="AC858" i="9"/>
  <c r="F859" i="9"/>
  <c r="C859" i="9"/>
  <c r="Y859" i="9"/>
  <c r="Z859" i="9"/>
  <c r="AB859" i="9"/>
  <c r="AC859" i="9"/>
  <c r="F860" i="9"/>
  <c r="C860" i="9"/>
  <c r="Y860" i="9"/>
  <c r="Z860" i="9"/>
  <c r="AB860" i="9"/>
  <c r="AC860" i="9"/>
  <c r="F861" i="9"/>
  <c r="C861" i="9"/>
  <c r="Y861" i="9"/>
  <c r="Z861" i="9"/>
  <c r="AB861" i="9"/>
  <c r="AC861" i="9"/>
  <c r="F862" i="9"/>
  <c r="C862" i="9"/>
  <c r="Y862" i="9"/>
  <c r="Z862" i="9"/>
  <c r="AB862" i="9"/>
  <c r="AC862" i="9"/>
  <c r="F863" i="9"/>
  <c r="C863" i="9"/>
  <c r="Y863" i="9"/>
  <c r="Z863" i="9"/>
  <c r="AB863" i="9"/>
  <c r="AC863" i="9"/>
  <c r="F864" i="9"/>
  <c r="C864" i="9"/>
  <c r="Y864" i="9"/>
  <c r="Z864" i="9"/>
  <c r="AB864" i="9"/>
  <c r="AC864" i="9"/>
  <c r="F865" i="9"/>
  <c r="C865" i="9"/>
  <c r="Y865" i="9"/>
  <c r="Z865" i="9"/>
  <c r="AB865" i="9"/>
  <c r="AC865" i="9"/>
  <c r="F866" i="9"/>
  <c r="C866" i="9"/>
  <c r="Y866" i="9"/>
  <c r="Z866" i="9"/>
  <c r="AB866" i="9"/>
  <c r="AC866" i="9"/>
  <c r="F867" i="9"/>
  <c r="C867" i="9"/>
  <c r="Y867" i="9"/>
  <c r="Z867" i="9"/>
  <c r="AB867" i="9"/>
  <c r="AC867" i="9"/>
  <c r="F868" i="9"/>
  <c r="C868" i="9"/>
  <c r="Y868" i="9"/>
  <c r="Z868" i="9"/>
  <c r="AB868" i="9"/>
  <c r="AC868" i="9"/>
  <c r="F869" i="9"/>
  <c r="C869" i="9"/>
  <c r="Y869" i="9"/>
  <c r="Z869" i="9"/>
  <c r="AB869" i="9"/>
  <c r="AC869" i="9"/>
  <c r="F870" i="9"/>
  <c r="C870" i="9"/>
  <c r="Y870" i="9"/>
  <c r="Z870" i="9"/>
  <c r="AB870" i="9"/>
  <c r="AC870" i="9"/>
  <c r="F871" i="9"/>
  <c r="C871" i="9"/>
  <c r="Y871" i="9"/>
  <c r="Z871" i="9"/>
  <c r="AB871" i="9"/>
  <c r="AC871" i="9"/>
  <c r="F872" i="9"/>
  <c r="C872" i="9"/>
  <c r="Y872" i="9"/>
  <c r="Z872" i="9"/>
  <c r="AB872" i="9"/>
  <c r="AC872" i="9"/>
  <c r="F873" i="9"/>
  <c r="C873" i="9"/>
  <c r="Y873" i="9"/>
  <c r="Z873" i="9"/>
  <c r="AB873" i="9"/>
  <c r="AC873" i="9"/>
  <c r="F874" i="9"/>
  <c r="C874" i="9"/>
  <c r="Y874" i="9"/>
  <c r="Z874" i="9"/>
  <c r="AB874" i="9"/>
  <c r="AC874" i="9"/>
  <c r="F875" i="9"/>
  <c r="C875" i="9"/>
  <c r="Y875" i="9"/>
  <c r="Z875" i="9"/>
  <c r="AB875" i="9"/>
  <c r="AC875" i="9"/>
  <c r="F876" i="9"/>
  <c r="C876" i="9"/>
  <c r="Y876" i="9"/>
  <c r="Z876" i="9"/>
  <c r="AB876" i="9"/>
  <c r="AC876" i="9"/>
  <c r="F877" i="9"/>
  <c r="C877" i="9"/>
  <c r="Y877" i="9"/>
  <c r="Z877" i="9"/>
  <c r="AB877" i="9"/>
  <c r="AC877" i="9"/>
  <c r="F878" i="9"/>
  <c r="C878" i="9"/>
  <c r="Y878" i="9"/>
  <c r="Z878" i="9"/>
  <c r="AB878" i="9"/>
  <c r="AC878" i="9"/>
  <c r="F879" i="9"/>
  <c r="C879" i="9"/>
  <c r="Y879" i="9"/>
  <c r="Z879" i="9"/>
  <c r="AB879" i="9"/>
  <c r="AC879" i="9"/>
  <c r="F880" i="9"/>
  <c r="C880" i="9"/>
  <c r="Y880" i="9"/>
  <c r="Z880" i="9"/>
  <c r="AB880" i="9"/>
  <c r="AC880" i="9"/>
  <c r="F881" i="9"/>
  <c r="C881" i="9"/>
  <c r="Y881" i="9"/>
  <c r="Z881" i="9"/>
  <c r="AB881" i="9"/>
  <c r="AC881" i="9"/>
  <c r="F882" i="9"/>
  <c r="C882" i="9"/>
  <c r="Y882" i="9"/>
  <c r="Z882" i="9"/>
  <c r="AB882" i="9"/>
  <c r="AC882" i="9"/>
  <c r="F883" i="9"/>
  <c r="C883" i="9"/>
  <c r="Y883" i="9"/>
  <c r="Z883" i="9"/>
  <c r="AB883" i="9"/>
  <c r="AC883" i="9"/>
  <c r="F884" i="9"/>
  <c r="C884" i="9"/>
  <c r="Y884" i="9"/>
  <c r="Z884" i="9"/>
  <c r="AB884" i="9"/>
  <c r="AC884" i="9"/>
  <c r="F885" i="9"/>
  <c r="C885" i="9"/>
  <c r="Y885" i="9"/>
  <c r="Z885" i="9"/>
  <c r="AB885" i="9"/>
  <c r="AC885" i="9"/>
  <c r="F886" i="9"/>
  <c r="C886" i="9"/>
  <c r="Y886" i="9"/>
  <c r="Z886" i="9"/>
  <c r="AB886" i="9"/>
  <c r="AC886" i="9"/>
  <c r="F887" i="9"/>
  <c r="C887" i="9"/>
  <c r="Y887" i="9"/>
  <c r="Z887" i="9"/>
  <c r="AB887" i="9"/>
  <c r="AC887" i="9"/>
  <c r="F888" i="9"/>
  <c r="C888" i="9"/>
  <c r="Y888" i="9"/>
  <c r="Z888" i="9"/>
  <c r="AB888" i="9"/>
  <c r="AC888" i="9"/>
  <c r="F889" i="9"/>
  <c r="C889" i="9"/>
  <c r="Y889" i="9"/>
  <c r="Z889" i="9"/>
  <c r="AB889" i="9"/>
  <c r="AC889" i="9"/>
  <c r="F890" i="9"/>
  <c r="C890" i="9"/>
  <c r="Y890" i="9"/>
  <c r="Z890" i="9"/>
  <c r="AB890" i="9"/>
  <c r="AC890" i="9"/>
  <c r="F891" i="9"/>
  <c r="C891" i="9"/>
  <c r="Y891" i="9"/>
  <c r="Z891" i="9"/>
  <c r="AB891" i="9"/>
  <c r="AC891" i="9"/>
  <c r="F892" i="9"/>
  <c r="C892" i="9"/>
  <c r="Y892" i="9"/>
  <c r="Z892" i="9"/>
  <c r="AB892" i="9"/>
  <c r="AC892" i="9"/>
  <c r="F893" i="9"/>
  <c r="C893" i="9"/>
  <c r="Y893" i="9"/>
  <c r="Z893" i="9"/>
  <c r="AB893" i="9"/>
  <c r="AC893" i="9"/>
  <c r="F894" i="9"/>
  <c r="C894" i="9"/>
  <c r="Y894" i="9"/>
  <c r="Z894" i="9"/>
  <c r="AB894" i="9"/>
  <c r="AC894" i="9"/>
  <c r="F895" i="9"/>
  <c r="C895" i="9"/>
  <c r="Y895" i="9"/>
  <c r="Z895" i="9"/>
  <c r="AB895" i="9"/>
  <c r="AC895" i="9"/>
  <c r="F896" i="9"/>
  <c r="C896" i="9"/>
  <c r="Y896" i="9"/>
  <c r="Z896" i="9"/>
  <c r="AB896" i="9"/>
  <c r="AC896" i="9"/>
  <c r="F897" i="9"/>
  <c r="C897" i="9"/>
  <c r="Y897" i="9"/>
  <c r="Z897" i="9"/>
  <c r="AB897" i="9"/>
  <c r="AC897" i="9"/>
  <c r="F898" i="9"/>
  <c r="C898" i="9"/>
  <c r="Y898" i="9"/>
  <c r="Z898" i="9"/>
  <c r="AB898" i="9"/>
  <c r="AC898" i="9"/>
  <c r="F899" i="9"/>
  <c r="C899" i="9"/>
  <c r="Y899" i="9"/>
  <c r="Z899" i="9"/>
  <c r="AB899" i="9"/>
  <c r="AC899" i="9"/>
  <c r="F900" i="9"/>
  <c r="C900" i="9"/>
  <c r="Y900" i="9"/>
  <c r="Z900" i="9"/>
  <c r="AB900" i="9"/>
  <c r="AC900" i="9"/>
  <c r="F901" i="9"/>
  <c r="C901" i="9"/>
  <c r="Y901" i="9"/>
  <c r="Z901" i="9"/>
  <c r="AB901" i="9"/>
  <c r="AC901" i="9"/>
  <c r="F902" i="9"/>
  <c r="C902" i="9"/>
  <c r="Y902" i="9"/>
  <c r="Z902" i="9"/>
  <c r="AB902" i="9"/>
  <c r="AC902" i="9"/>
  <c r="F903" i="9"/>
  <c r="C903" i="9"/>
  <c r="Y903" i="9"/>
  <c r="Z903" i="9"/>
  <c r="AB903" i="9"/>
  <c r="AC903" i="9"/>
  <c r="F904" i="9"/>
  <c r="C904" i="9"/>
  <c r="Y904" i="9"/>
  <c r="Z904" i="9"/>
  <c r="AB904" i="9"/>
  <c r="AC904" i="9"/>
  <c r="F905" i="9"/>
  <c r="C905" i="9"/>
  <c r="Y905" i="9"/>
  <c r="Z905" i="9"/>
  <c r="AB905" i="9"/>
  <c r="AC905" i="9"/>
  <c r="F906" i="9"/>
  <c r="C906" i="9"/>
  <c r="Y906" i="9"/>
  <c r="Z906" i="9"/>
  <c r="AB906" i="9"/>
  <c r="AC906" i="9"/>
  <c r="F907" i="9"/>
  <c r="C907" i="9"/>
  <c r="Y907" i="9"/>
  <c r="Z907" i="9"/>
  <c r="AB907" i="9"/>
  <c r="AC907" i="9"/>
  <c r="F908" i="9"/>
  <c r="C908" i="9"/>
  <c r="Y908" i="9"/>
  <c r="Z908" i="9"/>
  <c r="AB908" i="9"/>
  <c r="AC908" i="9"/>
  <c r="F909" i="9"/>
  <c r="C909" i="9"/>
  <c r="Y909" i="9"/>
  <c r="Z909" i="9"/>
  <c r="AB909" i="9"/>
  <c r="AC909" i="9"/>
  <c r="F910" i="9"/>
  <c r="C910" i="9"/>
  <c r="Y910" i="9"/>
  <c r="Z910" i="9"/>
  <c r="AB910" i="9"/>
  <c r="AC910" i="9"/>
  <c r="F911" i="9"/>
  <c r="C911" i="9"/>
  <c r="Y911" i="9"/>
  <c r="Z911" i="9"/>
  <c r="AB911" i="9"/>
  <c r="AC911" i="9"/>
  <c r="F912" i="9"/>
  <c r="C912" i="9"/>
  <c r="Y912" i="9"/>
  <c r="Z912" i="9"/>
  <c r="AB912" i="9"/>
  <c r="AC912" i="9"/>
  <c r="F913" i="9"/>
  <c r="C913" i="9"/>
  <c r="Y913" i="9"/>
  <c r="Z913" i="9"/>
  <c r="AB913" i="9"/>
  <c r="AC913" i="9"/>
  <c r="F914" i="9"/>
  <c r="C914" i="9"/>
  <c r="Y914" i="9"/>
  <c r="Z914" i="9"/>
  <c r="AB914" i="9"/>
  <c r="AC914" i="9"/>
  <c r="F915" i="9"/>
  <c r="C915" i="9"/>
  <c r="Y915" i="9"/>
  <c r="Z915" i="9"/>
  <c r="AB915" i="9"/>
  <c r="AC915" i="9"/>
  <c r="F916" i="9"/>
  <c r="C916" i="9"/>
  <c r="Y916" i="9"/>
  <c r="Z916" i="9"/>
  <c r="AB916" i="9"/>
  <c r="AC916" i="9"/>
  <c r="F917" i="9"/>
  <c r="C917" i="9"/>
  <c r="Y917" i="9"/>
  <c r="Z917" i="9"/>
  <c r="AB917" i="9"/>
  <c r="AC917" i="9"/>
  <c r="F918" i="9"/>
  <c r="C918" i="9"/>
  <c r="Y918" i="9"/>
  <c r="Z918" i="9"/>
  <c r="AB918" i="9"/>
  <c r="AC918" i="9"/>
  <c r="F919" i="9"/>
  <c r="C919" i="9"/>
  <c r="Y919" i="9"/>
  <c r="Z919" i="9"/>
  <c r="AB919" i="9"/>
  <c r="AC919" i="9"/>
  <c r="F920" i="9"/>
  <c r="C920" i="9"/>
  <c r="Y920" i="9"/>
  <c r="Z920" i="9"/>
  <c r="AB920" i="9"/>
  <c r="AC920" i="9"/>
  <c r="F921" i="9"/>
  <c r="C921" i="9"/>
  <c r="Y921" i="9"/>
  <c r="Z921" i="9"/>
  <c r="AB921" i="9"/>
  <c r="AC921" i="9"/>
  <c r="F922" i="9"/>
  <c r="C922" i="9"/>
  <c r="Y922" i="9"/>
  <c r="Z922" i="9"/>
  <c r="AB922" i="9"/>
  <c r="AC922" i="9"/>
  <c r="F923" i="9"/>
  <c r="C923" i="9"/>
  <c r="Y923" i="9"/>
  <c r="Z923" i="9"/>
  <c r="AB923" i="9"/>
  <c r="AC923" i="9"/>
  <c r="F924" i="9"/>
  <c r="C924" i="9"/>
  <c r="Y924" i="9"/>
  <c r="Z924" i="9"/>
  <c r="AB924" i="9"/>
  <c r="AC924" i="9"/>
  <c r="F925" i="9"/>
  <c r="C925" i="9"/>
  <c r="Y925" i="9"/>
  <c r="Z925" i="9"/>
  <c r="AB925" i="9"/>
  <c r="AC925" i="9"/>
  <c r="F926" i="9"/>
  <c r="C926" i="9"/>
  <c r="Y926" i="9"/>
  <c r="Z926" i="9"/>
  <c r="AB926" i="9"/>
  <c r="AC926" i="9"/>
  <c r="F927" i="9"/>
  <c r="C927" i="9"/>
  <c r="Y927" i="9"/>
  <c r="Z927" i="9"/>
  <c r="AB927" i="9"/>
  <c r="AC927" i="9"/>
  <c r="F928" i="9"/>
  <c r="C928" i="9"/>
  <c r="Y928" i="9"/>
  <c r="Z928" i="9"/>
  <c r="AB928" i="9"/>
  <c r="AC928" i="9"/>
  <c r="F929" i="9"/>
  <c r="C929" i="9"/>
  <c r="Y929" i="9"/>
  <c r="Z929" i="9"/>
  <c r="AB929" i="9"/>
  <c r="AC929" i="9"/>
  <c r="F930" i="9"/>
  <c r="C930" i="9"/>
  <c r="Y930" i="9"/>
  <c r="Z930" i="9"/>
  <c r="AB930" i="9"/>
  <c r="AC930" i="9"/>
  <c r="F931" i="9"/>
  <c r="C931" i="9"/>
  <c r="Y931" i="9"/>
  <c r="Z931" i="9"/>
  <c r="AB931" i="9"/>
  <c r="AC931" i="9"/>
  <c r="F932" i="9"/>
  <c r="C932" i="9"/>
  <c r="Y932" i="9"/>
  <c r="Z932" i="9"/>
  <c r="AB932" i="9"/>
  <c r="AC932" i="9"/>
  <c r="F933" i="9"/>
  <c r="C933" i="9"/>
  <c r="Y933" i="9"/>
  <c r="Z933" i="9"/>
  <c r="AB933" i="9"/>
  <c r="AC933" i="9"/>
  <c r="F934" i="9"/>
  <c r="C934" i="9"/>
  <c r="Y934" i="9"/>
  <c r="Z934" i="9"/>
  <c r="AB934" i="9"/>
  <c r="AC934" i="9"/>
  <c r="F935" i="9"/>
  <c r="C935" i="9"/>
  <c r="Y935" i="9"/>
  <c r="Z935" i="9"/>
  <c r="AB935" i="9"/>
  <c r="AC935" i="9"/>
  <c r="F936" i="9"/>
  <c r="C936" i="9"/>
  <c r="Y936" i="9"/>
  <c r="Z936" i="9"/>
  <c r="AB936" i="9"/>
  <c r="AC936" i="9"/>
  <c r="F937" i="9"/>
  <c r="C937" i="9"/>
  <c r="Y937" i="9"/>
  <c r="Z937" i="9"/>
  <c r="AB937" i="9"/>
  <c r="AC937" i="9"/>
  <c r="F938" i="9"/>
  <c r="C938" i="9"/>
  <c r="Y938" i="9"/>
  <c r="Z938" i="9"/>
  <c r="AB938" i="9"/>
  <c r="AC938" i="9"/>
  <c r="F939" i="9"/>
  <c r="C939" i="9"/>
  <c r="Y939" i="9"/>
  <c r="Z939" i="9"/>
  <c r="AB939" i="9"/>
  <c r="AC939" i="9"/>
  <c r="F940" i="9"/>
  <c r="C940" i="9"/>
  <c r="Y940" i="9"/>
  <c r="Z940" i="9"/>
  <c r="AB940" i="9"/>
  <c r="AC940" i="9"/>
  <c r="F941" i="9"/>
  <c r="C941" i="9"/>
  <c r="Y941" i="9"/>
  <c r="Z941" i="9"/>
  <c r="AB941" i="9"/>
  <c r="AC941" i="9"/>
  <c r="F942" i="9"/>
  <c r="C942" i="9"/>
  <c r="Y942" i="9"/>
  <c r="Z942" i="9"/>
  <c r="AB942" i="9"/>
  <c r="AC942" i="9"/>
  <c r="F943" i="9"/>
  <c r="C943" i="9"/>
  <c r="Y943" i="9"/>
  <c r="Z943" i="9"/>
  <c r="AB943" i="9"/>
  <c r="AC943" i="9"/>
  <c r="F944" i="9"/>
  <c r="C944" i="9"/>
  <c r="Y944" i="9"/>
  <c r="Z944" i="9"/>
  <c r="AB944" i="9"/>
  <c r="AC944" i="9"/>
  <c r="F945" i="9"/>
  <c r="C945" i="9"/>
  <c r="Y945" i="9"/>
  <c r="Z945" i="9"/>
  <c r="AB945" i="9"/>
  <c r="AC945" i="9"/>
  <c r="F946" i="9"/>
  <c r="C946" i="9"/>
  <c r="Y946" i="9"/>
  <c r="Z946" i="9"/>
  <c r="AB946" i="9"/>
  <c r="AC946" i="9"/>
  <c r="F947" i="9"/>
  <c r="C947" i="9"/>
  <c r="Y947" i="9"/>
  <c r="Z947" i="9"/>
  <c r="AB947" i="9"/>
  <c r="AC947" i="9"/>
  <c r="F948" i="9"/>
  <c r="C948" i="9"/>
  <c r="Y948" i="9"/>
  <c r="Z948" i="9"/>
  <c r="AB948" i="9"/>
  <c r="AC948" i="9"/>
  <c r="F949" i="9"/>
  <c r="C949" i="9"/>
  <c r="Y949" i="9"/>
  <c r="Z949" i="9"/>
  <c r="AB949" i="9"/>
  <c r="AC949" i="9"/>
  <c r="F950" i="9"/>
  <c r="C950" i="9"/>
  <c r="Y950" i="9"/>
  <c r="Z950" i="9"/>
  <c r="AB950" i="9"/>
  <c r="AC950" i="9"/>
  <c r="F951" i="9"/>
  <c r="C951" i="9"/>
  <c r="Y951" i="9"/>
  <c r="Z951" i="9"/>
  <c r="AB951" i="9"/>
  <c r="AC951" i="9"/>
  <c r="F952" i="9"/>
  <c r="C952" i="9"/>
  <c r="Y952" i="9"/>
  <c r="Z952" i="9"/>
  <c r="AB952" i="9"/>
  <c r="AC952" i="9"/>
  <c r="F953" i="9"/>
  <c r="C953" i="9"/>
  <c r="Y953" i="9"/>
  <c r="Z953" i="9"/>
  <c r="AB953" i="9"/>
  <c r="AC953" i="9"/>
  <c r="F954" i="9"/>
  <c r="C954" i="9"/>
  <c r="Y954" i="9"/>
  <c r="Z954" i="9"/>
  <c r="AB954" i="9"/>
  <c r="AC954" i="9"/>
  <c r="F955" i="9"/>
  <c r="C955" i="9"/>
  <c r="Y955" i="9"/>
  <c r="Z955" i="9"/>
  <c r="AB955" i="9"/>
  <c r="AC955" i="9"/>
  <c r="F956" i="9"/>
  <c r="C956" i="9"/>
  <c r="Y956" i="9"/>
  <c r="Z956" i="9"/>
  <c r="AB956" i="9"/>
  <c r="AC956" i="9"/>
  <c r="F957" i="9"/>
  <c r="C957" i="9"/>
  <c r="Y957" i="9"/>
  <c r="Z957" i="9"/>
  <c r="AB957" i="9"/>
  <c r="AC957" i="9"/>
  <c r="F958" i="9"/>
  <c r="C958" i="9"/>
  <c r="Y958" i="9"/>
  <c r="Z958" i="9"/>
  <c r="AB958" i="9"/>
  <c r="AC958" i="9"/>
  <c r="F959" i="9"/>
  <c r="C959" i="9"/>
  <c r="Y959" i="9"/>
  <c r="Z959" i="9"/>
  <c r="AB959" i="9"/>
  <c r="AC959" i="9"/>
  <c r="F960" i="9"/>
  <c r="C960" i="9"/>
  <c r="Y960" i="9"/>
  <c r="Z960" i="9"/>
  <c r="AB960" i="9"/>
  <c r="AC960" i="9"/>
  <c r="F961" i="9"/>
  <c r="C961" i="9"/>
  <c r="Y961" i="9"/>
  <c r="Z961" i="9"/>
  <c r="AB961" i="9"/>
  <c r="AC961" i="9"/>
  <c r="F962" i="9"/>
  <c r="C962" i="9"/>
  <c r="Y962" i="9"/>
  <c r="Z962" i="9"/>
  <c r="AB962" i="9"/>
  <c r="AC962" i="9"/>
  <c r="F963" i="9"/>
  <c r="C963" i="9"/>
  <c r="Y963" i="9"/>
  <c r="Z963" i="9"/>
  <c r="AB963" i="9"/>
  <c r="AC963" i="9"/>
  <c r="F964" i="9"/>
  <c r="C964" i="9"/>
  <c r="Y964" i="9"/>
  <c r="Z964" i="9"/>
  <c r="AB964" i="9"/>
  <c r="AC964" i="9"/>
  <c r="F965" i="9"/>
  <c r="C965" i="9"/>
  <c r="Y965" i="9"/>
  <c r="Z965" i="9"/>
  <c r="AB965" i="9"/>
  <c r="AC965" i="9"/>
  <c r="F966" i="9"/>
  <c r="C966" i="9"/>
  <c r="Y966" i="9"/>
  <c r="Z966" i="9"/>
  <c r="AB966" i="9"/>
  <c r="AC966" i="9"/>
  <c r="F967" i="9"/>
  <c r="C967" i="9"/>
  <c r="Y967" i="9"/>
  <c r="Z967" i="9"/>
  <c r="AB967" i="9"/>
  <c r="AC967" i="9"/>
  <c r="F968" i="9"/>
  <c r="C968" i="9"/>
  <c r="Y968" i="9"/>
  <c r="Z968" i="9"/>
  <c r="AB968" i="9"/>
  <c r="AC968" i="9"/>
  <c r="F969" i="9"/>
  <c r="C969" i="9"/>
  <c r="Y969" i="9"/>
  <c r="Z969" i="9"/>
  <c r="AB969" i="9"/>
  <c r="AC969" i="9"/>
  <c r="F970" i="9"/>
  <c r="C970" i="9"/>
  <c r="Y970" i="9"/>
  <c r="Z970" i="9"/>
  <c r="AB970" i="9"/>
  <c r="AC970" i="9"/>
  <c r="F971" i="9"/>
  <c r="C971" i="9"/>
  <c r="Y971" i="9"/>
  <c r="Z971" i="9"/>
  <c r="AB971" i="9"/>
  <c r="AC971" i="9"/>
  <c r="F972" i="9"/>
  <c r="C972" i="9"/>
  <c r="Y972" i="9"/>
  <c r="Z972" i="9"/>
  <c r="AB972" i="9"/>
  <c r="AC972" i="9"/>
  <c r="F973" i="9"/>
  <c r="C973" i="9"/>
  <c r="Y973" i="9"/>
  <c r="Z973" i="9"/>
  <c r="AB973" i="9"/>
  <c r="AC973" i="9"/>
  <c r="F974" i="9"/>
  <c r="C974" i="9"/>
  <c r="Y974" i="9"/>
  <c r="Z974" i="9"/>
  <c r="AB974" i="9"/>
  <c r="AC974" i="9"/>
  <c r="F975" i="9"/>
  <c r="C975" i="9"/>
  <c r="Y975" i="9"/>
  <c r="Z975" i="9"/>
  <c r="AB975" i="9"/>
  <c r="AC975" i="9"/>
  <c r="F976" i="9"/>
  <c r="C976" i="9"/>
  <c r="Y976" i="9"/>
  <c r="Z976" i="9"/>
  <c r="AB976" i="9"/>
  <c r="AC976" i="9"/>
  <c r="F977" i="9"/>
  <c r="C977" i="9"/>
  <c r="Y977" i="9"/>
  <c r="Z977" i="9"/>
  <c r="AB977" i="9"/>
  <c r="AC977" i="9"/>
  <c r="F978" i="9"/>
  <c r="C978" i="9"/>
  <c r="Y978" i="9"/>
  <c r="Z978" i="9"/>
  <c r="AB978" i="9"/>
  <c r="AC978" i="9"/>
  <c r="F979" i="9"/>
  <c r="C979" i="9"/>
  <c r="Y979" i="9"/>
  <c r="Z979" i="9"/>
  <c r="AB979" i="9"/>
  <c r="AC979" i="9"/>
  <c r="F980" i="9"/>
  <c r="C980" i="9"/>
  <c r="Y980" i="9"/>
  <c r="Z980" i="9"/>
  <c r="AB980" i="9"/>
  <c r="AC980" i="9"/>
  <c r="F981" i="9"/>
  <c r="C981" i="9"/>
  <c r="Y981" i="9"/>
  <c r="Z981" i="9"/>
  <c r="AB981" i="9"/>
  <c r="AC981" i="9"/>
  <c r="F982" i="9"/>
  <c r="C982" i="9"/>
  <c r="Y982" i="9"/>
  <c r="Z982" i="9"/>
  <c r="AB982" i="9"/>
  <c r="AC982" i="9"/>
  <c r="F983" i="9"/>
  <c r="C983" i="9"/>
  <c r="Y983" i="9"/>
  <c r="Z983" i="9"/>
  <c r="AB983" i="9"/>
  <c r="AC983" i="9"/>
  <c r="F984" i="9"/>
  <c r="C984" i="9"/>
  <c r="Y984" i="9"/>
  <c r="Z984" i="9"/>
  <c r="AB984" i="9"/>
  <c r="AC984" i="9"/>
  <c r="F985" i="9"/>
  <c r="C985" i="9"/>
  <c r="Y985" i="9"/>
  <c r="Z985" i="9"/>
  <c r="AB985" i="9"/>
  <c r="AC985" i="9"/>
  <c r="F986" i="9"/>
  <c r="C986" i="9"/>
  <c r="Y986" i="9"/>
  <c r="Z986" i="9"/>
  <c r="AB986" i="9"/>
  <c r="AC986" i="9"/>
  <c r="F987" i="9"/>
  <c r="C987" i="9"/>
  <c r="Y987" i="9"/>
  <c r="Z987" i="9"/>
  <c r="AB987" i="9"/>
  <c r="AC987" i="9"/>
  <c r="F988" i="9"/>
  <c r="C988" i="9"/>
  <c r="Y988" i="9"/>
  <c r="Z988" i="9"/>
  <c r="AB988" i="9"/>
  <c r="AC988" i="9"/>
  <c r="F989" i="9"/>
  <c r="C989" i="9"/>
  <c r="Y989" i="9"/>
  <c r="Z989" i="9"/>
  <c r="AB989" i="9"/>
  <c r="AC989" i="9"/>
  <c r="F990" i="9"/>
  <c r="C990" i="9"/>
  <c r="Y990" i="9"/>
  <c r="Z990" i="9"/>
  <c r="AB990" i="9"/>
  <c r="AC990" i="9"/>
  <c r="F991" i="9"/>
  <c r="C991" i="9"/>
  <c r="Y991" i="9"/>
  <c r="Z991" i="9"/>
  <c r="AB991" i="9"/>
  <c r="AC991" i="9"/>
  <c r="F992" i="9"/>
  <c r="C992" i="9"/>
  <c r="Y992" i="9"/>
  <c r="Z992" i="9"/>
  <c r="AB992" i="9"/>
  <c r="AC992" i="9"/>
  <c r="F993" i="9"/>
  <c r="C993" i="9"/>
  <c r="Y993" i="9"/>
  <c r="Z993" i="9"/>
  <c r="AB993" i="9"/>
  <c r="AC993" i="9"/>
  <c r="F994" i="9"/>
  <c r="C994" i="9"/>
  <c r="Y994" i="9"/>
  <c r="Z994" i="9"/>
  <c r="AB994" i="9"/>
  <c r="AC994" i="9"/>
  <c r="F995" i="9"/>
  <c r="C995" i="9"/>
  <c r="Y995" i="9"/>
  <c r="Z995" i="9"/>
  <c r="AB995" i="9"/>
  <c r="AC995" i="9"/>
  <c r="F996" i="9"/>
  <c r="C996" i="9"/>
  <c r="Y996" i="9"/>
  <c r="Z996" i="9"/>
  <c r="AB996" i="9"/>
  <c r="AC996" i="9"/>
  <c r="F997" i="9"/>
  <c r="C997" i="9"/>
  <c r="Y997" i="9"/>
  <c r="Z997" i="9"/>
  <c r="AB997" i="9"/>
  <c r="AC997" i="9"/>
  <c r="F998" i="9"/>
  <c r="C998" i="9"/>
  <c r="Y998" i="9"/>
  <c r="Z998" i="9"/>
  <c r="AB998" i="9"/>
  <c r="AC998" i="9"/>
  <c r="F999" i="9"/>
  <c r="C999" i="9"/>
  <c r="Y999" i="9"/>
  <c r="Z999" i="9"/>
  <c r="AB999" i="9"/>
  <c r="AC999" i="9"/>
  <c r="F1000" i="9"/>
  <c r="C1000" i="9"/>
  <c r="Y1000" i="9"/>
  <c r="Z1000" i="9"/>
  <c r="AB1000" i="9"/>
  <c r="AC1000" i="9"/>
  <c r="F1001" i="9"/>
  <c r="C1001" i="9"/>
  <c r="Y1001" i="9"/>
  <c r="Z1001" i="9"/>
  <c r="AB1001" i="9"/>
  <c r="AC1001" i="9"/>
  <c r="U3" i="8"/>
  <c r="C3" i="8"/>
  <c r="D3" i="8"/>
  <c r="Z3" i="8"/>
  <c r="AA3" i="8"/>
  <c r="AB3" i="8"/>
  <c r="AC3" i="8"/>
  <c r="A4" i="8"/>
  <c r="B4" i="8"/>
  <c r="U4" i="8"/>
  <c r="C4" i="8"/>
  <c r="D4" i="8"/>
  <c r="Z4" i="8"/>
  <c r="AA4" i="8"/>
  <c r="AB4" i="8"/>
  <c r="AC4" i="8"/>
  <c r="A5" i="8"/>
  <c r="B5" i="8"/>
  <c r="U5" i="8"/>
  <c r="C5" i="8"/>
  <c r="D5" i="8"/>
  <c r="Z5" i="8"/>
  <c r="AA5" i="8"/>
  <c r="AB5" i="8"/>
  <c r="AC5" i="8"/>
  <c r="A6" i="8"/>
  <c r="B6" i="8"/>
  <c r="U6" i="8"/>
  <c r="C6" i="8"/>
  <c r="D6" i="8"/>
  <c r="Z6" i="8"/>
  <c r="AA6" i="8"/>
  <c r="AB6" i="8"/>
  <c r="AC6" i="8"/>
  <c r="A7" i="8"/>
  <c r="B7" i="8"/>
  <c r="U7" i="8"/>
  <c r="C7" i="8"/>
  <c r="D7" i="8"/>
  <c r="Z7" i="8"/>
  <c r="AA7" i="8"/>
  <c r="AB7" i="8"/>
  <c r="AC7" i="8"/>
  <c r="A8" i="8"/>
  <c r="B8" i="8"/>
  <c r="U8" i="8"/>
  <c r="C8" i="8"/>
  <c r="D8" i="8"/>
  <c r="Z8" i="8"/>
  <c r="AA8" i="8"/>
  <c r="AB8" i="8"/>
  <c r="AC8" i="8"/>
  <c r="A9" i="8"/>
  <c r="B9" i="8"/>
  <c r="U9" i="8"/>
  <c r="C9" i="8"/>
  <c r="D9" i="8"/>
  <c r="Z9" i="8"/>
  <c r="AA9" i="8"/>
  <c r="AB9" i="8"/>
  <c r="AC9" i="8"/>
  <c r="A10" i="8"/>
  <c r="AA10" i="8"/>
  <c r="AB10" i="8"/>
  <c r="AC10" i="8"/>
  <c r="A11" i="8"/>
  <c r="AA11" i="8"/>
  <c r="AB11" i="8"/>
  <c r="AC11" i="8"/>
  <c r="A12" i="8"/>
  <c r="AA12" i="8"/>
  <c r="AB12" i="8"/>
  <c r="AC12" i="8"/>
  <c r="A13" i="8"/>
  <c r="AA13" i="8"/>
  <c r="AB13" i="8"/>
  <c r="AC13" i="8"/>
  <c r="A14" i="8"/>
  <c r="AA14" i="8"/>
  <c r="AB14" i="8"/>
  <c r="AC14" i="8"/>
  <c r="A15" i="8"/>
  <c r="AA15" i="8"/>
  <c r="AB15" i="8"/>
  <c r="AC15" i="8"/>
  <c r="A16" i="8"/>
  <c r="AA16" i="8"/>
  <c r="AB16" i="8"/>
  <c r="AC16" i="8"/>
  <c r="A17" i="8"/>
  <c r="AA17" i="8"/>
  <c r="AB17" i="8"/>
  <c r="AC17" i="8"/>
  <c r="A18" i="8"/>
  <c r="AA18" i="8"/>
  <c r="AB18" i="8"/>
  <c r="AC18" i="8"/>
  <c r="A19" i="8"/>
  <c r="AA19" i="8"/>
  <c r="AB19" i="8"/>
  <c r="AC19" i="8"/>
  <c r="A20" i="8"/>
  <c r="AA20" i="8"/>
  <c r="AB20" i="8"/>
  <c r="AC20" i="8"/>
  <c r="A21" i="8"/>
  <c r="AA21" i="8"/>
  <c r="AB21" i="8"/>
  <c r="AC21" i="8"/>
  <c r="A22" i="8"/>
  <c r="AA22" i="8"/>
  <c r="AB22" i="8"/>
  <c r="AC22" i="8"/>
  <c r="A23" i="8"/>
  <c r="AA23" i="8"/>
  <c r="AB23" i="8"/>
  <c r="AC23" i="8"/>
  <c r="A24" i="8"/>
  <c r="AA24" i="8"/>
  <c r="AB24" i="8"/>
  <c r="AC24" i="8"/>
  <c r="A25" i="8"/>
  <c r="AA25" i="8"/>
  <c r="AB25" i="8"/>
  <c r="AC25" i="8"/>
  <c r="A26" i="8"/>
  <c r="AA26" i="8"/>
  <c r="AB26" i="8"/>
  <c r="AC26" i="8"/>
  <c r="A27" i="8"/>
  <c r="AA27" i="8"/>
  <c r="AB27" i="8"/>
  <c r="AC27" i="8"/>
  <c r="A28" i="8"/>
  <c r="AA28" i="8"/>
  <c r="AB28" i="8"/>
  <c r="AC28" i="8"/>
  <c r="A29" i="8"/>
  <c r="AA29" i="8"/>
  <c r="AB29" i="8"/>
  <c r="AC29" i="8"/>
  <c r="A30" i="8"/>
  <c r="AA30" i="8"/>
  <c r="AB30" i="8"/>
  <c r="AC30" i="8"/>
  <c r="A31" i="8"/>
  <c r="AA31" i="8"/>
  <c r="AB31" i="8"/>
  <c r="AC31" i="8"/>
  <c r="A32" i="8"/>
  <c r="AA32" i="8"/>
  <c r="AB32" i="8"/>
  <c r="AC32" i="8"/>
  <c r="A33" i="8"/>
  <c r="AA33" i="8"/>
  <c r="AB33" i="8"/>
  <c r="AC33" i="8"/>
  <c r="A34" i="8"/>
  <c r="AA34" i="8"/>
  <c r="AB34" i="8"/>
  <c r="AC34" i="8"/>
  <c r="A35" i="8"/>
  <c r="AA35" i="8"/>
  <c r="AB35" i="8"/>
  <c r="AC35" i="8"/>
  <c r="A36" i="8"/>
  <c r="AA36" i="8"/>
  <c r="AB36" i="8"/>
  <c r="AC36" i="8"/>
  <c r="A37" i="8"/>
  <c r="AA37" i="8"/>
  <c r="AB37" i="8"/>
  <c r="AC37" i="8"/>
  <c r="A38" i="8"/>
  <c r="AA38" i="8"/>
  <c r="AB38" i="8"/>
  <c r="AC38" i="8"/>
  <c r="A39" i="8"/>
  <c r="AA39" i="8"/>
  <c r="AB39" i="8"/>
  <c r="AC39" i="8"/>
  <c r="A40" i="8"/>
  <c r="AA40" i="8"/>
  <c r="AB40" i="8"/>
  <c r="AC40" i="8"/>
  <c r="A41" i="8"/>
  <c r="AA41" i="8"/>
  <c r="AB41" i="8"/>
  <c r="AC41" i="8"/>
  <c r="A42" i="8"/>
  <c r="AA42" i="8"/>
  <c r="AB42" i="8"/>
  <c r="AC42" i="8"/>
  <c r="A43" i="8"/>
  <c r="AA43" i="8"/>
  <c r="AB43" i="8"/>
  <c r="AC43" i="8"/>
  <c r="A44" i="8"/>
  <c r="AA44" i="8"/>
  <c r="AB44" i="8"/>
  <c r="AC44" i="8"/>
  <c r="A45" i="8"/>
  <c r="AA45" i="8"/>
  <c r="AB45" i="8"/>
  <c r="AC45" i="8"/>
  <c r="A46" i="8"/>
  <c r="AA46" i="8"/>
  <c r="AB46" i="8"/>
  <c r="AC46" i="8"/>
  <c r="A47" i="8"/>
  <c r="AA47" i="8"/>
  <c r="AB47" i="8"/>
  <c r="AC47" i="8"/>
  <c r="A48" i="8"/>
  <c r="AA48" i="8"/>
  <c r="AB48" i="8"/>
  <c r="AC48" i="8"/>
  <c r="A49" i="8"/>
  <c r="AA49" i="8"/>
  <c r="AB49" i="8"/>
  <c r="AC49" i="8"/>
  <c r="A50" i="8"/>
  <c r="AA50" i="8"/>
  <c r="AB50" i="8"/>
  <c r="AC50" i="8"/>
  <c r="A51" i="8"/>
  <c r="AA51" i="8"/>
  <c r="AB51" i="8"/>
  <c r="AC51" i="8"/>
  <c r="A52" i="8"/>
  <c r="AA52" i="8"/>
  <c r="AB52" i="8"/>
  <c r="AC52" i="8"/>
  <c r="A53" i="8"/>
  <c r="AA53" i="8"/>
  <c r="AB53" i="8"/>
  <c r="AC53" i="8"/>
  <c r="A54" i="8"/>
  <c r="AA54" i="8"/>
  <c r="AB54" i="8"/>
  <c r="AC54" i="8"/>
  <c r="A55" i="8"/>
  <c r="AA55" i="8"/>
  <c r="AB55" i="8"/>
  <c r="AC55" i="8"/>
  <c r="A56" i="8"/>
  <c r="AA56" i="8"/>
  <c r="AB56" i="8"/>
  <c r="AC56" i="8"/>
  <c r="A57" i="8"/>
  <c r="AA57" i="8"/>
  <c r="AB57" i="8"/>
  <c r="AC57" i="8"/>
  <c r="A58" i="8"/>
  <c r="AA58" i="8"/>
  <c r="AB58" i="8"/>
  <c r="AC58" i="8"/>
  <c r="A59" i="8"/>
  <c r="AA59" i="8"/>
  <c r="AB59" i="8"/>
  <c r="AC59" i="8"/>
  <c r="A60" i="8"/>
  <c r="AA60" i="8"/>
  <c r="AB60" i="8"/>
  <c r="AC60" i="8"/>
  <c r="A61" i="8"/>
  <c r="AA61" i="8"/>
  <c r="AB61" i="8"/>
  <c r="AC61" i="8"/>
  <c r="A62" i="8"/>
  <c r="AA62" i="8"/>
  <c r="AB62" i="8"/>
  <c r="AC62" i="8"/>
  <c r="A63" i="8"/>
  <c r="AA63" i="8"/>
  <c r="AB63" i="8"/>
  <c r="AC63" i="8"/>
  <c r="A64" i="8"/>
  <c r="AA64" i="8"/>
  <c r="AB64" i="8"/>
  <c r="AC64" i="8"/>
  <c r="A65" i="8"/>
  <c r="AA65" i="8"/>
  <c r="AB65" i="8"/>
  <c r="AC65" i="8"/>
  <c r="A66" i="8"/>
  <c r="AA66" i="8"/>
  <c r="AB66" i="8"/>
  <c r="AC66" i="8"/>
  <c r="A67" i="8"/>
  <c r="AA67" i="8"/>
  <c r="AB67" i="8"/>
  <c r="AC67" i="8"/>
  <c r="A68" i="8"/>
  <c r="AA68" i="8"/>
  <c r="AB68" i="8"/>
  <c r="AC68" i="8"/>
  <c r="A69" i="8"/>
  <c r="AA69" i="8"/>
  <c r="AB69" i="8"/>
  <c r="AC69" i="8"/>
  <c r="A70" i="8"/>
  <c r="AA70" i="8"/>
  <c r="AB70" i="8"/>
  <c r="AC70" i="8"/>
  <c r="A71" i="8"/>
  <c r="AA71" i="8"/>
  <c r="AB71" i="8"/>
  <c r="AC71" i="8"/>
  <c r="A72" i="8"/>
  <c r="AA72" i="8"/>
  <c r="AB72" i="8"/>
  <c r="AC72" i="8"/>
  <c r="A73" i="8"/>
  <c r="AA73" i="8"/>
  <c r="AB73" i="8"/>
  <c r="AC73" i="8"/>
  <c r="A74" i="8"/>
  <c r="AA74" i="8"/>
  <c r="AB74" i="8"/>
  <c r="AC74" i="8"/>
  <c r="A75" i="8"/>
  <c r="AA75" i="8"/>
  <c r="AB75" i="8"/>
  <c r="AC75" i="8"/>
  <c r="A76" i="8"/>
  <c r="AA76" i="8"/>
  <c r="AB76" i="8"/>
  <c r="AC76" i="8"/>
  <c r="A77" i="8"/>
  <c r="AA77" i="8"/>
  <c r="AB77" i="8"/>
  <c r="AC77" i="8"/>
  <c r="A78" i="8"/>
  <c r="AA78" i="8"/>
  <c r="AB78" i="8"/>
  <c r="AC78" i="8"/>
  <c r="A79" i="8"/>
  <c r="AA79" i="8"/>
  <c r="AB79" i="8"/>
  <c r="AC79" i="8"/>
  <c r="A80" i="8"/>
  <c r="AA80" i="8"/>
  <c r="AB80" i="8"/>
  <c r="AC80" i="8"/>
  <c r="A81" i="8"/>
  <c r="AA81" i="8"/>
  <c r="AB81" i="8"/>
  <c r="AC81" i="8"/>
  <c r="A82" i="8"/>
  <c r="AA82" i="8"/>
  <c r="AB82" i="8"/>
  <c r="AC82" i="8"/>
  <c r="A83" i="8"/>
  <c r="AA83" i="8"/>
  <c r="AB83" i="8"/>
  <c r="AC83" i="8"/>
  <c r="A84" i="8"/>
  <c r="AA84" i="8"/>
  <c r="AB84" i="8"/>
  <c r="AC84" i="8"/>
  <c r="A85" i="8"/>
  <c r="AA85" i="8"/>
  <c r="AB85" i="8"/>
  <c r="AC85" i="8"/>
  <c r="A86" i="8"/>
  <c r="AA86" i="8"/>
  <c r="AB86" i="8"/>
  <c r="AC86" i="8"/>
  <c r="A87" i="8"/>
  <c r="AA87" i="8"/>
  <c r="AB87" i="8"/>
  <c r="AC87" i="8"/>
  <c r="A88" i="8"/>
  <c r="AA88" i="8"/>
  <c r="AB88" i="8"/>
  <c r="AC88" i="8"/>
  <c r="A89" i="8"/>
  <c r="AA89" i="8"/>
  <c r="AB89" i="8"/>
  <c r="AC89" i="8"/>
  <c r="A90" i="8"/>
  <c r="AA90" i="8"/>
  <c r="AB90" i="8"/>
  <c r="AC90" i="8"/>
  <c r="A91" i="8"/>
  <c r="AA91" i="8"/>
  <c r="AB91" i="8"/>
  <c r="AC91" i="8"/>
  <c r="A92" i="8"/>
  <c r="AA92" i="8"/>
  <c r="AB92" i="8"/>
  <c r="AC92" i="8"/>
  <c r="A93" i="8"/>
  <c r="AA93" i="8"/>
  <c r="AB93" i="8"/>
  <c r="AC93" i="8"/>
  <c r="A94" i="8"/>
  <c r="AA94" i="8"/>
  <c r="AB94" i="8"/>
  <c r="AC94" i="8"/>
  <c r="A95" i="8"/>
  <c r="AA95" i="8"/>
  <c r="AB95" i="8"/>
  <c r="AC95" i="8"/>
  <c r="A96" i="8"/>
  <c r="AA96" i="8"/>
  <c r="AB96" i="8"/>
  <c r="AC96" i="8"/>
  <c r="A97" i="8"/>
  <c r="AA97" i="8"/>
  <c r="AB97" i="8"/>
  <c r="AC97" i="8"/>
  <c r="A98" i="8"/>
  <c r="AA98" i="8"/>
  <c r="AB98" i="8"/>
  <c r="AC98" i="8"/>
  <c r="A99" i="8"/>
  <c r="AA99" i="8"/>
  <c r="AB99" i="8"/>
  <c r="AC99" i="8"/>
  <c r="A100" i="8"/>
  <c r="AA100" i="8"/>
  <c r="AB100" i="8"/>
  <c r="AC100" i="8"/>
  <c r="A101" i="8"/>
  <c r="AA101" i="8"/>
  <c r="AB101" i="8"/>
  <c r="AC101" i="8"/>
  <c r="A102" i="8"/>
  <c r="AA102" i="8"/>
  <c r="AB102" i="8"/>
  <c r="AC102" i="8"/>
  <c r="A103" i="8"/>
  <c r="AA103" i="8"/>
  <c r="AB103" i="8"/>
  <c r="AC103" i="8"/>
  <c r="A104" i="8"/>
  <c r="AA104" i="8"/>
  <c r="AB104" i="8"/>
  <c r="AC104" i="8"/>
  <c r="A105" i="8"/>
  <c r="AA105" i="8"/>
  <c r="AB105" i="8"/>
  <c r="AC105" i="8"/>
  <c r="A106" i="8"/>
  <c r="AA106" i="8"/>
  <c r="AB106" i="8"/>
  <c r="AC106" i="8"/>
  <c r="A107" i="8"/>
  <c r="AA107" i="8"/>
  <c r="AB107" i="8"/>
  <c r="AC107" i="8"/>
  <c r="A108" i="8"/>
  <c r="AA108" i="8"/>
  <c r="AB108" i="8"/>
  <c r="AC108" i="8"/>
  <c r="A109" i="8"/>
  <c r="AA109" i="8"/>
  <c r="AB109" i="8"/>
  <c r="AC109" i="8"/>
  <c r="A110" i="8"/>
  <c r="AA110" i="8"/>
  <c r="AB110" i="8"/>
  <c r="AC110" i="8"/>
  <c r="A111" i="8"/>
  <c r="AA111" i="8"/>
  <c r="AB111" i="8"/>
  <c r="AC111" i="8"/>
  <c r="A112" i="8"/>
  <c r="AA112" i="8"/>
  <c r="AB112" i="8"/>
  <c r="AC112" i="8"/>
  <c r="A113" i="8"/>
  <c r="AA113" i="8"/>
  <c r="AB113" i="8"/>
  <c r="AC113" i="8"/>
  <c r="A114" i="8"/>
  <c r="AA114" i="8"/>
  <c r="AB114" i="8"/>
  <c r="AC114" i="8"/>
  <c r="A115" i="8"/>
  <c r="AA115" i="8"/>
  <c r="AB115" i="8"/>
  <c r="AC115" i="8"/>
  <c r="A116" i="8"/>
  <c r="AA116" i="8"/>
  <c r="AB116" i="8"/>
  <c r="AC116" i="8"/>
  <c r="A117" i="8"/>
  <c r="AA117" i="8"/>
  <c r="AB117" i="8"/>
  <c r="AC117" i="8"/>
  <c r="A118" i="8"/>
  <c r="AA118" i="8"/>
  <c r="AB118" i="8"/>
  <c r="AC118" i="8"/>
  <c r="A119" i="8"/>
  <c r="AA119" i="8"/>
  <c r="AB119" i="8"/>
  <c r="AC119" i="8"/>
  <c r="A120" i="8"/>
  <c r="AA120" i="8"/>
  <c r="AB120" i="8"/>
  <c r="AC120" i="8"/>
  <c r="A121" i="8"/>
  <c r="AA121" i="8"/>
  <c r="AB121" i="8"/>
  <c r="AC121" i="8"/>
  <c r="A122" i="8"/>
  <c r="AA122" i="8"/>
  <c r="AB122" i="8"/>
  <c r="AC122" i="8"/>
  <c r="A123" i="8"/>
  <c r="AA123" i="8"/>
  <c r="AB123" i="8"/>
  <c r="AC123" i="8"/>
  <c r="A124" i="8"/>
  <c r="AA124" i="8"/>
  <c r="AB124" i="8"/>
  <c r="AC124" i="8"/>
  <c r="A125" i="8"/>
  <c r="AA125" i="8"/>
  <c r="AB125" i="8"/>
  <c r="AC125" i="8"/>
  <c r="A126" i="8"/>
  <c r="AA126" i="8"/>
  <c r="AB126" i="8"/>
  <c r="AC126" i="8"/>
  <c r="A127" i="8"/>
  <c r="AA127" i="8"/>
  <c r="AB127" i="8"/>
  <c r="AC127" i="8"/>
  <c r="A128" i="8"/>
  <c r="AA128" i="8"/>
  <c r="AB128" i="8"/>
  <c r="AC128" i="8"/>
  <c r="A129" i="8"/>
  <c r="AA129" i="8"/>
  <c r="AB129" i="8"/>
  <c r="AC129" i="8"/>
  <c r="A130" i="8"/>
  <c r="AA130" i="8"/>
  <c r="AB130" i="8"/>
  <c r="AC130" i="8"/>
  <c r="A131" i="8"/>
  <c r="AA131" i="8"/>
  <c r="AB131" i="8"/>
  <c r="AC131" i="8"/>
  <c r="A132" i="8"/>
  <c r="AA132" i="8"/>
  <c r="AB132" i="8"/>
  <c r="AC132" i="8"/>
  <c r="A133" i="8"/>
  <c r="AA133" i="8"/>
  <c r="AB133" i="8"/>
  <c r="AC133" i="8"/>
  <c r="A134" i="8"/>
  <c r="AA134" i="8"/>
  <c r="AB134" i="8"/>
  <c r="AC134" i="8"/>
  <c r="A135" i="8"/>
  <c r="AA135" i="8"/>
  <c r="AB135" i="8"/>
  <c r="AC135" i="8"/>
  <c r="A136" i="8"/>
  <c r="AA136" i="8"/>
  <c r="AB136" i="8"/>
  <c r="AC136" i="8"/>
  <c r="A137" i="8"/>
  <c r="AA137" i="8"/>
  <c r="AB137" i="8"/>
  <c r="AC137" i="8"/>
  <c r="A138" i="8"/>
  <c r="AA138" i="8"/>
  <c r="AB138" i="8"/>
  <c r="AC138" i="8"/>
  <c r="A139" i="8"/>
  <c r="AA139" i="8"/>
  <c r="AB139" i="8"/>
  <c r="AC139" i="8"/>
  <c r="A140" i="8"/>
  <c r="AA140" i="8"/>
  <c r="AB140" i="8"/>
  <c r="AC140" i="8"/>
  <c r="A141" i="8"/>
  <c r="AA141" i="8"/>
  <c r="AB141" i="8"/>
  <c r="AC141" i="8"/>
  <c r="A142" i="8"/>
  <c r="AA142" i="8"/>
  <c r="AB142" i="8"/>
  <c r="AC142" i="8"/>
  <c r="A143" i="8"/>
  <c r="AA143" i="8"/>
  <c r="AB143" i="8"/>
  <c r="AC143" i="8"/>
  <c r="A144" i="8"/>
  <c r="AA144" i="8"/>
  <c r="AB144" i="8"/>
  <c r="AC144" i="8"/>
  <c r="A145" i="8"/>
  <c r="AA145" i="8"/>
  <c r="AB145" i="8"/>
  <c r="AC145" i="8"/>
  <c r="A146" i="8"/>
  <c r="AA146" i="8"/>
  <c r="AB146" i="8"/>
  <c r="AC146" i="8"/>
  <c r="A147" i="8"/>
  <c r="AA147" i="8"/>
  <c r="AB147" i="8"/>
  <c r="AC147" i="8"/>
  <c r="A148" i="8"/>
  <c r="AA148" i="8"/>
  <c r="AB148" i="8"/>
  <c r="AC148" i="8"/>
  <c r="A149" i="8"/>
  <c r="AA149" i="8"/>
  <c r="AB149" i="8"/>
  <c r="AC149" i="8"/>
  <c r="A150" i="8"/>
  <c r="AA150" i="8"/>
  <c r="AB150" i="8"/>
  <c r="AC150" i="8"/>
  <c r="A151" i="8"/>
  <c r="AA151" i="8"/>
  <c r="AB151" i="8"/>
  <c r="AC151" i="8"/>
  <c r="A152" i="8"/>
  <c r="AA152" i="8"/>
  <c r="AB152" i="8"/>
  <c r="AC152" i="8"/>
  <c r="A153" i="8"/>
  <c r="AA153" i="8"/>
  <c r="AB153" i="8"/>
  <c r="AC153" i="8"/>
  <c r="A154" i="8"/>
  <c r="AA154" i="8"/>
  <c r="AB154" i="8"/>
  <c r="AC154" i="8"/>
  <c r="A155" i="8"/>
  <c r="AA155" i="8"/>
  <c r="AB155" i="8"/>
  <c r="AC155" i="8"/>
  <c r="A156" i="8"/>
  <c r="AA156" i="8"/>
  <c r="AB156" i="8"/>
  <c r="AC156" i="8"/>
  <c r="A157" i="8"/>
  <c r="AA157" i="8"/>
  <c r="AB157" i="8"/>
  <c r="AC157" i="8"/>
  <c r="A158" i="8"/>
  <c r="AA158" i="8"/>
  <c r="AB158" i="8"/>
  <c r="AC158" i="8"/>
  <c r="A159" i="8"/>
  <c r="AA159" i="8"/>
  <c r="AB159" i="8"/>
  <c r="AC159" i="8"/>
  <c r="A160" i="8"/>
  <c r="AA160" i="8"/>
  <c r="AB160" i="8"/>
  <c r="AC160" i="8"/>
  <c r="A161" i="8"/>
  <c r="AA161" i="8"/>
  <c r="AB161" i="8"/>
  <c r="AC161" i="8"/>
  <c r="A162" i="8"/>
  <c r="AA162" i="8"/>
  <c r="AB162" i="8"/>
  <c r="AC162" i="8"/>
  <c r="A163" i="8"/>
  <c r="AA163" i="8"/>
  <c r="AB163" i="8"/>
  <c r="AC163" i="8"/>
  <c r="A164" i="8"/>
  <c r="AA164" i="8"/>
  <c r="AB164" i="8"/>
  <c r="AC164" i="8"/>
  <c r="A165" i="8"/>
  <c r="AA165" i="8"/>
  <c r="AB165" i="8"/>
  <c r="AC165" i="8"/>
  <c r="A166" i="8"/>
  <c r="AA166" i="8"/>
  <c r="AB166" i="8"/>
  <c r="AC166" i="8"/>
  <c r="A167" i="8"/>
  <c r="AA167" i="8"/>
  <c r="AB167" i="8"/>
  <c r="AC167" i="8"/>
  <c r="A168" i="8"/>
  <c r="AA168" i="8"/>
  <c r="AB168" i="8"/>
  <c r="AC168" i="8"/>
  <c r="A169" i="8"/>
  <c r="AA169" i="8"/>
  <c r="AB169" i="8"/>
  <c r="AC169" i="8"/>
  <c r="A170" i="8"/>
  <c r="AA170" i="8"/>
  <c r="AB170" i="8"/>
  <c r="AC170" i="8"/>
  <c r="A171" i="8"/>
  <c r="AA171" i="8"/>
  <c r="AB171" i="8"/>
  <c r="AC171" i="8"/>
  <c r="A172" i="8"/>
  <c r="AA172" i="8"/>
  <c r="AB172" i="8"/>
  <c r="AC172" i="8"/>
  <c r="A173" i="8"/>
  <c r="AA173" i="8"/>
  <c r="AB173" i="8"/>
  <c r="AC173" i="8"/>
  <c r="A174" i="8"/>
  <c r="AA174" i="8"/>
  <c r="AB174" i="8"/>
  <c r="AC174" i="8"/>
  <c r="A175" i="8"/>
  <c r="AA175" i="8"/>
  <c r="AB175" i="8"/>
  <c r="AC175" i="8"/>
  <c r="A176" i="8"/>
  <c r="AA176" i="8"/>
  <c r="AB176" i="8"/>
  <c r="AC176" i="8"/>
  <c r="A177" i="8"/>
  <c r="AA177" i="8"/>
  <c r="AB177" i="8"/>
  <c r="AC177" i="8"/>
  <c r="A178" i="8"/>
  <c r="AA178" i="8"/>
  <c r="AB178" i="8"/>
  <c r="AC178" i="8"/>
  <c r="A179" i="8"/>
  <c r="AA179" i="8"/>
  <c r="AB179" i="8"/>
  <c r="AC179" i="8"/>
  <c r="A180" i="8"/>
  <c r="AA180" i="8"/>
  <c r="AB180" i="8"/>
  <c r="AC180" i="8"/>
  <c r="A181" i="8"/>
  <c r="AA181" i="8"/>
  <c r="AB181" i="8"/>
  <c r="AC181" i="8"/>
  <c r="A182" i="8"/>
  <c r="AA182" i="8"/>
  <c r="AB182" i="8"/>
  <c r="AC182" i="8"/>
  <c r="A183" i="8"/>
  <c r="AA183" i="8"/>
  <c r="AB183" i="8"/>
  <c r="AC183" i="8"/>
  <c r="A184" i="8"/>
  <c r="AA184" i="8"/>
  <c r="AB184" i="8"/>
  <c r="AC184" i="8"/>
  <c r="A185" i="8"/>
  <c r="AA185" i="8"/>
  <c r="AB185" i="8"/>
  <c r="AC185" i="8"/>
  <c r="A186" i="8"/>
  <c r="AA186" i="8"/>
  <c r="AB186" i="8"/>
  <c r="AC186" i="8"/>
  <c r="A187" i="8"/>
  <c r="AA187" i="8"/>
  <c r="AB187" i="8"/>
  <c r="AC187" i="8"/>
  <c r="A188" i="8"/>
  <c r="AA188" i="8"/>
  <c r="AB188" i="8"/>
  <c r="AC188" i="8"/>
  <c r="A189" i="8"/>
  <c r="AA189" i="8"/>
  <c r="AB189" i="8"/>
  <c r="AC189" i="8"/>
  <c r="A190" i="8"/>
  <c r="AA190" i="8"/>
  <c r="AB190" i="8"/>
  <c r="AC190" i="8"/>
  <c r="A191" i="8"/>
  <c r="AA191" i="8"/>
  <c r="AB191" i="8"/>
  <c r="AC191" i="8"/>
  <c r="A192" i="8"/>
  <c r="AA192" i="8"/>
  <c r="AB192" i="8"/>
  <c r="AC192" i="8"/>
  <c r="A193" i="8"/>
  <c r="AA193" i="8"/>
  <c r="AB193" i="8"/>
  <c r="AC193" i="8"/>
  <c r="A194" i="8"/>
  <c r="AA194" i="8"/>
  <c r="AB194" i="8"/>
  <c r="AC194" i="8"/>
  <c r="A195" i="8"/>
  <c r="AA195" i="8"/>
  <c r="AB195" i="8"/>
  <c r="AC195" i="8"/>
  <c r="A196" i="8"/>
  <c r="AA196" i="8"/>
  <c r="AB196" i="8"/>
  <c r="AC196" i="8"/>
  <c r="A197" i="8"/>
  <c r="AA197" i="8"/>
  <c r="AB197" i="8"/>
  <c r="AC197" i="8"/>
  <c r="A198" i="8"/>
  <c r="AA198" i="8"/>
  <c r="AB198" i="8"/>
  <c r="AC198" i="8"/>
  <c r="A199" i="8"/>
  <c r="AA199" i="8"/>
  <c r="AB199" i="8"/>
  <c r="AC199" i="8"/>
  <c r="A200" i="8"/>
  <c r="AA200" i="8"/>
  <c r="AB200" i="8"/>
  <c r="AC200" i="8"/>
  <c r="A201" i="8"/>
  <c r="AA201" i="8"/>
  <c r="AB201" i="8"/>
  <c r="AC201" i="8"/>
  <c r="A202" i="8"/>
  <c r="AA202" i="8"/>
  <c r="AB202" i="8"/>
  <c r="AC202" i="8"/>
  <c r="A203" i="8"/>
  <c r="AA203" i="8"/>
  <c r="AB203" i="8"/>
  <c r="AC203" i="8"/>
  <c r="A204" i="8"/>
  <c r="AA204" i="8"/>
  <c r="AB204" i="8"/>
  <c r="AC204" i="8"/>
  <c r="A205" i="8"/>
  <c r="AA205" i="8"/>
  <c r="AB205" i="8"/>
  <c r="AC205" i="8"/>
  <c r="A206" i="8"/>
  <c r="AA206" i="8"/>
  <c r="AB206" i="8"/>
  <c r="AC206" i="8"/>
  <c r="A207" i="8"/>
  <c r="AA207" i="8"/>
  <c r="AB207" i="8"/>
  <c r="AC207" i="8"/>
  <c r="A208" i="8"/>
  <c r="AA208" i="8"/>
  <c r="AB208" i="8"/>
  <c r="AC208" i="8"/>
  <c r="A209" i="8"/>
  <c r="AA209" i="8"/>
  <c r="AB209" i="8"/>
  <c r="AC209" i="8"/>
  <c r="A210" i="8"/>
  <c r="AA210" i="8"/>
  <c r="AB210" i="8"/>
  <c r="AC210" i="8"/>
  <c r="A211" i="8"/>
  <c r="AA211" i="8"/>
  <c r="AB211" i="8"/>
  <c r="AC211" i="8"/>
  <c r="A212" i="8"/>
  <c r="AA212" i="8"/>
  <c r="AB212" i="8"/>
  <c r="AC212" i="8"/>
  <c r="A213" i="8"/>
  <c r="AA213" i="8"/>
  <c r="AB213" i="8"/>
  <c r="AC213" i="8"/>
  <c r="A214" i="8"/>
  <c r="AA214" i="8"/>
  <c r="AB214" i="8"/>
  <c r="AC214" i="8"/>
  <c r="A215" i="8"/>
  <c r="AA215" i="8"/>
  <c r="AB215" i="8"/>
  <c r="AC215" i="8"/>
  <c r="A216" i="8"/>
  <c r="AA216" i="8"/>
  <c r="AB216" i="8"/>
  <c r="AC216" i="8"/>
  <c r="A217" i="8"/>
  <c r="AA217" i="8"/>
  <c r="AB217" i="8"/>
  <c r="AC217" i="8"/>
  <c r="A218" i="8"/>
  <c r="AA218" i="8"/>
  <c r="AB218" i="8"/>
  <c r="AC218" i="8"/>
  <c r="A219" i="8"/>
  <c r="AA219" i="8"/>
  <c r="AB219" i="8"/>
  <c r="AC219" i="8"/>
  <c r="A220" i="8"/>
  <c r="AA220" i="8"/>
  <c r="AB220" i="8"/>
  <c r="AC220" i="8"/>
  <c r="A221" i="8"/>
  <c r="AA221" i="8"/>
  <c r="AB221" i="8"/>
  <c r="AC221" i="8"/>
  <c r="A222" i="8"/>
  <c r="AA222" i="8"/>
  <c r="AB222" i="8"/>
  <c r="AC222" i="8"/>
  <c r="A223" i="8"/>
  <c r="AA223" i="8"/>
  <c r="AB223" i="8"/>
  <c r="AC223" i="8"/>
  <c r="A224" i="8"/>
  <c r="AA224" i="8"/>
  <c r="AB224" i="8"/>
  <c r="AC224" i="8"/>
  <c r="A225" i="8"/>
  <c r="AA225" i="8"/>
  <c r="AB225" i="8"/>
  <c r="AC225" i="8"/>
  <c r="A226" i="8"/>
  <c r="AA226" i="8"/>
  <c r="AB226" i="8"/>
  <c r="AC226" i="8"/>
  <c r="A227" i="8"/>
  <c r="AA227" i="8"/>
  <c r="AB227" i="8"/>
  <c r="AC227" i="8"/>
  <c r="A228" i="8"/>
  <c r="AA228" i="8"/>
  <c r="AB228" i="8"/>
  <c r="AC228" i="8"/>
  <c r="A229" i="8"/>
  <c r="AA229" i="8"/>
  <c r="AB229" i="8"/>
  <c r="AC229" i="8"/>
  <c r="A230" i="8"/>
  <c r="AA230" i="8"/>
  <c r="AB230" i="8"/>
  <c r="AC230" i="8"/>
  <c r="A231" i="8"/>
  <c r="AA231" i="8"/>
  <c r="AB231" i="8"/>
  <c r="AC231" i="8"/>
  <c r="A232" i="8"/>
  <c r="AA232" i="8"/>
  <c r="AB232" i="8"/>
  <c r="AC232" i="8"/>
  <c r="A233" i="8"/>
  <c r="AA233" i="8"/>
  <c r="AB233" i="8"/>
  <c r="AC233" i="8"/>
  <c r="A234" i="8"/>
  <c r="AA234" i="8"/>
  <c r="AB234" i="8"/>
  <c r="AC234" i="8"/>
  <c r="A235" i="8"/>
  <c r="AA235" i="8"/>
  <c r="AB235" i="8"/>
  <c r="AC235" i="8"/>
  <c r="A236" i="8"/>
  <c r="AA236" i="8"/>
  <c r="AB236" i="8"/>
  <c r="AC236" i="8"/>
  <c r="A237" i="8"/>
  <c r="AA237" i="8"/>
  <c r="AB237" i="8"/>
  <c r="AC237" i="8"/>
  <c r="A238" i="8"/>
  <c r="AA238" i="8"/>
  <c r="AB238" i="8"/>
  <c r="AC238" i="8"/>
  <c r="A239" i="8"/>
  <c r="AA239" i="8"/>
  <c r="AB239" i="8"/>
  <c r="AC239" i="8"/>
  <c r="A240" i="8"/>
  <c r="AA240" i="8"/>
  <c r="AB240" i="8"/>
  <c r="AC240" i="8"/>
  <c r="A241" i="8"/>
  <c r="AA241" i="8"/>
  <c r="AB241" i="8"/>
  <c r="AC241" i="8"/>
  <c r="A242" i="8"/>
  <c r="AA242" i="8"/>
  <c r="AB242" i="8"/>
  <c r="AC242" i="8"/>
  <c r="A243" i="8"/>
  <c r="AA243" i="8"/>
  <c r="AB243" i="8"/>
  <c r="AC243" i="8"/>
  <c r="A244" i="8"/>
  <c r="AA244" i="8"/>
  <c r="AB244" i="8"/>
  <c r="AC244" i="8"/>
  <c r="A245" i="8"/>
  <c r="AA245" i="8"/>
  <c r="AB245" i="8"/>
  <c r="AC245" i="8"/>
  <c r="A246" i="8"/>
  <c r="AA246" i="8"/>
  <c r="AB246" i="8"/>
  <c r="AC246" i="8"/>
  <c r="A247" i="8"/>
  <c r="AA247" i="8"/>
  <c r="AB247" i="8"/>
  <c r="AC247" i="8"/>
  <c r="A248" i="8"/>
  <c r="AA248" i="8"/>
  <c r="AB248" i="8"/>
  <c r="AC248" i="8"/>
  <c r="A249" i="8"/>
  <c r="AA249" i="8"/>
  <c r="AB249" i="8"/>
  <c r="AC249" i="8"/>
  <c r="A250" i="8"/>
  <c r="AA250" i="8"/>
  <c r="AB250" i="8"/>
  <c r="AC250" i="8"/>
  <c r="A251" i="8"/>
  <c r="AA251" i="8"/>
  <c r="AB251" i="8"/>
  <c r="AC251" i="8"/>
  <c r="A2" i="8"/>
  <c r="C2" i="8"/>
  <c r="B2" i="8"/>
  <c r="U2" i="8"/>
  <c r="D2" i="8"/>
  <c r="Z2" i="8"/>
  <c r="AB2" i="8"/>
  <c r="AC2" i="8"/>
  <c r="AA2" i="8"/>
  <c r="Z10" i="8"/>
  <c r="B10" i="8"/>
  <c r="C10" i="8"/>
  <c r="Z11" i="8"/>
  <c r="B11" i="8"/>
  <c r="C11" i="8"/>
  <c r="Z12" i="8"/>
  <c r="B12" i="8"/>
  <c r="C12" i="8"/>
  <c r="Z13" i="8"/>
  <c r="B13" i="8"/>
  <c r="C13" i="8"/>
  <c r="Z14" i="8"/>
  <c r="B14" i="8"/>
  <c r="C14" i="8"/>
  <c r="Z15" i="8"/>
  <c r="B15" i="8"/>
  <c r="C15" i="8"/>
  <c r="Z16" i="8"/>
  <c r="B16" i="8"/>
  <c r="C16" i="8"/>
  <c r="Z17" i="8"/>
  <c r="B17" i="8"/>
  <c r="C17" i="8"/>
  <c r="Z18" i="8"/>
  <c r="B18" i="8"/>
  <c r="C18" i="8"/>
  <c r="Z19" i="8"/>
  <c r="B19" i="8"/>
  <c r="C19" i="8"/>
  <c r="Z20" i="8"/>
  <c r="B20" i="8"/>
  <c r="C20" i="8"/>
  <c r="Z21" i="8"/>
  <c r="B21" i="8"/>
  <c r="C21" i="8"/>
  <c r="Z22" i="8"/>
  <c r="B22" i="8"/>
  <c r="C22" i="8"/>
  <c r="Z23" i="8"/>
  <c r="B23" i="8"/>
  <c r="C23" i="8"/>
  <c r="Z24" i="8"/>
  <c r="B24" i="8"/>
  <c r="C24" i="8"/>
  <c r="Z25" i="8"/>
  <c r="B25" i="8"/>
  <c r="C25" i="8"/>
  <c r="Z26" i="8"/>
  <c r="B26" i="8"/>
  <c r="C26" i="8"/>
  <c r="Z27" i="8"/>
  <c r="B27" i="8"/>
  <c r="C27" i="8"/>
  <c r="Z28" i="8"/>
  <c r="B28" i="8"/>
  <c r="C28" i="8"/>
  <c r="Z29" i="8"/>
  <c r="B29" i="8"/>
  <c r="C29" i="8"/>
  <c r="Z30" i="8"/>
  <c r="B30" i="8"/>
  <c r="C30" i="8"/>
  <c r="Z31" i="8"/>
  <c r="B31" i="8"/>
  <c r="C31" i="8"/>
  <c r="Z32" i="8"/>
  <c r="B32" i="8"/>
  <c r="C32" i="8"/>
  <c r="Z33" i="8"/>
  <c r="B33" i="8"/>
  <c r="C33" i="8"/>
  <c r="Z34" i="8"/>
  <c r="B34" i="8"/>
  <c r="C34" i="8"/>
  <c r="Z35" i="8"/>
  <c r="B35" i="8"/>
  <c r="C35" i="8"/>
  <c r="Z36" i="8"/>
  <c r="B36" i="8"/>
  <c r="C36" i="8"/>
  <c r="Z37" i="8"/>
  <c r="B37" i="8"/>
  <c r="C37" i="8"/>
  <c r="Z38" i="8"/>
  <c r="B38" i="8"/>
  <c r="C38" i="8"/>
  <c r="Z39" i="8"/>
  <c r="B39" i="8"/>
  <c r="C39" i="8"/>
  <c r="Z40" i="8"/>
  <c r="B40" i="8"/>
  <c r="C40" i="8"/>
  <c r="Z41" i="8"/>
  <c r="B41" i="8"/>
  <c r="C41" i="8"/>
  <c r="Z42" i="8"/>
  <c r="B42" i="8"/>
  <c r="C42" i="8"/>
  <c r="Z43" i="8"/>
  <c r="B43" i="8"/>
  <c r="C43" i="8"/>
  <c r="Z44" i="8"/>
  <c r="B44" i="8"/>
  <c r="C44" i="8"/>
  <c r="Z45" i="8"/>
  <c r="B45" i="8"/>
  <c r="C45" i="8"/>
  <c r="Z46" i="8"/>
  <c r="B46" i="8"/>
  <c r="C46" i="8"/>
  <c r="Z47" i="8"/>
  <c r="B47" i="8"/>
  <c r="C47" i="8"/>
  <c r="Z48" i="8"/>
  <c r="B48" i="8"/>
  <c r="C48" i="8"/>
  <c r="Z49" i="8"/>
  <c r="B49" i="8"/>
  <c r="C49" i="8"/>
  <c r="Z50" i="8"/>
  <c r="B50" i="8"/>
  <c r="C50" i="8"/>
  <c r="Z51" i="8"/>
  <c r="B51" i="8"/>
  <c r="C51" i="8"/>
  <c r="Z52" i="8"/>
  <c r="B52" i="8"/>
  <c r="C52" i="8"/>
  <c r="Z53" i="8"/>
  <c r="B53" i="8"/>
  <c r="C53" i="8"/>
  <c r="Z54" i="8"/>
  <c r="B54" i="8"/>
  <c r="C54" i="8"/>
  <c r="Z55" i="8"/>
  <c r="B55" i="8"/>
  <c r="C55" i="8"/>
  <c r="Z56" i="8"/>
  <c r="B56" i="8"/>
  <c r="C56" i="8"/>
  <c r="Z57" i="8"/>
  <c r="B57" i="8"/>
  <c r="C57" i="8"/>
  <c r="Z58" i="8"/>
  <c r="B58" i="8"/>
  <c r="C58" i="8"/>
  <c r="Z59" i="8"/>
  <c r="B59" i="8"/>
  <c r="C59" i="8"/>
  <c r="Z60" i="8"/>
  <c r="B60" i="8"/>
  <c r="C60" i="8"/>
  <c r="Z61" i="8"/>
  <c r="B61" i="8"/>
  <c r="C61" i="8"/>
  <c r="Z62" i="8"/>
  <c r="B62" i="8"/>
  <c r="C62" i="8"/>
  <c r="Z63" i="8"/>
  <c r="B63" i="8"/>
  <c r="C63" i="8"/>
  <c r="Z64" i="8"/>
  <c r="B64" i="8"/>
  <c r="C64" i="8"/>
  <c r="Z65" i="8"/>
  <c r="B65" i="8"/>
  <c r="C65" i="8"/>
  <c r="Z66" i="8"/>
  <c r="B66" i="8"/>
  <c r="C66" i="8"/>
  <c r="Z67" i="8"/>
  <c r="B67" i="8"/>
  <c r="C67" i="8"/>
  <c r="Z68" i="8"/>
  <c r="B68" i="8"/>
  <c r="C68" i="8"/>
  <c r="Z69" i="8"/>
  <c r="B69" i="8"/>
  <c r="C69" i="8"/>
  <c r="Z70" i="8"/>
  <c r="B70" i="8"/>
  <c r="C70" i="8"/>
  <c r="Z71" i="8"/>
  <c r="B71" i="8"/>
  <c r="C71" i="8"/>
  <c r="Z72" i="8"/>
  <c r="B72" i="8"/>
  <c r="C72" i="8"/>
  <c r="Z73" i="8"/>
  <c r="B73" i="8"/>
  <c r="C73" i="8"/>
  <c r="Z74" i="8"/>
  <c r="B74" i="8"/>
  <c r="C74" i="8"/>
  <c r="Z75" i="8"/>
  <c r="B75" i="8"/>
  <c r="C75" i="8"/>
  <c r="Z76" i="8"/>
  <c r="B76" i="8"/>
  <c r="C76" i="8"/>
  <c r="Z77" i="8"/>
  <c r="B77" i="8"/>
  <c r="C77" i="8"/>
  <c r="Z78" i="8"/>
  <c r="B78" i="8"/>
  <c r="C78" i="8"/>
  <c r="Z79" i="8"/>
  <c r="B79" i="8"/>
  <c r="C79" i="8"/>
  <c r="Z80" i="8"/>
  <c r="B80" i="8"/>
  <c r="C80" i="8"/>
  <c r="Z81" i="8"/>
  <c r="B81" i="8"/>
  <c r="C81" i="8"/>
  <c r="Z82" i="8"/>
  <c r="B82" i="8"/>
  <c r="C82" i="8"/>
  <c r="Z83" i="8"/>
  <c r="B83" i="8"/>
  <c r="C83" i="8"/>
  <c r="Z84" i="8"/>
  <c r="B84" i="8"/>
  <c r="C84" i="8"/>
  <c r="Z85" i="8"/>
  <c r="B85" i="8"/>
  <c r="C85" i="8"/>
  <c r="Z86" i="8"/>
  <c r="B86" i="8"/>
  <c r="C86" i="8"/>
  <c r="Z87" i="8"/>
  <c r="B87" i="8"/>
  <c r="C87" i="8"/>
  <c r="Z88" i="8"/>
  <c r="B88" i="8"/>
  <c r="C88" i="8"/>
  <c r="Z89" i="8"/>
  <c r="B89" i="8"/>
  <c r="C89" i="8"/>
  <c r="Z90" i="8"/>
  <c r="B90" i="8"/>
  <c r="C90" i="8"/>
  <c r="Z91" i="8"/>
  <c r="B91" i="8"/>
  <c r="C91" i="8"/>
  <c r="Z92" i="8"/>
  <c r="B92" i="8"/>
  <c r="C92" i="8"/>
  <c r="Z93" i="8"/>
  <c r="B93" i="8"/>
  <c r="C93" i="8"/>
  <c r="Z94" i="8"/>
  <c r="B94" i="8"/>
  <c r="C94" i="8"/>
  <c r="Z95" i="8"/>
  <c r="B95" i="8"/>
  <c r="C95" i="8"/>
  <c r="Z96" i="8"/>
  <c r="B96" i="8"/>
  <c r="C96" i="8"/>
  <c r="Z97" i="8"/>
  <c r="B97" i="8"/>
  <c r="C97" i="8"/>
  <c r="Z98" i="8"/>
  <c r="B98" i="8"/>
  <c r="C98" i="8"/>
  <c r="Z99" i="8"/>
  <c r="B99" i="8"/>
  <c r="C99" i="8"/>
  <c r="Z100" i="8"/>
  <c r="B100" i="8"/>
  <c r="C100" i="8"/>
  <c r="Z101" i="8"/>
  <c r="B101" i="8"/>
  <c r="C101" i="8"/>
  <c r="Z102" i="8"/>
  <c r="B102" i="8"/>
  <c r="C102" i="8"/>
  <c r="Z103" i="8"/>
  <c r="B103" i="8"/>
  <c r="C103" i="8"/>
  <c r="Z104" i="8"/>
  <c r="B104" i="8"/>
  <c r="C104" i="8"/>
  <c r="Z105" i="8"/>
  <c r="B105" i="8"/>
  <c r="C105" i="8"/>
  <c r="Z106" i="8"/>
  <c r="B106" i="8"/>
  <c r="C106" i="8"/>
  <c r="Z107" i="8"/>
  <c r="B107" i="8"/>
  <c r="C107" i="8"/>
  <c r="Z108" i="8"/>
  <c r="B108" i="8"/>
  <c r="C108" i="8"/>
  <c r="Z109" i="8"/>
  <c r="B109" i="8"/>
  <c r="C109" i="8"/>
  <c r="Z110" i="8"/>
  <c r="B110" i="8"/>
  <c r="C110" i="8"/>
  <c r="Z111" i="8"/>
  <c r="B111" i="8"/>
  <c r="C111" i="8"/>
  <c r="Z112" i="8"/>
  <c r="B112" i="8"/>
  <c r="C112" i="8"/>
  <c r="Z113" i="8"/>
  <c r="B113" i="8"/>
  <c r="C113" i="8"/>
  <c r="Z114" i="8"/>
  <c r="B114" i="8"/>
  <c r="C114" i="8"/>
  <c r="Z115" i="8"/>
  <c r="B115" i="8"/>
  <c r="C115" i="8"/>
  <c r="Z116" i="8"/>
  <c r="B116" i="8"/>
  <c r="C116" i="8"/>
  <c r="Z117" i="8"/>
  <c r="B117" i="8"/>
  <c r="C117" i="8"/>
  <c r="Z118" i="8"/>
  <c r="B118" i="8"/>
  <c r="C118" i="8"/>
  <c r="Z119" i="8"/>
  <c r="B119" i="8"/>
  <c r="C119" i="8"/>
  <c r="Z120" i="8"/>
  <c r="B120" i="8"/>
  <c r="C120" i="8"/>
  <c r="Z121" i="8"/>
  <c r="B121" i="8"/>
  <c r="C121" i="8"/>
  <c r="Z122" i="8"/>
  <c r="B122" i="8"/>
  <c r="C122" i="8"/>
  <c r="Z123" i="8"/>
  <c r="B123" i="8"/>
  <c r="C123" i="8"/>
  <c r="Z124" i="8"/>
  <c r="B124" i="8"/>
  <c r="C124" i="8"/>
  <c r="Z125" i="8"/>
  <c r="B125" i="8"/>
  <c r="C125" i="8"/>
  <c r="Z126" i="8"/>
  <c r="B126" i="8"/>
  <c r="C126" i="8"/>
  <c r="Z127" i="8"/>
  <c r="B127" i="8"/>
  <c r="C127" i="8"/>
  <c r="Z128" i="8"/>
  <c r="B128" i="8"/>
  <c r="C128" i="8"/>
  <c r="Z129" i="8"/>
  <c r="B129" i="8"/>
  <c r="C129" i="8"/>
  <c r="Z130" i="8"/>
  <c r="B130" i="8"/>
  <c r="C130" i="8"/>
  <c r="Z131" i="8"/>
  <c r="B131" i="8"/>
  <c r="C131" i="8"/>
  <c r="Z132" i="8"/>
  <c r="B132" i="8"/>
  <c r="C132" i="8"/>
  <c r="Z133" i="8"/>
  <c r="B133" i="8"/>
  <c r="C133" i="8"/>
  <c r="Z134" i="8"/>
  <c r="B134" i="8"/>
  <c r="C134" i="8"/>
  <c r="Z135" i="8"/>
  <c r="B135" i="8"/>
  <c r="C135" i="8"/>
  <c r="Z136" i="8"/>
  <c r="B136" i="8"/>
  <c r="C136" i="8"/>
  <c r="Z137" i="8"/>
  <c r="B137" i="8"/>
  <c r="C137" i="8"/>
  <c r="Z138" i="8"/>
  <c r="B138" i="8"/>
  <c r="C138" i="8"/>
  <c r="Z139" i="8"/>
  <c r="B139" i="8"/>
  <c r="C139" i="8"/>
  <c r="Z140" i="8"/>
  <c r="B140" i="8"/>
  <c r="C140" i="8"/>
  <c r="Z141" i="8"/>
  <c r="B141" i="8"/>
  <c r="C141" i="8"/>
  <c r="Z142" i="8"/>
  <c r="B142" i="8"/>
  <c r="C142" i="8"/>
  <c r="Z143" i="8"/>
  <c r="B143" i="8"/>
  <c r="C143" i="8"/>
  <c r="Z144" i="8"/>
  <c r="B144" i="8"/>
  <c r="C144" i="8"/>
  <c r="Z145" i="8"/>
  <c r="B145" i="8"/>
  <c r="C145" i="8"/>
  <c r="Z146" i="8"/>
  <c r="B146" i="8"/>
  <c r="C146" i="8"/>
  <c r="Z147" i="8"/>
  <c r="B147" i="8"/>
  <c r="C147" i="8"/>
  <c r="Z148" i="8"/>
  <c r="B148" i="8"/>
  <c r="C148" i="8"/>
  <c r="Z149" i="8"/>
  <c r="B149" i="8"/>
  <c r="C149" i="8"/>
  <c r="Z150" i="8"/>
  <c r="B150" i="8"/>
  <c r="C150" i="8"/>
  <c r="Z151" i="8"/>
  <c r="B151" i="8"/>
  <c r="C151" i="8"/>
  <c r="Z152" i="8"/>
  <c r="B152" i="8"/>
  <c r="C152" i="8"/>
  <c r="Z153" i="8"/>
  <c r="B153" i="8"/>
  <c r="C153" i="8"/>
  <c r="Z154" i="8"/>
  <c r="B154" i="8"/>
  <c r="C154" i="8"/>
  <c r="Z155" i="8"/>
  <c r="B155" i="8"/>
  <c r="C155" i="8"/>
  <c r="Z156" i="8"/>
  <c r="B156" i="8"/>
  <c r="C156" i="8"/>
  <c r="Z157" i="8"/>
  <c r="B157" i="8"/>
  <c r="C157" i="8"/>
  <c r="Z158" i="8"/>
  <c r="B158" i="8"/>
  <c r="C158" i="8"/>
  <c r="Z159" i="8"/>
  <c r="B159" i="8"/>
  <c r="C159" i="8"/>
  <c r="Z160" i="8"/>
  <c r="B160" i="8"/>
  <c r="C160" i="8"/>
  <c r="Z161" i="8"/>
  <c r="B161" i="8"/>
  <c r="C161" i="8"/>
  <c r="Z162" i="8"/>
  <c r="B162" i="8"/>
  <c r="C162" i="8"/>
  <c r="Z163" i="8"/>
  <c r="B163" i="8"/>
  <c r="C163" i="8"/>
  <c r="Z164" i="8"/>
  <c r="B164" i="8"/>
  <c r="C164" i="8"/>
  <c r="Z165" i="8"/>
  <c r="B165" i="8"/>
  <c r="C165" i="8"/>
  <c r="Z166" i="8"/>
  <c r="B166" i="8"/>
  <c r="C166" i="8"/>
  <c r="Z167" i="8"/>
  <c r="B167" i="8"/>
  <c r="C167" i="8"/>
  <c r="Z168" i="8"/>
  <c r="B168" i="8"/>
  <c r="C168" i="8"/>
  <c r="Z169" i="8"/>
  <c r="B169" i="8"/>
  <c r="C169" i="8"/>
  <c r="Z170" i="8"/>
  <c r="B170" i="8"/>
  <c r="C170" i="8"/>
  <c r="Z171" i="8"/>
  <c r="B171" i="8"/>
  <c r="C171" i="8"/>
  <c r="Z172" i="8"/>
  <c r="B172" i="8"/>
  <c r="C172" i="8"/>
  <c r="Z173" i="8"/>
  <c r="B173" i="8"/>
  <c r="C173" i="8"/>
  <c r="Z174" i="8"/>
  <c r="B174" i="8"/>
  <c r="C174" i="8"/>
  <c r="Z175" i="8"/>
  <c r="B175" i="8"/>
  <c r="C175" i="8"/>
  <c r="Z176" i="8"/>
  <c r="B176" i="8"/>
  <c r="C176" i="8"/>
  <c r="Z177" i="8"/>
  <c r="B177" i="8"/>
  <c r="C177" i="8"/>
  <c r="Z178" i="8"/>
  <c r="B178" i="8"/>
  <c r="C178" i="8"/>
  <c r="Z179" i="8"/>
  <c r="B179" i="8"/>
  <c r="C179" i="8"/>
  <c r="Z180" i="8"/>
  <c r="B180" i="8"/>
  <c r="C180" i="8"/>
  <c r="Z181" i="8"/>
  <c r="B181" i="8"/>
  <c r="C181" i="8"/>
  <c r="Z182" i="8"/>
  <c r="B182" i="8"/>
  <c r="C182" i="8"/>
  <c r="Z183" i="8"/>
  <c r="B183" i="8"/>
  <c r="C183" i="8"/>
  <c r="Z184" i="8"/>
  <c r="B184" i="8"/>
  <c r="C184" i="8"/>
  <c r="Z185" i="8"/>
  <c r="B185" i="8"/>
  <c r="C185" i="8"/>
  <c r="Z186" i="8"/>
  <c r="B186" i="8"/>
  <c r="C186" i="8"/>
  <c r="Z187" i="8"/>
  <c r="B187" i="8"/>
  <c r="C187" i="8"/>
  <c r="Z188" i="8"/>
  <c r="B188" i="8"/>
  <c r="C188" i="8"/>
  <c r="Z189" i="8"/>
  <c r="B189" i="8"/>
  <c r="C189" i="8"/>
  <c r="Z190" i="8"/>
  <c r="B190" i="8"/>
  <c r="C190" i="8"/>
  <c r="Z191" i="8"/>
  <c r="B191" i="8"/>
  <c r="C191" i="8"/>
  <c r="Z192" i="8"/>
  <c r="B192" i="8"/>
  <c r="C192" i="8"/>
  <c r="Z193" i="8"/>
  <c r="B193" i="8"/>
  <c r="C193" i="8"/>
  <c r="Z194" i="8"/>
  <c r="B194" i="8"/>
  <c r="C194" i="8"/>
  <c r="Z195" i="8"/>
  <c r="B195" i="8"/>
  <c r="C195" i="8"/>
  <c r="Z196" i="8"/>
  <c r="B196" i="8"/>
  <c r="C196" i="8"/>
  <c r="Z197" i="8"/>
  <c r="B197" i="8"/>
  <c r="C197" i="8"/>
  <c r="Z198" i="8"/>
  <c r="B198" i="8"/>
  <c r="C198" i="8"/>
  <c r="Z199" i="8"/>
  <c r="B199" i="8"/>
  <c r="C199" i="8"/>
  <c r="Z200" i="8"/>
  <c r="B200" i="8"/>
  <c r="C200" i="8"/>
  <c r="Z201" i="8"/>
  <c r="B201" i="8"/>
  <c r="C201" i="8"/>
  <c r="Z202" i="8"/>
  <c r="B202" i="8"/>
  <c r="C202" i="8"/>
  <c r="Z203" i="8"/>
  <c r="B203" i="8"/>
  <c r="C203" i="8"/>
  <c r="Z204" i="8"/>
  <c r="B204" i="8"/>
  <c r="C204" i="8"/>
  <c r="Z205" i="8"/>
  <c r="B205" i="8"/>
  <c r="C205" i="8"/>
  <c r="Z206" i="8"/>
  <c r="B206" i="8"/>
  <c r="C206" i="8"/>
  <c r="Z207" i="8"/>
  <c r="B207" i="8"/>
  <c r="C207" i="8"/>
  <c r="Z208" i="8"/>
  <c r="B208" i="8"/>
  <c r="C208" i="8"/>
  <c r="Z209" i="8"/>
  <c r="B209" i="8"/>
  <c r="C209" i="8"/>
  <c r="Z210" i="8"/>
  <c r="B210" i="8"/>
  <c r="C210" i="8"/>
  <c r="Z211" i="8"/>
  <c r="B211" i="8"/>
  <c r="C211" i="8"/>
  <c r="Z212" i="8"/>
  <c r="B212" i="8"/>
  <c r="C212" i="8"/>
  <c r="Z213" i="8"/>
  <c r="B213" i="8"/>
  <c r="C213" i="8"/>
  <c r="Z214" i="8"/>
  <c r="B214" i="8"/>
  <c r="C214" i="8"/>
  <c r="Z215" i="8"/>
  <c r="B215" i="8"/>
  <c r="C215" i="8"/>
  <c r="Z216" i="8"/>
  <c r="B216" i="8"/>
  <c r="C216" i="8"/>
  <c r="Z217" i="8"/>
  <c r="B217" i="8"/>
  <c r="C217" i="8"/>
  <c r="Z218" i="8"/>
  <c r="B218" i="8"/>
  <c r="C218" i="8"/>
  <c r="Z219" i="8"/>
  <c r="B219" i="8"/>
  <c r="C219" i="8"/>
  <c r="Z220" i="8"/>
  <c r="B220" i="8"/>
  <c r="C220" i="8"/>
  <c r="Z221" i="8"/>
  <c r="B221" i="8"/>
  <c r="C221" i="8"/>
  <c r="Z222" i="8"/>
  <c r="B222" i="8"/>
  <c r="C222" i="8"/>
  <c r="Z223" i="8"/>
  <c r="B223" i="8"/>
  <c r="C223" i="8"/>
  <c r="Z224" i="8"/>
  <c r="B224" i="8"/>
  <c r="C224" i="8"/>
  <c r="Z225" i="8"/>
  <c r="B225" i="8"/>
  <c r="C225" i="8"/>
  <c r="Z226" i="8"/>
  <c r="B226" i="8"/>
  <c r="C226" i="8"/>
  <c r="Z227" i="8"/>
  <c r="B227" i="8"/>
  <c r="C227" i="8"/>
  <c r="Z228" i="8"/>
  <c r="B228" i="8"/>
  <c r="C228" i="8"/>
  <c r="Z229" i="8"/>
  <c r="B229" i="8"/>
  <c r="C229" i="8"/>
  <c r="Z230" i="8"/>
  <c r="B230" i="8"/>
  <c r="C230" i="8"/>
  <c r="Z231" i="8"/>
  <c r="B231" i="8"/>
  <c r="C231" i="8"/>
  <c r="Z232" i="8"/>
  <c r="B232" i="8"/>
  <c r="C232" i="8"/>
  <c r="Z233" i="8"/>
  <c r="B233" i="8"/>
  <c r="C233" i="8"/>
  <c r="Z234" i="8"/>
  <c r="B234" i="8"/>
  <c r="C234" i="8"/>
  <c r="Z235" i="8"/>
  <c r="B235" i="8"/>
  <c r="C235" i="8"/>
  <c r="Z236" i="8"/>
  <c r="B236" i="8"/>
  <c r="C236" i="8"/>
  <c r="Z237" i="8"/>
  <c r="B237" i="8"/>
  <c r="C237" i="8"/>
  <c r="Z238" i="8"/>
  <c r="B238" i="8"/>
  <c r="C238" i="8"/>
  <c r="Z239" i="8"/>
  <c r="B239" i="8"/>
  <c r="C239" i="8"/>
  <c r="Z240" i="8"/>
  <c r="B240" i="8"/>
  <c r="C240" i="8"/>
  <c r="Z241" i="8"/>
  <c r="B241" i="8"/>
  <c r="C241" i="8"/>
  <c r="Z242" i="8"/>
  <c r="B242" i="8"/>
  <c r="C242" i="8"/>
  <c r="Z243" i="8"/>
  <c r="B243" i="8"/>
  <c r="C243" i="8"/>
  <c r="Z244" i="8"/>
  <c r="B244" i="8"/>
  <c r="C244" i="8"/>
  <c r="Z245" i="8"/>
  <c r="B245" i="8"/>
  <c r="C245" i="8"/>
  <c r="Z246" i="8"/>
  <c r="B246" i="8"/>
  <c r="C246" i="8"/>
  <c r="Z247" i="8"/>
  <c r="B247" i="8"/>
  <c r="C247" i="8"/>
  <c r="Z248" i="8"/>
  <c r="B248" i="8"/>
  <c r="C248" i="8"/>
  <c r="Z249" i="8"/>
  <c r="B249" i="8"/>
  <c r="C249" i="8"/>
  <c r="Z250" i="8"/>
  <c r="B250" i="8"/>
  <c r="C250" i="8"/>
  <c r="Z251" i="8"/>
  <c r="B251" i="8"/>
  <c r="C251" i="8"/>
  <c r="B2" i="6"/>
  <c r="E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F9" i="8"/>
  <c r="E9" i="8"/>
  <c r="V9" i="8"/>
  <c r="F8" i="8"/>
  <c r="E8" i="8"/>
  <c r="V8" i="8"/>
  <c r="F7" i="8"/>
  <c r="E7" i="8"/>
  <c r="V7" i="8"/>
  <c r="F6" i="8"/>
  <c r="E6" i="8"/>
  <c r="V6" i="8"/>
  <c r="F5" i="8"/>
  <c r="E5" i="8"/>
  <c r="V5" i="8"/>
  <c r="F4" i="8"/>
  <c r="E4" i="8"/>
  <c r="V4" i="8"/>
  <c r="F3" i="8"/>
  <c r="E3" i="8"/>
  <c r="V3" i="8"/>
  <c r="F2" i="8"/>
  <c r="V2" i="8"/>
  <c r="A3" i="6"/>
  <c r="C3" i="6"/>
  <c r="B3" i="6"/>
  <c r="U3" i="6"/>
  <c r="A4" i="6"/>
  <c r="C4" i="6"/>
  <c r="B4" i="6"/>
  <c r="U4" i="6"/>
  <c r="A5" i="6"/>
  <c r="C5" i="6"/>
  <c r="B5" i="6"/>
  <c r="U5" i="6"/>
  <c r="A6" i="6"/>
  <c r="U6" i="6"/>
  <c r="A7" i="6"/>
  <c r="U7" i="6"/>
  <c r="A8" i="6"/>
  <c r="U8" i="6"/>
  <c r="A9" i="6"/>
  <c r="U9" i="6"/>
  <c r="A10" i="6"/>
  <c r="U10" i="6"/>
  <c r="A11" i="6"/>
  <c r="U11" i="6"/>
  <c r="A12" i="6"/>
  <c r="U12" i="6"/>
  <c r="A13" i="6"/>
  <c r="U13" i="6"/>
  <c r="A14" i="6"/>
  <c r="U14" i="6"/>
  <c r="A15" i="6"/>
  <c r="U15" i="6"/>
  <c r="A16" i="6"/>
  <c r="U16" i="6"/>
  <c r="A17" i="6"/>
  <c r="U17" i="6"/>
  <c r="A18" i="6"/>
  <c r="U18" i="6"/>
  <c r="A19" i="6"/>
  <c r="U19" i="6"/>
  <c r="A20" i="6"/>
  <c r="U20" i="6"/>
  <c r="A21" i="6"/>
  <c r="U21" i="6"/>
  <c r="A22" i="6"/>
  <c r="U22" i="6"/>
  <c r="A23" i="6"/>
  <c r="U23" i="6"/>
  <c r="A24" i="6"/>
  <c r="U24" i="6"/>
  <c r="A25" i="6"/>
  <c r="U25" i="6"/>
  <c r="A26" i="6"/>
  <c r="U26" i="6"/>
  <c r="A2" i="6"/>
  <c r="C2" i="6"/>
  <c r="U2" i="6"/>
  <c r="X3" i="8"/>
  <c r="Y3" i="8"/>
  <c r="X4" i="8"/>
  <c r="Y4" i="8"/>
  <c r="X5" i="8"/>
  <c r="Y5" i="8"/>
  <c r="X6" i="8"/>
  <c r="Y6" i="8"/>
  <c r="X7" i="8"/>
  <c r="Y7" i="8"/>
  <c r="X8" i="8"/>
  <c r="Y8" i="8"/>
  <c r="A1" i="6"/>
  <c r="T3" i="6"/>
  <c r="T2" i="6"/>
  <c r="X9" i="8"/>
  <c r="T4" i="6"/>
  <c r="Y9" i="8"/>
  <c r="X10" i="8"/>
  <c r="D10" i="8"/>
  <c r="Y10" i="8"/>
  <c r="X11" i="8"/>
  <c r="D11" i="8"/>
  <c r="Y11" i="8"/>
  <c r="X12" i="8"/>
  <c r="D12" i="8"/>
  <c r="Y12" i="8"/>
  <c r="X13" i="8"/>
  <c r="D13" i="8"/>
  <c r="Y13" i="8"/>
  <c r="X14" i="8"/>
  <c r="D14" i="8"/>
  <c r="Y14" i="8"/>
  <c r="X15" i="8"/>
  <c r="D15" i="8"/>
  <c r="Y15" i="8"/>
  <c r="X16" i="8"/>
  <c r="D16" i="8"/>
  <c r="Y16" i="8"/>
  <c r="X17" i="8"/>
  <c r="D17" i="8"/>
  <c r="Y17" i="8"/>
  <c r="X18" i="8"/>
  <c r="D18" i="8"/>
  <c r="Y18" i="8"/>
  <c r="X19" i="8"/>
  <c r="D19" i="8"/>
  <c r="Y19" i="8"/>
  <c r="X20" i="8"/>
  <c r="D20" i="8"/>
  <c r="Y20" i="8"/>
  <c r="X21" i="8"/>
  <c r="D21" i="8"/>
  <c r="Y21" i="8"/>
  <c r="X22" i="8"/>
  <c r="D22" i="8"/>
  <c r="Y22" i="8"/>
  <c r="X23" i="8"/>
  <c r="D23" i="8"/>
  <c r="Y23" i="8"/>
  <c r="X24" i="8"/>
  <c r="D24" i="8"/>
  <c r="Y24" i="8"/>
  <c r="X25" i="8"/>
  <c r="D25" i="8"/>
  <c r="Y25" i="8"/>
  <c r="X26" i="8"/>
  <c r="D26" i="8"/>
  <c r="Y26" i="8"/>
  <c r="X27" i="8"/>
  <c r="D27" i="8"/>
  <c r="Y27" i="8"/>
  <c r="X28" i="8"/>
  <c r="D28" i="8"/>
  <c r="Y28" i="8"/>
  <c r="X29" i="8"/>
  <c r="D29" i="8"/>
  <c r="Y29" i="8"/>
  <c r="X30" i="8"/>
  <c r="D30" i="8"/>
  <c r="Y30" i="8"/>
  <c r="X31" i="8"/>
  <c r="D31" i="8"/>
  <c r="Y31" i="8"/>
  <c r="X32" i="8"/>
  <c r="D32" i="8"/>
  <c r="Y32" i="8"/>
  <c r="X33" i="8"/>
  <c r="D33" i="8"/>
  <c r="Y33" i="8"/>
  <c r="X34" i="8"/>
  <c r="D34" i="8"/>
  <c r="Y34" i="8"/>
  <c r="X35" i="8"/>
  <c r="D35" i="8"/>
  <c r="Y35" i="8"/>
  <c r="X36" i="8"/>
  <c r="D36" i="8"/>
  <c r="Y36" i="8"/>
  <c r="X37" i="8"/>
  <c r="D37" i="8"/>
  <c r="Y37" i="8"/>
  <c r="X38" i="8"/>
  <c r="D38" i="8"/>
  <c r="Y38" i="8"/>
  <c r="X39" i="8"/>
  <c r="D39" i="8"/>
  <c r="Y39" i="8"/>
  <c r="X40" i="8"/>
  <c r="D40" i="8"/>
  <c r="Y40" i="8"/>
  <c r="X41" i="8"/>
  <c r="D41" i="8"/>
  <c r="Y41" i="8"/>
  <c r="X42" i="8"/>
  <c r="D42" i="8"/>
  <c r="Y42" i="8"/>
  <c r="X43" i="8"/>
  <c r="D43" i="8"/>
  <c r="Y43" i="8"/>
  <c r="X44" i="8"/>
  <c r="D44" i="8"/>
  <c r="Y44" i="8"/>
  <c r="X45" i="8"/>
  <c r="D45" i="8"/>
  <c r="Y45" i="8"/>
  <c r="X46" i="8"/>
  <c r="D46" i="8"/>
  <c r="Y46" i="8"/>
  <c r="X47" i="8"/>
  <c r="D47" i="8"/>
  <c r="Y47" i="8"/>
  <c r="X48" i="8"/>
  <c r="D48" i="8"/>
  <c r="Y48" i="8"/>
  <c r="X49" i="8"/>
  <c r="D49" i="8"/>
  <c r="Y49" i="8"/>
  <c r="X50" i="8"/>
  <c r="D50" i="8"/>
  <c r="Y50" i="8"/>
  <c r="X51" i="8"/>
  <c r="D51" i="8"/>
  <c r="Y51" i="8"/>
  <c r="X52" i="8"/>
  <c r="D52" i="8"/>
  <c r="Y52" i="8"/>
  <c r="X53" i="8"/>
  <c r="D53" i="8"/>
  <c r="Y53" i="8"/>
  <c r="X54" i="8"/>
  <c r="D54" i="8"/>
  <c r="Y54" i="8"/>
  <c r="X55" i="8"/>
  <c r="D55" i="8"/>
  <c r="Y55" i="8"/>
  <c r="X56" i="8"/>
  <c r="D56" i="8"/>
  <c r="Y56" i="8"/>
  <c r="X57" i="8"/>
  <c r="D57" i="8"/>
  <c r="Y57" i="8"/>
  <c r="X58" i="8"/>
  <c r="D58" i="8"/>
  <c r="Y58" i="8"/>
  <c r="X59" i="8"/>
  <c r="D59" i="8"/>
  <c r="Y59" i="8"/>
  <c r="X60" i="8"/>
  <c r="D60" i="8"/>
  <c r="Y60" i="8"/>
  <c r="X61" i="8"/>
  <c r="D61" i="8"/>
  <c r="Y61" i="8"/>
  <c r="X62" i="8"/>
  <c r="D62" i="8"/>
  <c r="Y62" i="8"/>
  <c r="X63" i="8"/>
  <c r="D63" i="8"/>
  <c r="Y63" i="8"/>
  <c r="X64" i="8"/>
  <c r="D64" i="8"/>
  <c r="Y64" i="8"/>
  <c r="X65" i="8"/>
  <c r="D65" i="8"/>
  <c r="Y65" i="8"/>
  <c r="X66" i="8"/>
  <c r="D66" i="8"/>
  <c r="Y66" i="8"/>
  <c r="X67" i="8"/>
  <c r="D67" i="8"/>
  <c r="Y67" i="8"/>
  <c r="X68" i="8"/>
  <c r="D68" i="8"/>
  <c r="Y68" i="8"/>
  <c r="X69" i="8"/>
  <c r="D69" i="8"/>
  <c r="Y69" i="8"/>
  <c r="X70" i="8"/>
  <c r="D70" i="8"/>
  <c r="Y70" i="8"/>
  <c r="X71" i="8"/>
  <c r="D71" i="8"/>
  <c r="Y71" i="8"/>
  <c r="X72" i="8"/>
  <c r="D72" i="8"/>
  <c r="Y72" i="8"/>
  <c r="X73" i="8"/>
  <c r="D73" i="8"/>
  <c r="Y73" i="8"/>
  <c r="X74" i="8"/>
  <c r="D74" i="8"/>
  <c r="Y74" i="8"/>
  <c r="X75" i="8"/>
  <c r="D75" i="8"/>
  <c r="Y75" i="8"/>
  <c r="X76" i="8"/>
  <c r="D76" i="8"/>
  <c r="Y76" i="8"/>
  <c r="X77" i="8"/>
  <c r="D77" i="8"/>
  <c r="Y77" i="8"/>
  <c r="X78" i="8"/>
  <c r="D78" i="8"/>
  <c r="Y78" i="8"/>
  <c r="X79" i="8"/>
  <c r="D79" i="8"/>
  <c r="Y79" i="8"/>
  <c r="X80" i="8"/>
  <c r="D80" i="8"/>
  <c r="Y80" i="8"/>
  <c r="X81" i="8"/>
  <c r="D81" i="8"/>
  <c r="Y81" i="8"/>
  <c r="X82" i="8"/>
  <c r="D82" i="8"/>
  <c r="Y82" i="8"/>
  <c r="X83" i="8"/>
  <c r="D83" i="8"/>
  <c r="Y83" i="8"/>
  <c r="X84" i="8"/>
  <c r="D84" i="8"/>
  <c r="Y84" i="8"/>
  <c r="X85" i="8"/>
  <c r="D85" i="8"/>
  <c r="Y85" i="8"/>
  <c r="X86" i="8"/>
  <c r="D86" i="8"/>
  <c r="Y86" i="8"/>
  <c r="X87" i="8"/>
  <c r="D87" i="8"/>
  <c r="Y87" i="8"/>
  <c r="X88" i="8"/>
  <c r="D88" i="8"/>
  <c r="Y88" i="8"/>
  <c r="X89" i="8"/>
  <c r="D89" i="8"/>
  <c r="Y89" i="8"/>
  <c r="X90" i="8"/>
  <c r="D90" i="8"/>
  <c r="Y90" i="8"/>
  <c r="X91" i="8"/>
  <c r="D91" i="8"/>
  <c r="Y91" i="8"/>
  <c r="X92" i="8"/>
  <c r="D92" i="8"/>
  <c r="Y92" i="8"/>
  <c r="X93" i="8"/>
  <c r="D93" i="8"/>
  <c r="Y93" i="8"/>
  <c r="X94" i="8"/>
  <c r="D94" i="8"/>
  <c r="Y94" i="8"/>
  <c r="X95" i="8"/>
  <c r="D95" i="8"/>
  <c r="Y95" i="8"/>
  <c r="X96" i="8"/>
  <c r="D96" i="8"/>
  <c r="Y96" i="8"/>
  <c r="X97" i="8"/>
  <c r="D97" i="8"/>
  <c r="Y97" i="8"/>
  <c r="X98" i="8"/>
  <c r="D98" i="8"/>
  <c r="Y98" i="8"/>
  <c r="X99" i="8"/>
  <c r="D99" i="8"/>
  <c r="Y99" i="8"/>
  <c r="X100" i="8"/>
  <c r="D100" i="8"/>
  <c r="Y100" i="8"/>
  <c r="X101" i="8"/>
  <c r="D101" i="8"/>
  <c r="Y101" i="8"/>
  <c r="X102" i="8"/>
  <c r="D102" i="8"/>
  <c r="Y102" i="8"/>
  <c r="X103" i="8"/>
  <c r="D103" i="8"/>
  <c r="Y103" i="8"/>
  <c r="X104" i="8"/>
  <c r="D104" i="8"/>
  <c r="Y104" i="8"/>
  <c r="X105" i="8"/>
  <c r="D105" i="8"/>
  <c r="Y105" i="8"/>
  <c r="X106" i="8"/>
  <c r="D106" i="8"/>
  <c r="Y106" i="8"/>
  <c r="X107" i="8"/>
  <c r="D107" i="8"/>
  <c r="Y107" i="8"/>
  <c r="X108" i="8"/>
  <c r="D108" i="8"/>
  <c r="Y108" i="8"/>
  <c r="X109" i="8"/>
  <c r="D109" i="8"/>
  <c r="Y109" i="8"/>
  <c r="X110" i="8"/>
  <c r="D110" i="8"/>
  <c r="Y110" i="8"/>
  <c r="X111" i="8"/>
  <c r="D111" i="8"/>
  <c r="Y111" i="8"/>
  <c r="X112" i="8"/>
  <c r="D112" i="8"/>
  <c r="Y112" i="8"/>
  <c r="X113" i="8"/>
  <c r="D113" i="8"/>
  <c r="Y113" i="8"/>
  <c r="X114" i="8"/>
  <c r="D114" i="8"/>
  <c r="Y114" i="8"/>
  <c r="X115" i="8"/>
  <c r="D115" i="8"/>
  <c r="Y115" i="8"/>
  <c r="X116" i="8"/>
  <c r="D116" i="8"/>
  <c r="Y116" i="8"/>
  <c r="X117" i="8"/>
  <c r="D117" i="8"/>
  <c r="Y117" i="8"/>
  <c r="X118" i="8"/>
  <c r="D118" i="8"/>
  <c r="Y118" i="8"/>
  <c r="X119" i="8"/>
  <c r="D119" i="8"/>
  <c r="Y119" i="8"/>
  <c r="X120" i="8"/>
  <c r="D120" i="8"/>
  <c r="Y120" i="8"/>
  <c r="X121" i="8"/>
  <c r="D121" i="8"/>
  <c r="Y121" i="8"/>
  <c r="X122" i="8"/>
  <c r="D122" i="8"/>
  <c r="Y122" i="8"/>
  <c r="X123" i="8"/>
  <c r="D123" i="8"/>
  <c r="Y123" i="8"/>
  <c r="X124" i="8"/>
  <c r="D124" i="8"/>
  <c r="Y124" i="8"/>
  <c r="X125" i="8"/>
  <c r="D125" i="8"/>
  <c r="Y125" i="8"/>
  <c r="X126" i="8"/>
  <c r="D126" i="8"/>
  <c r="Y126" i="8"/>
  <c r="X127" i="8"/>
  <c r="D127" i="8"/>
  <c r="Y127" i="8"/>
  <c r="X128" i="8"/>
  <c r="D128" i="8"/>
  <c r="Y128" i="8"/>
  <c r="X129" i="8"/>
  <c r="D129" i="8"/>
  <c r="Y129" i="8"/>
  <c r="X130" i="8"/>
  <c r="D130" i="8"/>
  <c r="Y130" i="8"/>
  <c r="X131" i="8"/>
  <c r="D131" i="8"/>
  <c r="Y131" i="8"/>
  <c r="X132" i="8"/>
  <c r="D132" i="8"/>
  <c r="Y132" i="8"/>
  <c r="X133" i="8"/>
  <c r="D133" i="8"/>
  <c r="Y133" i="8"/>
  <c r="X134" i="8"/>
  <c r="D134" i="8"/>
  <c r="Y134" i="8"/>
  <c r="X135" i="8"/>
  <c r="D135" i="8"/>
  <c r="Y135" i="8"/>
  <c r="X136" i="8"/>
  <c r="D136" i="8"/>
  <c r="Y136" i="8"/>
  <c r="X137" i="8"/>
  <c r="D137" i="8"/>
  <c r="Y137" i="8"/>
  <c r="X138" i="8"/>
  <c r="D138" i="8"/>
  <c r="Y138" i="8"/>
  <c r="X139" i="8"/>
  <c r="D139" i="8"/>
  <c r="Y139" i="8"/>
  <c r="X140" i="8"/>
  <c r="D140" i="8"/>
  <c r="Y140" i="8"/>
  <c r="X141" i="8"/>
  <c r="D141" i="8"/>
  <c r="Y141" i="8"/>
  <c r="X142" i="8"/>
  <c r="D142" i="8"/>
  <c r="Y142" i="8"/>
  <c r="X143" i="8"/>
  <c r="D143" i="8"/>
  <c r="Y143" i="8"/>
  <c r="X144" i="8"/>
  <c r="D144" i="8"/>
  <c r="Y144" i="8"/>
  <c r="X145" i="8"/>
  <c r="D145" i="8"/>
  <c r="Y145" i="8"/>
  <c r="X146" i="8"/>
  <c r="D146" i="8"/>
  <c r="Y146" i="8"/>
  <c r="X147" i="8"/>
  <c r="D147" i="8"/>
  <c r="Y147" i="8"/>
  <c r="X148" i="8"/>
  <c r="D148" i="8"/>
  <c r="Y148" i="8"/>
  <c r="X149" i="8"/>
  <c r="D149" i="8"/>
  <c r="Y149" i="8"/>
  <c r="X150" i="8"/>
  <c r="D150" i="8"/>
  <c r="Y150" i="8"/>
  <c r="X151" i="8"/>
  <c r="D151" i="8"/>
  <c r="Y151" i="8"/>
  <c r="X152" i="8"/>
  <c r="D152" i="8"/>
  <c r="Y152" i="8"/>
  <c r="X153" i="8"/>
  <c r="D153" i="8"/>
  <c r="Y153" i="8"/>
  <c r="X154" i="8"/>
  <c r="D154" i="8"/>
  <c r="Y154" i="8"/>
  <c r="X155" i="8"/>
  <c r="D155" i="8"/>
  <c r="Y155" i="8"/>
  <c r="X156" i="8"/>
  <c r="D156" i="8"/>
  <c r="Y156" i="8"/>
  <c r="X157" i="8"/>
  <c r="D157" i="8"/>
  <c r="Y157" i="8"/>
  <c r="X158" i="8"/>
  <c r="D158" i="8"/>
  <c r="Y158" i="8"/>
  <c r="X159" i="8"/>
  <c r="D159" i="8"/>
  <c r="Y159" i="8"/>
  <c r="X160" i="8"/>
  <c r="D160" i="8"/>
  <c r="Y160" i="8"/>
  <c r="X161" i="8"/>
  <c r="D161" i="8"/>
  <c r="Y161" i="8"/>
  <c r="X162" i="8"/>
  <c r="D162" i="8"/>
  <c r="Y162" i="8"/>
  <c r="X163" i="8"/>
  <c r="D163" i="8"/>
  <c r="Y163" i="8"/>
  <c r="X164" i="8"/>
  <c r="D164" i="8"/>
  <c r="Y164" i="8"/>
  <c r="X165" i="8"/>
  <c r="D165" i="8"/>
  <c r="Y165" i="8"/>
  <c r="X166" i="8"/>
  <c r="D166" i="8"/>
  <c r="Y166" i="8"/>
  <c r="X167" i="8"/>
  <c r="D167" i="8"/>
  <c r="Y167" i="8"/>
  <c r="X168" i="8"/>
  <c r="D168" i="8"/>
  <c r="Y168" i="8"/>
  <c r="X169" i="8"/>
  <c r="D169" i="8"/>
  <c r="Y169" i="8"/>
  <c r="X170" i="8"/>
  <c r="D170" i="8"/>
  <c r="Y170" i="8"/>
  <c r="X171" i="8"/>
  <c r="D171" i="8"/>
  <c r="Y171" i="8"/>
  <c r="X172" i="8"/>
  <c r="D172" i="8"/>
  <c r="Y172" i="8"/>
  <c r="X173" i="8"/>
  <c r="D173" i="8"/>
  <c r="Y173" i="8"/>
  <c r="X174" i="8"/>
  <c r="D174" i="8"/>
  <c r="Y174" i="8"/>
  <c r="X175" i="8"/>
  <c r="D175" i="8"/>
  <c r="Y175" i="8"/>
  <c r="X176" i="8"/>
  <c r="D176" i="8"/>
  <c r="Y176" i="8"/>
  <c r="X177" i="8"/>
  <c r="D177" i="8"/>
  <c r="Y177" i="8"/>
  <c r="X178" i="8"/>
  <c r="D178" i="8"/>
  <c r="Y178" i="8"/>
  <c r="X179" i="8"/>
  <c r="D179" i="8"/>
  <c r="Y179" i="8"/>
  <c r="X180" i="8"/>
  <c r="D180" i="8"/>
  <c r="Y180" i="8"/>
  <c r="X181" i="8"/>
  <c r="D181" i="8"/>
  <c r="Y181" i="8"/>
  <c r="X182" i="8"/>
  <c r="D182" i="8"/>
  <c r="Y182" i="8"/>
  <c r="X183" i="8"/>
  <c r="D183" i="8"/>
  <c r="Y183" i="8"/>
  <c r="X184" i="8"/>
  <c r="D184" i="8"/>
  <c r="Y184" i="8"/>
  <c r="X185" i="8"/>
  <c r="D185" i="8"/>
  <c r="Y185" i="8"/>
  <c r="X186" i="8"/>
  <c r="D186" i="8"/>
  <c r="Y186" i="8"/>
  <c r="X187" i="8"/>
  <c r="D187" i="8"/>
  <c r="Y187" i="8"/>
  <c r="X188" i="8"/>
  <c r="D188" i="8"/>
  <c r="Y188" i="8"/>
  <c r="X189" i="8"/>
  <c r="D189" i="8"/>
  <c r="Y189" i="8"/>
  <c r="X190" i="8"/>
  <c r="D190" i="8"/>
  <c r="Y190" i="8"/>
  <c r="X191" i="8"/>
  <c r="D191" i="8"/>
  <c r="Y191" i="8"/>
  <c r="X192" i="8"/>
  <c r="D192" i="8"/>
  <c r="Y192" i="8"/>
  <c r="X193" i="8"/>
  <c r="D193" i="8"/>
  <c r="Y193" i="8"/>
  <c r="X194" i="8"/>
  <c r="D194" i="8"/>
  <c r="Y194" i="8"/>
  <c r="X195" i="8"/>
  <c r="D195" i="8"/>
  <c r="Y195" i="8"/>
  <c r="X196" i="8"/>
  <c r="D196" i="8"/>
  <c r="Y196" i="8"/>
  <c r="X197" i="8"/>
  <c r="D197" i="8"/>
  <c r="Y197" i="8"/>
  <c r="X198" i="8"/>
  <c r="D198" i="8"/>
  <c r="Y198" i="8"/>
  <c r="X199" i="8"/>
  <c r="D199" i="8"/>
  <c r="Y199" i="8"/>
  <c r="X200" i="8"/>
  <c r="D200" i="8"/>
  <c r="Y200" i="8"/>
  <c r="X201" i="8"/>
  <c r="D201" i="8"/>
  <c r="Y201" i="8"/>
  <c r="X202" i="8"/>
  <c r="D202" i="8"/>
  <c r="Y202" i="8"/>
  <c r="X203" i="8"/>
  <c r="D203" i="8"/>
  <c r="Y203" i="8"/>
  <c r="X204" i="8"/>
  <c r="D204" i="8"/>
  <c r="Y204" i="8"/>
  <c r="X205" i="8"/>
  <c r="D205" i="8"/>
  <c r="Y205" i="8"/>
  <c r="X206" i="8"/>
  <c r="D206" i="8"/>
  <c r="Y206" i="8"/>
  <c r="X207" i="8"/>
  <c r="D207" i="8"/>
  <c r="Y207" i="8"/>
  <c r="X208" i="8"/>
  <c r="D208" i="8"/>
  <c r="Y208" i="8"/>
  <c r="X209" i="8"/>
  <c r="D209" i="8"/>
  <c r="Y209" i="8"/>
  <c r="X210" i="8"/>
  <c r="D210" i="8"/>
  <c r="Y210" i="8"/>
  <c r="X211" i="8"/>
  <c r="D211" i="8"/>
  <c r="Y211" i="8"/>
  <c r="X212" i="8"/>
  <c r="D212" i="8"/>
  <c r="Y212" i="8"/>
  <c r="X213" i="8"/>
  <c r="D213" i="8"/>
  <c r="Y213" i="8"/>
  <c r="X214" i="8"/>
  <c r="D214" i="8"/>
  <c r="Y214" i="8"/>
  <c r="X215" i="8"/>
  <c r="D215" i="8"/>
  <c r="Y215" i="8"/>
  <c r="X216" i="8"/>
  <c r="D216" i="8"/>
  <c r="Y216" i="8"/>
  <c r="X217" i="8"/>
  <c r="D217" i="8"/>
  <c r="Y217" i="8"/>
  <c r="X218" i="8"/>
  <c r="D218" i="8"/>
  <c r="Y218" i="8"/>
  <c r="X219" i="8"/>
  <c r="D219" i="8"/>
  <c r="Y219" i="8"/>
  <c r="X220" i="8"/>
  <c r="D220" i="8"/>
  <c r="Y220" i="8"/>
  <c r="X221" i="8"/>
  <c r="D221" i="8"/>
  <c r="Y221" i="8"/>
  <c r="X222" i="8"/>
  <c r="D222" i="8"/>
  <c r="Y222" i="8"/>
  <c r="X223" i="8"/>
  <c r="D223" i="8"/>
  <c r="Y223" i="8"/>
  <c r="X224" i="8"/>
  <c r="D224" i="8"/>
  <c r="Y224" i="8"/>
  <c r="X225" i="8"/>
  <c r="D225" i="8"/>
  <c r="Y225" i="8"/>
  <c r="X226" i="8"/>
  <c r="D226" i="8"/>
  <c r="Y226" i="8"/>
  <c r="X227" i="8"/>
  <c r="D227" i="8"/>
  <c r="Y227" i="8"/>
  <c r="X228" i="8"/>
  <c r="D228" i="8"/>
  <c r="Y228" i="8"/>
  <c r="X229" i="8"/>
  <c r="D229" i="8"/>
  <c r="Y229" i="8"/>
  <c r="X230" i="8"/>
  <c r="D230" i="8"/>
  <c r="Y230" i="8"/>
  <c r="X231" i="8"/>
  <c r="D231" i="8"/>
  <c r="Y231" i="8"/>
  <c r="X232" i="8"/>
  <c r="D232" i="8"/>
  <c r="Y232" i="8"/>
  <c r="X233" i="8"/>
  <c r="D233" i="8"/>
  <c r="Y233" i="8"/>
  <c r="X234" i="8"/>
  <c r="D234" i="8"/>
  <c r="Y234" i="8"/>
  <c r="X235" i="8"/>
  <c r="D235" i="8"/>
  <c r="Y235" i="8"/>
  <c r="X236" i="8"/>
  <c r="D236" i="8"/>
  <c r="Y236" i="8"/>
  <c r="X237" i="8"/>
  <c r="D237" i="8"/>
  <c r="Y237" i="8"/>
  <c r="X238" i="8"/>
  <c r="D238" i="8"/>
  <c r="Y238" i="8"/>
  <c r="X239" i="8"/>
  <c r="D239" i="8"/>
  <c r="Y239" i="8"/>
  <c r="X240" i="8"/>
  <c r="D240" i="8"/>
  <c r="Y240" i="8"/>
  <c r="X241" i="8"/>
  <c r="D241" i="8"/>
  <c r="Y241" i="8"/>
  <c r="X242" i="8"/>
  <c r="D242" i="8"/>
  <c r="Y242" i="8"/>
  <c r="X243" i="8"/>
  <c r="D243" i="8"/>
  <c r="Y243" i="8"/>
  <c r="X244" i="8"/>
  <c r="D244" i="8"/>
  <c r="Y244" i="8"/>
  <c r="X245" i="8"/>
  <c r="D245" i="8"/>
  <c r="Y245" i="8"/>
  <c r="X246" i="8"/>
  <c r="D246" i="8"/>
  <c r="Y246" i="8"/>
  <c r="X247" i="8"/>
  <c r="D247" i="8"/>
  <c r="Y247" i="8"/>
  <c r="X248" i="8"/>
  <c r="D248" i="8"/>
  <c r="Y248" i="8"/>
  <c r="X249" i="8"/>
  <c r="D249" i="8"/>
  <c r="Y249" i="8"/>
  <c r="X250" i="8"/>
  <c r="D250" i="8"/>
  <c r="Y250" i="8"/>
  <c r="X251" i="8"/>
  <c r="D251" i="8"/>
  <c r="Y251" i="8"/>
  <c r="Y2" i="8"/>
  <c r="X2" i="8"/>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 i="9"/>
  <c r="C1" i="9"/>
  <c r="U3"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2" i="7"/>
  <c r="D1" i="7"/>
  <c r="E1" i="7"/>
  <c r="F1" i="7"/>
  <c r="D7" i="7"/>
  <c r="E7" i="7"/>
  <c r="F7" i="7"/>
  <c r="D8" i="7"/>
  <c r="E8" i="7"/>
  <c r="F8" i="7"/>
  <c r="D9" i="7"/>
  <c r="E9" i="7"/>
  <c r="F9" i="7"/>
  <c r="D10" i="7"/>
  <c r="E10" i="7"/>
  <c r="F10" i="7"/>
  <c r="D11" i="7"/>
  <c r="E11" i="7"/>
  <c r="F11" i="7"/>
  <c r="D12" i="7"/>
  <c r="E12" i="7"/>
  <c r="F12" i="7"/>
  <c r="D13" i="7"/>
  <c r="E13" i="7"/>
  <c r="F13" i="7"/>
  <c r="D14" i="7"/>
  <c r="E14" i="7"/>
  <c r="F14" i="7"/>
  <c r="D15" i="7"/>
  <c r="E15" i="7"/>
  <c r="F15" i="7"/>
  <c r="D16" i="7"/>
  <c r="E16" i="7"/>
  <c r="F16" i="7"/>
  <c r="D17" i="7"/>
  <c r="E17" i="7"/>
  <c r="F17" i="7"/>
  <c r="D18" i="7"/>
  <c r="E18" i="7"/>
  <c r="F18" i="7"/>
  <c r="D19" i="7"/>
  <c r="E19" i="7"/>
  <c r="F19" i="7"/>
  <c r="D20" i="7"/>
  <c r="E20" i="7"/>
  <c r="F20" i="7"/>
  <c r="D21" i="7"/>
  <c r="E21" i="7"/>
  <c r="F21" i="7"/>
  <c r="D22" i="7"/>
  <c r="E22" i="7"/>
  <c r="F22" i="7"/>
  <c r="D23" i="7"/>
  <c r="E23" i="7"/>
  <c r="F23" i="7"/>
  <c r="D24" i="7"/>
  <c r="E24" i="7"/>
  <c r="F24" i="7"/>
  <c r="D25" i="7"/>
  <c r="E25" i="7"/>
  <c r="F25" i="7"/>
  <c r="D26" i="7"/>
  <c r="E26" i="7"/>
  <c r="F26" i="7"/>
  <c r="D27" i="7"/>
  <c r="E27" i="7"/>
  <c r="F27" i="7"/>
  <c r="D28" i="7"/>
  <c r="E28" i="7"/>
  <c r="F28" i="7"/>
  <c r="D29" i="7"/>
  <c r="E29" i="7"/>
  <c r="F29" i="7"/>
  <c r="D30" i="7"/>
  <c r="E30" i="7"/>
  <c r="F30" i="7"/>
  <c r="D31" i="7"/>
  <c r="E31" i="7"/>
  <c r="F31" i="7"/>
  <c r="D32" i="7"/>
  <c r="E32" i="7"/>
  <c r="F32" i="7"/>
  <c r="D33" i="7"/>
  <c r="E33" i="7"/>
  <c r="F33" i="7"/>
  <c r="D34" i="7"/>
  <c r="E34" i="7"/>
  <c r="F34" i="7"/>
  <c r="D35" i="7"/>
  <c r="E35" i="7"/>
  <c r="F35" i="7"/>
  <c r="D36" i="7"/>
  <c r="E36" i="7"/>
  <c r="F36" i="7"/>
  <c r="D37" i="7"/>
  <c r="E37" i="7"/>
  <c r="F37" i="7"/>
  <c r="D38" i="7"/>
  <c r="E38" i="7"/>
  <c r="F38" i="7"/>
  <c r="D39" i="7"/>
  <c r="E39" i="7"/>
  <c r="F39" i="7"/>
  <c r="D40" i="7"/>
  <c r="E40" i="7"/>
  <c r="F40" i="7"/>
  <c r="D41" i="7"/>
  <c r="E41" i="7"/>
  <c r="F41" i="7"/>
  <c r="D42" i="7"/>
  <c r="E42" i="7"/>
  <c r="F42" i="7"/>
  <c r="D43" i="7"/>
  <c r="E43" i="7"/>
  <c r="F43" i="7"/>
  <c r="D44" i="7"/>
  <c r="E44" i="7"/>
  <c r="F44" i="7"/>
  <c r="D45" i="7"/>
  <c r="E45" i="7"/>
  <c r="F45" i="7"/>
  <c r="D46" i="7"/>
  <c r="E46" i="7"/>
  <c r="F46" i="7"/>
  <c r="D47" i="7"/>
  <c r="E47" i="7"/>
  <c r="F47" i="7"/>
  <c r="D48" i="7"/>
  <c r="E48" i="7"/>
  <c r="F48" i="7"/>
  <c r="D49" i="7"/>
  <c r="E49" i="7"/>
  <c r="F49" i="7"/>
  <c r="D50" i="7"/>
  <c r="E50" i="7"/>
  <c r="F50" i="7"/>
  <c r="D51" i="7"/>
  <c r="E51" i="7"/>
  <c r="F51" i="7"/>
  <c r="D52" i="7"/>
  <c r="E52" i="7"/>
  <c r="F52" i="7"/>
  <c r="D53" i="7"/>
  <c r="E53" i="7"/>
  <c r="F53" i="7"/>
  <c r="D54" i="7"/>
  <c r="E54" i="7"/>
  <c r="F54" i="7"/>
  <c r="D55" i="7"/>
  <c r="E55" i="7"/>
  <c r="F55" i="7"/>
  <c r="D56" i="7"/>
  <c r="E56" i="7"/>
  <c r="F56" i="7"/>
  <c r="D57" i="7"/>
  <c r="E57" i="7"/>
  <c r="F57" i="7"/>
  <c r="D58" i="7"/>
  <c r="E58" i="7"/>
  <c r="F58" i="7"/>
  <c r="D59" i="7"/>
  <c r="E59" i="7"/>
  <c r="F59" i="7"/>
  <c r="D60" i="7"/>
  <c r="E60" i="7"/>
  <c r="F60" i="7"/>
  <c r="D61" i="7"/>
  <c r="E61" i="7"/>
  <c r="F61" i="7"/>
  <c r="D62" i="7"/>
  <c r="E62" i="7"/>
  <c r="F62" i="7"/>
  <c r="D63" i="7"/>
  <c r="E63" i="7"/>
  <c r="F63" i="7"/>
  <c r="D64" i="7"/>
  <c r="E64" i="7"/>
  <c r="F64" i="7"/>
  <c r="D65" i="7"/>
  <c r="E65" i="7"/>
  <c r="F65" i="7"/>
  <c r="D66" i="7"/>
  <c r="E66" i="7"/>
  <c r="F66" i="7"/>
  <c r="D67" i="7"/>
  <c r="E67" i="7"/>
  <c r="F67" i="7"/>
  <c r="D68" i="7"/>
  <c r="E68" i="7"/>
  <c r="F68" i="7"/>
  <c r="D69" i="7"/>
  <c r="E69" i="7"/>
  <c r="F69" i="7"/>
  <c r="D70" i="7"/>
  <c r="E70" i="7"/>
  <c r="F70" i="7"/>
  <c r="D71" i="7"/>
  <c r="E71" i="7"/>
  <c r="F71" i="7"/>
  <c r="D72" i="7"/>
  <c r="E72" i="7"/>
  <c r="F72" i="7"/>
  <c r="D73" i="7"/>
  <c r="E73" i="7"/>
  <c r="F73" i="7"/>
  <c r="D74" i="7"/>
  <c r="E74" i="7"/>
  <c r="F74" i="7"/>
  <c r="D75" i="7"/>
  <c r="E75" i="7"/>
  <c r="F75" i="7"/>
  <c r="D76" i="7"/>
  <c r="E76" i="7"/>
  <c r="F76" i="7"/>
  <c r="D77" i="7"/>
  <c r="E77" i="7"/>
  <c r="F77" i="7"/>
  <c r="D78" i="7"/>
  <c r="E78" i="7"/>
  <c r="F78" i="7"/>
  <c r="D79" i="7"/>
  <c r="E79" i="7"/>
  <c r="F79" i="7"/>
  <c r="D80" i="7"/>
  <c r="E80" i="7"/>
  <c r="F80" i="7"/>
  <c r="D81" i="7"/>
  <c r="E81" i="7"/>
  <c r="F81" i="7"/>
  <c r="D82" i="7"/>
  <c r="E82" i="7"/>
  <c r="F82" i="7"/>
  <c r="D83" i="7"/>
  <c r="E83" i="7"/>
  <c r="F83" i="7"/>
  <c r="D84" i="7"/>
  <c r="E84" i="7"/>
  <c r="F84" i="7"/>
  <c r="D85" i="7"/>
  <c r="E85" i="7"/>
  <c r="F85" i="7"/>
  <c r="D86" i="7"/>
  <c r="E86" i="7"/>
  <c r="F86" i="7"/>
  <c r="D87" i="7"/>
  <c r="E87" i="7"/>
  <c r="F87" i="7"/>
  <c r="D88" i="7"/>
  <c r="E88" i="7"/>
  <c r="F88" i="7"/>
  <c r="D89" i="7"/>
  <c r="E89" i="7"/>
  <c r="F89" i="7"/>
  <c r="D90" i="7"/>
  <c r="E90" i="7"/>
  <c r="F90" i="7"/>
  <c r="D91" i="7"/>
  <c r="E91" i="7"/>
  <c r="F91" i="7"/>
  <c r="D92" i="7"/>
  <c r="E92" i="7"/>
  <c r="F92" i="7"/>
  <c r="D93" i="7"/>
  <c r="E93" i="7"/>
  <c r="F93" i="7"/>
  <c r="D94" i="7"/>
  <c r="E94" i="7"/>
  <c r="F94" i="7"/>
  <c r="D95" i="7"/>
  <c r="E95" i="7"/>
  <c r="F95" i="7"/>
  <c r="D96" i="7"/>
  <c r="E96" i="7"/>
  <c r="F96" i="7"/>
  <c r="D97" i="7"/>
  <c r="E97" i="7"/>
  <c r="F97" i="7"/>
  <c r="D98" i="7"/>
  <c r="E98" i="7"/>
  <c r="F98" i="7"/>
  <c r="D99" i="7"/>
  <c r="E99" i="7"/>
  <c r="F99" i="7"/>
  <c r="D100" i="7"/>
  <c r="E100" i="7"/>
  <c r="F100" i="7"/>
  <c r="D101" i="7"/>
  <c r="E101" i="7"/>
  <c r="F101" i="7"/>
  <c r="D3" i="9"/>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c r="A3" i="9"/>
  <c r="A4" i="9"/>
  <c r="A5" i="9"/>
  <c r="A6" i="9"/>
  <c r="A7" i="9"/>
  <c r="A8" i="9"/>
  <c r="A9" i="9"/>
  <c r="A10" i="9"/>
  <c r="A11" i="9"/>
  <c r="A12" i="9"/>
  <c r="A13" i="9"/>
  <c r="A14" i="9"/>
  <c r="A15" i="9"/>
  <c r="A16" i="9"/>
  <c r="A17" i="9"/>
  <c r="A18" i="9"/>
  <c r="A19" i="9"/>
  <c r="A20" i="9"/>
  <c r="A21" i="9"/>
  <c r="A22" i="9"/>
  <c r="U22" i="9"/>
  <c r="A23" i="9"/>
  <c r="U23" i="9"/>
  <c r="A24" i="9"/>
  <c r="U24" i="9"/>
  <c r="A25" i="9"/>
  <c r="U25" i="9"/>
  <c r="A26" i="9"/>
  <c r="U26" i="9"/>
  <c r="A27" i="9"/>
  <c r="U27" i="9"/>
  <c r="A28" i="9"/>
  <c r="U28" i="9"/>
  <c r="A29" i="9"/>
  <c r="U29" i="9"/>
  <c r="A30" i="9"/>
  <c r="U30" i="9"/>
  <c r="A31" i="9"/>
  <c r="U31" i="9"/>
  <c r="A32" i="9"/>
  <c r="U32" i="9"/>
  <c r="A33" i="9"/>
  <c r="U33" i="9"/>
  <c r="A34" i="9"/>
  <c r="U34" i="9"/>
  <c r="A35" i="9"/>
  <c r="U35" i="9"/>
  <c r="A36" i="9"/>
  <c r="U36" i="9"/>
  <c r="A37" i="9"/>
  <c r="U37" i="9"/>
  <c r="A38" i="9"/>
  <c r="U38" i="9"/>
  <c r="A39" i="9"/>
  <c r="U39" i="9"/>
  <c r="A40" i="9"/>
  <c r="U40" i="9"/>
  <c r="A41" i="9"/>
  <c r="U41" i="9"/>
  <c r="A42" i="9"/>
  <c r="U42" i="9"/>
  <c r="A43" i="9"/>
  <c r="U43" i="9"/>
  <c r="A44" i="9"/>
  <c r="U44" i="9"/>
  <c r="A45" i="9"/>
  <c r="U45" i="9"/>
  <c r="A46" i="9"/>
  <c r="U46" i="9"/>
  <c r="A47" i="9"/>
  <c r="U47" i="9"/>
  <c r="A48" i="9"/>
  <c r="U48" i="9"/>
  <c r="A49" i="9"/>
  <c r="U49" i="9"/>
  <c r="A50" i="9"/>
  <c r="U50" i="9"/>
  <c r="A51" i="9"/>
  <c r="U51" i="9"/>
  <c r="A52" i="9"/>
  <c r="U52" i="9"/>
  <c r="A53" i="9"/>
  <c r="U53" i="9"/>
  <c r="A54" i="9"/>
  <c r="U54" i="9"/>
  <c r="A55" i="9"/>
  <c r="U55" i="9"/>
  <c r="A56" i="9"/>
  <c r="U56" i="9"/>
  <c r="A57" i="9"/>
  <c r="U57" i="9"/>
  <c r="A58" i="9"/>
  <c r="U58" i="9"/>
  <c r="A59" i="9"/>
  <c r="U59" i="9"/>
  <c r="A60" i="9"/>
  <c r="U60" i="9"/>
  <c r="A61" i="9"/>
  <c r="U61" i="9"/>
  <c r="A62" i="9"/>
  <c r="U62" i="9"/>
  <c r="A63" i="9"/>
  <c r="U63" i="9"/>
  <c r="A64" i="9"/>
  <c r="U64" i="9"/>
  <c r="A65" i="9"/>
  <c r="U65" i="9"/>
  <c r="A66" i="9"/>
  <c r="U66" i="9"/>
  <c r="A67" i="9"/>
  <c r="U67" i="9"/>
  <c r="A68" i="9"/>
  <c r="U68" i="9"/>
  <c r="A69" i="9"/>
  <c r="U69" i="9"/>
  <c r="A70" i="9"/>
  <c r="U70" i="9"/>
  <c r="A71" i="9"/>
  <c r="U71" i="9"/>
  <c r="A72" i="9"/>
  <c r="U72" i="9"/>
  <c r="A73" i="9"/>
  <c r="U73" i="9"/>
  <c r="A74" i="9"/>
  <c r="U74" i="9"/>
  <c r="A75" i="9"/>
  <c r="U75" i="9"/>
  <c r="A76" i="9"/>
  <c r="U76" i="9"/>
  <c r="A77" i="9"/>
  <c r="U77" i="9"/>
  <c r="A78" i="9"/>
  <c r="U78" i="9"/>
  <c r="A79" i="9"/>
  <c r="U79" i="9"/>
  <c r="A80" i="9"/>
  <c r="U80" i="9"/>
  <c r="A81" i="9"/>
  <c r="U81" i="9"/>
  <c r="A82" i="9"/>
  <c r="U82" i="9"/>
  <c r="A83" i="9"/>
  <c r="U83" i="9"/>
  <c r="A84" i="9"/>
  <c r="U84" i="9"/>
  <c r="A85" i="9"/>
  <c r="U85" i="9"/>
  <c r="A86" i="9"/>
  <c r="U86" i="9"/>
  <c r="A87" i="9"/>
  <c r="U87" i="9"/>
  <c r="A88" i="9"/>
  <c r="U88" i="9"/>
  <c r="A89" i="9"/>
  <c r="U89" i="9"/>
  <c r="A90" i="9"/>
  <c r="U90" i="9"/>
  <c r="A91" i="9"/>
  <c r="U91" i="9"/>
  <c r="A92" i="9"/>
  <c r="U92" i="9"/>
  <c r="A93" i="9"/>
  <c r="U93" i="9"/>
  <c r="A94" i="9"/>
  <c r="U94" i="9"/>
  <c r="A95" i="9"/>
  <c r="U95" i="9"/>
  <c r="A96" i="9"/>
  <c r="U96" i="9"/>
  <c r="A97" i="9"/>
  <c r="U97" i="9"/>
  <c r="A98" i="9"/>
  <c r="U98" i="9"/>
  <c r="A99" i="9"/>
  <c r="U99" i="9"/>
  <c r="A100" i="9"/>
  <c r="U100" i="9"/>
  <c r="A101" i="9"/>
  <c r="U101" i="9"/>
  <c r="A102" i="9"/>
  <c r="U102" i="9"/>
  <c r="A103" i="9"/>
  <c r="U103" i="9"/>
  <c r="A104" i="9"/>
  <c r="U104" i="9"/>
  <c r="A105" i="9"/>
  <c r="U105" i="9"/>
  <c r="A106" i="9"/>
  <c r="U106" i="9"/>
  <c r="A107" i="9"/>
  <c r="U107" i="9"/>
  <c r="A108" i="9"/>
  <c r="U108" i="9"/>
  <c r="A109" i="9"/>
  <c r="U109" i="9"/>
  <c r="A110" i="9"/>
  <c r="U110" i="9"/>
  <c r="A111" i="9"/>
  <c r="U111" i="9"/>
  <c r="A112" i="9"/>
  <c r="U112" i="9"/>
  <c r="A113" i="9"/>
  <c r="U113" i="9"/>
  <c r="A114" i="9"/>
  <c r="U114" i="9"/>
  <c r="A115" i="9"/>
  <c r="U115" i="9"/>
  <c r="A116" i="9"/>
  <c r="U116" i="9"/>
  <c r="A117" i="9"/>
  <c r="U117" i="9"/>
  <c r="A118" i="9"/>
  <c r="U118" i="9"/>
  <c r="A119" i="9"/>
  <c r="U119" i="9"/>
  <c r="A120" i="9"/>
  <c r="U120" i="9"/>
  <c r="A121" i="9"/>
  <c r="U121" i="9"/>
  <c r="A122" i="9"/>
  <c r="U122" i="9"/>
  <c r="A123" i="9"/>
  <c r="U123" i="9"/>
  <c r="A124" i="9"/>
  <c r="U124" i="9"/>
  <c r="A125" i="9"/>
  <c r="U125" i="9"/>
  <c r="A126" i="9"/>
  <c r="U126" i="9"/>
  <c r="A127" i="9"/>
  <c r="U127" i="9"/>
  <c r="A128" i="9"/>
  <c r="U128" i="9"/>
  <c r="A129" i="9"/>
  <c r="U129" i="9"/>
  <c r="A130" i="9"/>
  <c r="U130" i="9"/>
  <c r="A131" i="9"/>
  <c r="U131" i="9"/>
  <c r="A132" i="9"/>
  <c r="U132" i="9"/>
  <c r="A133" i="9"/>
  <c r="U133" i="9"/>
  <c r="A134" i="9"/>
  <c r="U134" i="9"/>
  <c r="A135" i="9"/>
  <c r="U135" i="9"/>
  <c r="A136" i="9"/>
  <c r="U136" i="9"/>
  <c r="A137" i="9"/>
  <c r="U137" i="9"/>
  <c r="A138" i="9"/>
  <c r="U138" i="9"/>
  <c r="A139" i="9"/>
  <c r="U139" i="9"/>
  <c r="A140" i="9"/>
  <c r="U140" i="9"/>
  <c r="A141" i="9"/>
  <c r="U141" i="9"/>
  <c r="A142" i="9"/>
  <c r="U142" i="9"/>
  <c r="A143" i="9"/>
  <c r="U143" i="9"/>
  <c r="A144" i="9"/>
  <c r="U144" i="9"/>
  <c r="A145" i="9"/>
  <c r="U145" i="9"/>
  <c r="A146" i="9"/>
  <c r="U146" i="9"/>
  <c r="A147" i="9"/>
  <c r="U147" i="9"/>
  <c r="A148" i="9"/>
  <c r="U148" i="9"/>
  <c r="A149" i="9"/>
  <c r="U149" i="9"/>
  <c r="A150" i="9"/>
  <c r="U150" i="9"/>
  <c r="A151" i="9"/>
  <c r="U151" i="9"/>
  <c r="A152" i="9"/>
  <c r="U152" i="9"/>
  <c r="A153" i="9"/>
  <c r="U153" i="9"/>
  <c r="A154" i="9"/>
  <c r="U154" i="9"/>
  <c r="A155" i="9"/>
  <c r="U155" i="9"/>
  <c r="A156" i="9"/>
  <c r="U156" i="9"/>
  <c r="A157" i="9"/>
  <c r="U157" i="9"/>
  <c r="A158" i="9"/>
  <c r="U158" i="9"/>
  <c r="A159" i="9"/>
  <c r="U159" i="9"/>
  <c r="A160" i="9"/>
  <c r="U160" i="9"/>
  <c r="A161" i="9"/>
  <c r="U161" i="9"/>
  <c r="A162" i="9"/>
  <c r="U162" i="9"/>
  <c r="A163" i="9"/>
  <c r="U163" i="9"/>
  <c r="A164" i="9"/>
  <c r="U164" i="9"/>
  <c r="A165" i="9"/>
  <c r="U165" i="9"/>
  <c r="A166" i="9"/>
  <c r="U166" i="9"/>
  <c r="A167" i="9"/>
  <c r="U167" i="9"/>
  <c r="A168" i="9"/>
  <c r="U168" i="9"/>
  <c r="A169" i="9"/>
  <c r="U169" i="9"/>
  <c r="A170" i="9"/>
  <c r="U170" i="9"/>
  <c r="A171" i="9"/>
  <c r="U171" i="9"/>
  <c r="A172" i="9"/>
  <c r="U172" i="9"/>
  <c r="A173" i="9"/>
  <c r="U173" i="9"/>
  <c r="A174" i="9"/>
  <c r="U174" i="9"/>
  <c r="A175" i="9"/>
  <c r="U175" i="9"/>
  <c r="A176" i="9"/>
  <c r="U176" i="9"/>
  <c r="A177" i="9"/>
  <c r="U177" i="9"/>
  <c r="A178" i="9"/>
  <c r="U178" i="9"/>
  <c r="A179" i="9"/>
  <c r="U179" i="9"/>
  <c r="A180" i="9"/>
  <c r="U180" i="9"/>
  <c r="A181" i="9"/>
  <c r="U181" i="9"/>
  <c r="A182" i="9"/>
  <c r="U182" i="9"/>
  <c r="A183" i="9"/>
  <c r="U183" i="9"/>
  <c r="A184" i="9"/>
  <c r="U184" i="9"/>
  <c r="A185" i="9"/>
  <c r="U185" i="9"/>
  <c r="A186" i="9"/>
  <c r="U186" i="9"/>
  <c r="A187" i="9"/>
  <c r="U187" i="9"/>
  <c r="A188" i="9"/>
  <c r="U188" i="9"/>
  <c r="A189" i="9"/>
  <c r="U189" i="9"/>
  <c r="A190" i="9"/>
  <c r="U190" i="9"/>
  <c r="A191" i="9"/>
  <c r="U191" i="9"/>
  <c r="A192" i="9"/>
  <c r="U192" i="9"/>
  <c r="A193" i="9"/>
  <c r="U193" i="9"/>
  <c r="A194" i="9"/>
  <c r="U194" i="9"/>
  <c r="A195" i="9"/>
  <c r="U195" i="9"/>
  <c r="A196" i="9"/>
  <c r="U196" i="9"/>
  <c r="A197" i="9"/>
  <c r="U197" i="9"/>
  <c r="A198" i="9"/>
  <c r="U198" i="9"/>
  <c r="A199" i="9"/>
  <c r="U199" i="9"/>
  <c r="A200" i="9"/>
  <c r="U200" i="9"/>
  <c r="A201" i="9"/>
  <c r="U201" i="9"/>
  <c r="A202" i="9"/>
  <c r="U202" i="9"/>
  <c r="A203" i="9"/>
  <c r="U203" i="9"/>
  <c r="A204" i="9"/>
  <c r="U204" i="9"/>
  <c r="A205" i="9"/>
  <c r="U205" i="9"/>
  <c r="A206" i="9"/>
  <c r="U206" i="9"/>
  <c r="A207" i="9"/>
  <c r="U207" i="9"/>
  <c r="A208" i="9"/>
  <c r="U208" i="9"/>
  <c r="A209" i="9"/>
  <c r="U209" i="9"/>
  <c r="A210" i="9"/>
  <c r="U210" i="9"/>
  <c r="A211" i="9"/>
  <c r="U211" i="9"/>
  <c r="A212" i="9"/>
  <c r="U212" i="9"/>
  <c r="A213" i="9"/>
  <c r="U213" i="9"/>
  <c r="A214" i="9"/>
  <c r="U214" i="9"/>
  <c r="A215" i="9"/>
  <c r="U215" i="9"/>
  <c r="A216" i="9"/>
  <c r="U216" i="9"/>
  <c r="A217" i="9"/>
  <c r="U217" i="9"/>
  <c r="A218" i="9"/>
  <c r="U218" i="9"/>
  <c r="A219" i="9"/>
  <c r="U219" i="9"/>
  <c r="A220" i="9"/>
  <c r="U220" i="9"/>
  <c r="A221" i="9"/>
  <c r="U221" i="9"/>
  <c r="A222" i="9"/>
  <c r="U222" i="9"/>
  <c r="A223" i="9"/>
  <c r="U223" i="9"/>
  <c r="A224" i="9"/>
  <c r="U224" i="9"/>
  <c r="A225" i="9"/>
  <c r="U225" i="9"/>
  <c r="A226" i="9"/>
  <c r="U226" i="9"/>
  <c r="A227" i="9"/>
  <c r="U227" i="9"/>
  <c r="A228" i="9"/>
  <c r="U228" i="9"/>
  <c r="A229" i="9"/>
  <c r="U229" i="9"/>
  <c r="A230" i="9"/>
  <c r="U230" i="9"/>
  <c r="A231" i="9"/>
  <c r="U231" i="9"/>
  <c r="A232" i="9"/>
  <c r="U232" i="9"/>
  <c r="A233" i="9"/>
  <c r="U233" i="9"/>
  <c r="A234" i="9"/>
  <c r="U234" i="9"/>
  <c r="A235" i="9"/>
  <c r="U235" i="9"/>
  <c r="A236" i="9"/>
  <c r="U236" i="9"/>
  <c r="A237" i="9"/>
  <c r="U237" i="9"/>
  <c r="A238" i="9"/>
  <c r="U238" i="9"/>
  <c r="A239" i="9"/>
  <c r="U239" i="9"/>
  <c r="A240" i="9"/>
  <c r="U240" i="9"/>
  <c r="A241" i="9"/>
  <c r="U241" i="9"/>
  <c r="A242" i="9"/>
  <c r="U242" i="9"/>
  <c r="A243" i="9"/>
  <c r="U243" i="9"/>
  <c r="A244" i="9"/>
  <c r="U244" i="9"/>
  <c r="A245" i="9"/>
  <c r="U245" i="9"/>
  <c r="A246" i="9"/>
  <c r="U246" i="9"/>
  <c r="A247" i="9"/>
  <c r="U247" i="9"/>
  <c r="A248" i="9"/>
  <c r="U248" i="9"/>
  <c r="A249" i="9"/>
  <c r="U249" i="9"/>
  <c r="A250" i="9"/>
  <c r="U250" i="9"/>
  <c r="A251" i="9"/>
  <c r="U251" i="9"/>
  <c r="A252" i="9"/>
  <c r="U252" i="9"/>
  <c r="A253" i="9"/>
  <c r="U253" i="9"/>
  <c r="A254" i="9"/>
  <c r="U254" i="9"/>
  <c r="A255" i="9"/>
  <c r="U255" i="9"/>
  <c r="A256" i="9"/>
  <c r="U256" i="9"/>
  <c r="A257" i="9"/>
  <c r="U257" i="9"/>
  <c r="A258" i="9"/>
  <c r="U258" i="9"/>
  <c r="A259" i="9"/>
  <c r="U259" i="9"/>
  <c r="A260" i="9"/>
  <c r="U260" i="9"/>
  <c r="A261" i="9"/>
  <c r="U261" i="9"/>
  <c r="A262" i="9"/>
  <c r="U262" i="9"/>
  <c r="A263" i="9"/>
  <c r="U263" i="9"/>
  <c r="A264" i="9"/>
  <c r="U264" i="9"/>
  <c r="A265" i="9"/>
  <c r="U265" i="9"/>
  <c r="A266" i="9"/>
  <c r="U266" i="9"/>
  <c r="A267" i="9"/>
  <c r="U267" i="9"/>
  <c r="A268" i="9"/>
  <c r="U268" i="9"/>
  <c r="A269" i="9"/>
  <c r="U269" i="9"/>
  <c r="A270" i="9"/>
  <c r="U270" i="9"/>
  <c r="A271" i="9"/>
  <c r="U271" i="9"/>
  <c r="A272" i="9"/>
  <c r="U272" i="9"/>
  <c r="A273" i="9"/>
  <c r="U273" i="9"/>
  <c r="A274" i="9"/>
  <c r="U274" i="9"/>
  <c r="A275" i="9"/>
  <c r="U275" i="9"/>
  <c r="A276" i="9"/>
  <c r="U276" i="9"/>
  <c r="A277" i="9"/>
  <c r="U277" i="9"/>
  <c r="A278" i="9"/>
  <c r="U278" i="9"/>
  <c r="A279" i="9"/>
  <c r="U279" i="9"/>
  <c r="A280" i="9"/>
  <c r="U280" i="9"/>
  <c r="A281" i="9"/>
  <c r="U281" i="9"/>
  <c r="A282" i="9"/>
  <c r="U282" i="9"/>
  <c r="A283" i="9"/>
  <c r="U283" i="9"/>
  <c r="A284" i="9"/>
  <c r="U284" i="9"/>
  <c r="A285" i="9"/>
  <c r="U285" i="9"/>
  <c r="A286" i="9"/>
  <c r="U286" i="9"/>
  <c r="A287" i="9"/>
  <c r="U287" i="9"/>
  <c r="A288" i="9"/>
  <c r="U288" i="9"/>
  <c r="A289" i="9"/>
  <c r="U289" i="9"/>
  <c r="A290" i="9"/>
  <c r="U290" i="9"/>
  <c r="A291" i="9"/>
  <c r="U291" i="9"/>
  <c r="A292" i="9"/>
  <c r="U292" i="9"/>
  <c r="A293" i="9"/>
  <c r="U293" i="9"/>
  <c r="A294" i="9"/>
  <c r="U294" i="9"/>
  <c r="A295" i="9"/>
  <c r="U295" i="9"/>
  <c r="A296" i="9"/>
  <c r="U296" i="9"/>
  <c r="A297" i="9"/>
  <c r="U297" i="9"/>
  <c r="A298" i="9"/>
  <c r="U298" i="9"/>
  <c r="A299" i="9"/>
  <c r="U299" i="9"/>
  <c r="A300" i="9"/>
  <c r="U300" i="9"/>
  <c r="A301" i="9"/>
  <c r="U301" i="9"/>
  <c r="A302" i="9"/>
  <c r="U302" i="9"/>
  <c r="A303" i="9"/>
  <c r="U303" i="9"/>
  <c r="A304" i="9"/>
  <c r="U304" i="9"/>
  <c r="A305" i="9"/>
  <c r="U305" i="9"/>
  <c r="A306" i="9"/>
  <c r="U306" i="9"/>
  <c r="A307" i="9"/>
  <c r="U307" i="9"/>
  <c r="A308" i="9"/>
  <c r="U308" i="9"/>
  <c r="A309" i="9"/>
  <c r="U309" i="9"/>
  <c r="A310" i="9"/>
  <c r="U310" i="9"/>
  <c r="A311" i="9"/>
  <c r="U311" i="9"/>
  <c r="A312" i="9"/>
  <c r="U312" i="9"/>
  <c r="A313" i="9"/>
  <c r="U313" i="9"/>
  <c r="A314" i="9"/>
  <c r="U314" i="9"/>
  <c r="A315" i="9"/>
  <c r="U315" i="9"/>
  <c r="A316" i="9"/>
  <c r="U316" i="9"/>
  <c r="A317" i="9"/>
  <c r="U317" i="9"/>
  <c r="A318" i="9"/>
  <c r="U318" i="9"/>
  <c r="A319" i="9"/>
  <c r="U319" i="9"/>
  <c r="A320" i="9"/>
  <c r="U320" i="9"/>
  <c r="A321" i="9"/>
  <c r="U321" i="9"/>
  <c r="A322" i="9"/>
  <c r="U322" i="9"/>
  <c r="A323" i="9"/>
  <c r="U323" i="9"/>
  <c r="A324" i="9"/>
  <c r="U324" i="9"/>
  <c r="A325" i="9"/>
  <c r="U325" i="9"/>
  <c r="A326" i="9"/>
  <c r="U326" i="9"/>
  <c r="A327" i="9"/>
  <c r="U327" i="9"/>
  <c r="A328" i="9"/>
  <c r="U328" i="9"/>
  <c r="A329" i="9"/>
  <c r="U329" i="9"/>
  <c r="A330" i="9"/>
  <c r="U330" i="9"/>
  <c r="A331" i="9"/>
  <c r="U331" i="9"/>
  <c r="A332" i="9"/>
  <c r="U332" i="9"/>
  <c r="A333" i="9"/>
  <c r="U333" i="9"/>
  <c r="A334" i="9"/>
  <c r="U334" i="9"/>
  <c r="A335" i="9"/>
  <c r="U335" i="9"/>
  <c r="A336" i="9"/>
  <c r="U336" i="9"/>
  <c r="A337" i="9"/>
  <c r="U337" i="9"/>
  <c r="A338" i="9"/>
  <c r="U338" i="9"/>
  <c r="A339" i="9"/>
  <c r="U339" i="9"/>
  <c r="A340" i="9"/>
  <c r="U340" i="9"/>
  <c r="A341" i="9"/>
  <c r="U341" i="9"/>
  <c r="A342" i="9"/>
  <c r="U342" i="9"/>
  <c r="A343" i="9"/>
  <c r="U343" i="9"/>
  <c r="A344" i="9"/>
  <c r="U344" i="9"/>
  <c r="A345" i="9"/>
  <c r="U345" i="9"/>
  <c r="A346" i="9"/>
  <c r="U346" i="9"/>
  <c r="A347" i="9"/>
  <c r="U347" i="9"/>
  <c r="A348" i="9"/>
  <c r="U348" i="9"/>
  <c r="A349" i="9"/>
  <c r="U349" i="9"/>
  <c r="A350" i="9"/>
  <c r="U350" i="9"/>
  <c r="A351" i="9"/>
  <c r="U351" i="9"/>
  <c r="A352" i="9"/>
  <c r="U352" i="9"/>
  <c r="A353" i="9"/>
  <c r="U353" i="9"/>
  <c r="A354" i="9"/>
  <c r="U354" i="9"/>
  <c r="A355" i="9"/>
  <c r="U355" i="9"/>
  <c r="A356" i="9"/>
  <c r="U356" i="9"/>
  <c r="A357" i="9"/>
  <c r="U357" i="9"/>
  <c r="A358" i="9"/>
  <c r="U358" i="9"/>
  <c r="A359" i="9"/>
  <c r="U359" i="9"/>
  <c r="A360" i="9"/>
  <c r="U360" i="9"/>
  <c r="A361" i="9"/>
  <c r="U361" i="9"/>
  <c r="A362" i="9"/>
  <c r="U362" i="9"/>
  <c r="A363" i="9"/>
  <c r="U363" i="9"/>
  <c r="A364" i="9"/>
  <c r="U364" i="9"/>
  <c r="A365" i="9"/>
  <c r="U365" i="9"/>
  <c r="A366" i="9"/>
  <c r="U366" i="9"/>
  <c r="A367" i="9"/>
  <c r="U367" i="9"/>
  <c r="A368" i="9"/>
  <c r="U368" i="9"/>
  <c r="A369" i="9"/>
  <c r="U369" i="9"/>
  <c r="A370" i="9"/>
  <c r="U370" i="9"/>
  <c r="A371" i="9"/>
  <c r="U371" i="9"/>
  <c r="A372" i="9"/>
  <c r="U372" i="9"/>
  <c r="A373" i="9"/>
  <c r="U373" i="9"/>
  <c r="A374" i="9"/>
  <c r="U374" i="9"/>
  <c r="A375" i="9"/>
  <c r="U375" i="9"/>
  <c r="A376" i="9"/>
  <c r="U376" i="9"/>
  <c r="A377" i="9"/>
  <c r="U377" i="9"/>
  <c r="A378" i="9"/>
  <c r="U378" i="9"/>
  <c r="A379" i="9"/>
  <c r="U379" i="9"/>
  <c r="A380" i="9"/>
  <c r="U380" i="9"/>
  <c r="A381" i="9"/>
  <c r="U381" i="9"/>
  <c r="A382" i="9"/>
  <c r="U382" i="9"/>
  <c r="A383" i="9"/>
  <c r="U383" i="9"/>
  <c r="A384" i="9"/>
  <c r="U384" i="9"/>
  <c r="A385" i="9"/>
  <c r="U385" i="9"/>
  <c r="A386" i="9"/>
  <c r="U386" i="9"/>
  <c r="A387" i="9"/>
  <c r="U387" i="9"/>
  <c r="A388" i="9"/>
  <c r="U388" i="9"/>
  <c r="A389" i="9"/>
  <c r="U389" i="9"/>
  <c r="A390" i="9"/>
  <c r="U390" i="9"/>
  <c r="A391" i="9"/>
  <c r="U391" i="9"/>
  <c r="A392" i="9"/>
  <c r="U392" i="9"/>
  <c r="A393" i="9"/>
  <c r="U393" i="9"/>
  <c r="A394" i="9"/>
  <c r="U394" i="9"/>
  <c r="A395" i="9"/>
  <c r="U395" i="9"/>
  <c r="A396" i="9"/>
  <c r="U396" i="9"/>
  <c r="A397" i="9"/>
  <c r="U397" i="9"/>
  <c r="A398" i="9"/>
  <c r="U398" i="9"/>
  <c r="A399" i="9"/>
  <c r="U399" i="9"/>
  <c r="A400" i="9"/>
  <c r="U400" i="9"/>
  <c r="A401" i="9"/>
  <c r="U401" i="9"/>
  <c r="A402" i="9"/>
  <c r="U402" i="9"/>
  <c r="A403" i="9"/>
  <c r="U403" i="9"/>
  <c r="A404" i="9"/>
  <c r="U404" i="9"/>
  <c r="A405" i="9"/>
  <c r="U405" i="9"/>
  <c r="A406" i="9"/>
  <c r="U406" i="9"/>
  <c r="A407" i="9"/>
  <c r="U407" i="9"/>
  <c r="A408" i="9"/>
  <c r="U408" i="9"/>
  <c r="A409" i="9"/>
  <c r="U409" i="9"/>
  <c r="A410" i="9"/>
  <c r="U410" i="9"/>
  <c r="A411" i="9"/>
  <c r="U411" i="9"/>
  <c r="A412" i="9"/>
  <c r="U412" i="9"/>
  <c r="A413" i="9"/>
  <c r="U413" i="9"/>
  <c r="A414" i="9"/>
  <c r="U414" i="9"/>
  <c r="A415" i="9"/>
  <c r="U415" i="9"/>
  <c r="A416" i="9"/>
  <c r="U416" i="9"/>
  <c r="A417" i="9"/>
  <c r="U417" i="9"/>
  <c r="A418" i="9"/>
  <c r="U418" i="9"/>
  <c r="A419" i="9"/>
  <c r="U419" i="9"/>
  <c r="A420" i="9"/>
  <c r="U420" i="9"/>
  <c r="A421" i="9"/>
  <c r="U421" i="9"/>
  <c r="A422" i="9"/>
  <c r="U422" i="9"/>
  <c r="A423" i="9"/>
  <c r="U423" i="9"/>
  <c r="A424" i="9"/>
  <c r="U424" i="9"/>
  <c r="A425" i="9"/>
  <c r="U425" i="9"/>
  <c r="A426" i="9"/>
  <c r="U426" i="9"/>
  <c r="A427" i="9"/>
  <c r="U427" i="9"/>
  <c r="A428" i="9"/>
  <c r="U428" i="9"/>
  <c r="A429" i="9"/>
  <c r="U429" i="9"/>
  <c r="A430" i="9"/>
  <c r="U430" i="9"/>
  <c r="A431" i="9"/>
  <c r="U431" i="9"/>
  <c r="A432" i="9"/>
  <c r="U432" i="9"/>
  <c r="A433" i="9"/>
  <c r="U433" i="9"/>
  <c r="A434" i="9"/>
  <c r="U434" i="9"/>
  <c r="A435" i="9"/>
  <c r="U435" i="9"/>
  <c r="A436" i="9"/>
  <c r="U436" i="9"/>
  <c r="A437" i="9"/>
  <c r="U437" i="9"/>
  <c r="A438" i="9"/>
  <c r="U438" i="9"/>
  <c r="A439" i="9"/>
  <c r="U439" i="9"/>
  <c r="A440" i="9"/>
  <c r="U440" i="9"/>
  <c r="A441" i="9"/>
  <c r="U441" i="9"/>
  <c r="A442" i="9"/>
  <c r="U442" i="9"/>
  <c r="A443" i="9"/>
  <c r="U443" i="9"/>
  <c r="A444" i="9"/>
  <c r="U444" i="9"/>
  <c r="A445" i="9"/>
  <c r="U445" i="9"/>
  <c r="A446" i="9"/>
  <c r="U446" i="9"/>
  <c r="A447" i="9"/>
  <c r="U447" i="9"/>
  <c r="A448" i="9"/>
  <c r="U448" i="9"/>
  <c r="A449" i="9"/>
  <c r="U449" i="9"/>
  <c r="A450" i="9"/>
  <c r="U450" i="9"/>
  <c r="A451" i="9"/>
  <c r="U451" i="9"/>
  <c r="A452" i="9"/>
  <c r="U452" i="9"/>
  <c r="A453" i="9"/>
  <c r="U453" i="9"/>
  <c r="A454" i="9"/>
  <c r="U454" i="9"/>
  <c r="A455" i="9"/>
  <c r="U455" i="9"/>
  <c r="A456" i="9"/>
  <c r="U456" i="9"/>
  <c r="A457" i="9"/>
  <c r="U457" i="9"/>
  <c r="A458" i="9"/>
  <c r="U458" i="9"/>
  <c r="A459" i="9"/>
  <c r="U459" i="9"/>
  <c r="A460" i="9"/>
  <c r="U460" i="9"/>
  <c r="A461" i="9"/>
  <c r="U461" i="9"/>
  <c r="A462" i="9"/>
  <c r="U462" i="9"/>
  <c r="A463" i="9"/>
  <c r="U463" i="9"/>
  <c r="A464" i="9"/>
  <c r="U464" i="9"/>
  <c r="A465" i="9"/>
  <c r="U465" i="9"/>
  <c r="A466" i="9"/>
  <c r="U466" i="9"/>
  <c r="A467" i="9"/>
  <c r="U467" i="9"/>
  <c r="A468" i="9"/>
  <c r="U468" i="9"/>
  <c r="A469" i="9"/>
  <c r="U469" i="9"/>
  <c r="A470" i="9"/>
  <c r="U470" i="9"/>
  <c r="A471" i="9"/>
  <c r="U471" i="9"/>
  <c r="A472" i="9"/>
  <c r="U472" i="9"/>
  <c r="A473" i="9"/>
  <c r="U473" i="9"/>
  <c r="A474" i="9"/>
  <c r="U474" i="9"/>
  <c r="A475" i="9"/>
  <c r="U475" i="9"/>
  <c r="A476" i="9"/>
  <c r="U476" i="9"/>
  <c r="A477" i="9"/>
  <c r="U477" i="9"/>
  <c r="A478" i="9"/>
  <c r="U478" i="9"/>
  <c r="A479" i="9"/>
  <c r="U479" i="9"/>
  <c r="A480" i="9"/>
  <c r="U480" i="9"/>
  <c r="A481" i="9"/>
  <c r="U481" i="9"/>
  <c r="A482" i="9"/>
  <c r="U482" i="9"/>
  <c r="A483" i="9"/>
  <c r="U483" i="9"/>
  <c r="A484" i="9"/>
  <c r="U484" i="9"/>
  <c r="A485" i="9"/>
  <c r="U485" i="9"/>
  <c r="A486" i="9"/>
  <c r="U486" i="9"/>
  <c r="A487" i="9"/>
  <c r="U487" i="9"/>
  <c r="A488" i="9"/>
  <c r="U488" i="9"/>
  <c r="A489" i="9"/>
  <c r="U489" i="9"/>
  <c r="A490" i="9"/>
  <c r="U490" i="9"/>
  <c r="A491" i="9"/>
  <c r="U491" i="9"/>
  <c r="A492" i="9"/>
  <c r="U492" i="9"/>
  <c r="A493" i="9"/>
  <c r="U493" i="9"/>
  <c r="A494" i="9"/>
  <c r="U494" i="9"/>
  <c r="A495" i="9"/>
  <c r="U495" i="9"/>
  <c r="A496" i="9"/>
  <c r="U496" i="9"/>
  <c r="A497" i="9"/>
  <c r="U497" i="9"/>
  <c r="A498" i="9"/>
  <c r="U498" i="9"/>
  <c r="A499" i="9"/>
  <c r="U499" i="9"/>
  <c r="A500" i="9"/>
  <c r="U500" i="9"/>
  <c r="A501" i="9"/>
  <c r="U501" i="9"/>
  <c r="A502" i="9"/>
  <c r="U502" i="9"/>
  <c r="A503" i="9"/>
  <c r="U503" i="9"/>
  <c r="A504" i="9"/>
  <c r="U504" i="9"/>
  <c r="A505" i="9"/>
  <c r="U505" i="9"/>
  <c r="A506" i="9"/>
  <c r="U506" i="9"/>
  <c r="A507" i="9"/>
  <c r="U507" i="9"/>
  <c r="A508" i="9"/>
  <c r="U508" i="9"/>
  <c r="A509" i="9"/>
  <c r="U509" i="9"/>
  <c r="A510" i="9"/>
  <c r="U510" i="9"/>
  <c r="A511" i="9"/>
  <c r="U511" i="9"/>
  <c r="A512" i="9"/>
  <c r="U512" i="9"/>
  <c r="A513" i="9"/>
  <c r="U513" i="9"/>
  <c r="A514" i="9"/>
  <c r="U514" i="9"/>
  <c r="A515" i="9"/>
  <c r="U515" i="9"/>
  <c r="A516" i="9"/>
  <c r="U516" i="9"/>
  <c r="A517" i="9"/>
  <c r="U517" i="9"/>
  <c r="A518" i="9"/>
  <c r="U518" i="9"/>
  <c r="A519" i="9"/>
  <c r="U519" i="9"/>
  <c r="A520" i="9"/>
  <c r="U520" i="9"/>
  <c r="A521" i="9"/>
  <c r="U521" i="9"/>
  <c r="A522" i="9"/>
  <c r="U522" i="9"/>
  <c r="A523" i="9"/>
  <c r="U523" i="9"/>
  <c r="A524" i="9"/>
  <c r="U524" i="9"/>
  <c r="A525" i="9"/>
  <c r="U525" i="9"/>
  <c r="A526" i="9"/>
  <c r="U526" i="9"/>
  <c r="A527" i="9"/>
  <c r="U527" i="9"/>
  <c r="A528" i="9"/>
  <c r="U528" i="9"/>
  <c r="A529" i="9"/>
  <c r="U529" i="9"/>
  <c r="A530" i="9"/>
  <c r="U530" i="9"/>
  <c r="A531" i="9"/>
  <c r="U531" i="9"/>
  <c r="A532" i="9"/>
  <c r="U532" i="9"/>
  <c r="A533" i="9"/>
  <c r="U533" i="9"/>
  <c r="A534" i="9"/>
  <c r="U534" i="9"/>
  <c r="A535" i="9"/>
  <c r="U535" i="9"/>
  <c r="A536" i="9"/>
  <c r="U536" i="9"/>
  <c r="A537" i="9"/>
  <c r="U537" i="9"/>
  <c r="A538" i="9"/>
  <c r="U538" i="9"/>
  <c r="A539" i="9"/>
  <c r="U539" i="9"/>
  <c r="A540" i="9"/>
  <c r="U540" i="9"/>
  <c r="A541" i="9"/>
  <c r="U541" i="9"/>
  <c r="A542" i="9"/>
  <c r="U542" i="9"/>
  <c r="A543" i="9"/>
  <c r="U543" i="9"/>
  <c r="A544" i="9"/>
  <c r="U544" i="9"/>
  <c r="A545" i="9"/>
  <c r="U545" i="9"/>
  <c r="A546" i="9"/>
  <c r="U546" i="9"/>
  <c r="A547" i="9"/>
  <c r="U547" i="9"/>
  <c r="A548" i="9"/>
  <c r="U548" i="9"/>
  <c r="A549" i="9"/>
  <c r="U549" i="9"/>
  <c r="A550" i="9"/>
  <c r="U550" i="9"/>
  <c r="A551" i="9"/>
  <c r="U551" i="9"/>
  <c r="A552" i="9"/>
  <c r="U552" i="9"/>
  <c r="A553" i="9"/>
  <c r="U553" i="9"/>
  <c r="A554" i="9"/>
  <c r="U554" i="9"/>
  <c r="A555" i="9"/>
  <c r="U555" i="9"/>
  <c r="A556" i="9"/>
  <c r="U556" i="9"/>
  <c r="A557" i="9"/>
  <c r="U557" i="9"/>
  <c r="A558" i="9"/>
  <c r="U558" i="9"/>
  <c r="A559" i="9"/>
  <c r="U559" i="9"/>
  <c r="A560" i="9"/>
  <c r="U560" i="9"/>
  <c r="A561" i="9"/>
  <c r="U561" i="9"/>
  <c r="A562" i="9"/>
  <c r="U562" i="9"/>
  <c r="A563" i="9"/>
  <c r="U563" i="9"/>
  <c r="A564" i="9"/>
  <c r="U564" i="9"/>
  <c r="A565" i="9"/>
  <c r="U565" i="9"/>
  <c r="A566" i="9"/>
  <c r="U566" i="9"/>
  <c r="A567" i="9"/>
  <c r="U567" i="9"/>
  <c r="A568" i="9"/>
  <c r="U568" i="9"/>
  <c r="A569" i="9"/>
  <c r="U569" i="9"/>
  <c r="A570" i="9"/>
  <c r="U570" i="9"/>
  <c r="A571" i="9"/>
  <c r="U571" i="9"/>
  <c r="A572" i="9"/>
  <c r="U572" i="9"/>
  <c r="A573" i="9"/>
  <c r="U573" i="9"/>
  <c r="A574" i="9"/>
  <c r="U574" i="9"/>
  <c r="A575" i="9"/>
  <c r="U575" i="9"/>
  <c r="A576" i="9"/>
  <c r="U576" i="9"/>
  <c r="A577" i="9"/>
  <c r="U577" i="9"/>
  <c r="A578" i="9"/>
  <c r="U578" i="9"/>
  <c r="A579" i="9"/>
  <c r="U579" i="9"/>
  <c r="A580" i="9"/>
  <c r="U580" i="9"/>
  <c r="A581" i="9"/>
  <c r="U581" i="9"/>
  <c r="A582" i="9"/>
  <c r="U582" i="9"/>
  <c r="A583" i="9"/>
  <c r="U583" i="9"/>
  <c r="A584" i="9"/>
  <c r="U584" i="9"/>
  <c r="A585" i="9"/>
  <c r="U585" i="9"/>
  <c r="A586" i="9"/>
  <c r="U586" i="9"/>
  <c r="A587" i="9"/>
  <c r="U587" i="9"/>
  <c r="A588" i="9"/>
  <c r="U588" i="9"/>
  <c r="A589" i="9"/>
  <c r="U589" i="9"/>
  <c r="A590" i="9"/>
  <c r="U590" i="9"/>
  <c r="A591" i="9"/>
  <c r="U591" i="9"/>
  <c r="A592" i="9"/>
  <c r="U592" i="9"/>
  <c r="A593" i="9"/>
  <c r="U593" i="9"/>
  <c r="A594" i="9"/>
  <c r="U594" i="9"/>
  <c r="A595" i="9"/>
  <c r="U595" i="9"/>
  <c r="A596" i="9"/>
  <c r="U596" i="9"/>
  <c r="A597" i="9"/>
  <c r="U597" i="9"/>
  <c r="A598" i="9"/>
  <c r="U598" i="9"/>
  <c r="A599" i="9"/>
  <c r="U599" i="9"/>
  <c r="A600" i="9"/>
  <c r="U600" i="9"/>
  <c r="A601" i="9"/>
  <c r="U601" i="9"/>
  <c r="A602" i="9"/>
  <c r="U602" i="9"/>
  <c r="A603" i="9"/>
  <c r="U603" i="9"/>
  <c r="A604" i="9"/>
  <c r="U604" i="9"/>
  <c r="A605" i="9"/>
  <c r="U605" i="9"/>
  <c r="A606" i="9"/>
  <c r="U606" i="9"/>
  <c r="A607" i="9"/>
  <c r="U607" i="9"/>
  <c r="A608" i="9"/>
  <c r="U608" i="9"/>
  <c r="A609" i="9"/>
  <c r="U609" i="9"/>
  <c r="A610" i="9"/>
  <c r="U610" i="9"/>
  <c r="A611" i="9"/>
  <c r="U611" i="9"/>
  <c r="A612" i="9"/>
  <c r="U612" i="9"/>
  <c r="A613" i="9"/>
  <c r="U613" i="9"/>
  <c r="A614" i="9"/>
  <c r="U614" i="9"/>
  <c r="A615" i="9"/>
  <c r="U615" i="9"/>
  <c r="A616" i="9"/>
  <c r="U616" i="9"/>
  <c r="A617" i="9"/>
  <c r="U617" i="9"/>
  <c r="A618" i="9"/>
  <c r="U618" i="9"/>
  <c r="A619" i="9"/>
  <c r="U619" i="9"/>
  <c r="A620" i="9"/>
  <c r="U620" i="9"/>
  <c r="A621" i="9"/>
  <c r="U621" i="9"/>
  <c r="A622" i="9"/>
  <c r="U622" i="9"/>
  <c r="A623" i="9"/>
  <c r="U623" i="9"/>
  <c r="A624" i="9"/>
  <c r="U624" i="9"/>
  <c r="A625" i="9"/>
  <c r="U625" i="9"/>
  <c r="A626" i="9"/>
  <c r="U626" i="9"/>
  <c r="A627" i="9"/>
  <c r="U627" i="9"/>
  <c r="A628" i="9"/>
  <c r="U628" i="9"/>
  <c r="A629" i="9"/>
  <c r="U629" i="9"/>
  <c r="A630" i="9"/>
  <c r="U630" i="9"/>
  <c r="A631" i="9"/>
  <c r="U631" i="9"/>
  <c r="A632" i="9"/>
  <c r="U632" i="9"/>
  <c r="A633" i="9"/>
  <c r="U633" i="9"/>
  <c r="A634" i="9"/>
  <c r="U634" i="9"/>
  <c r="A635" i="9"/>
  <c r="U635" i="9"/>
  <c r="A636" i="9"/>
  <c r="U636" i="9"/>
  <c r="A637" i="9"/>
  <c r="U637" i="9"/>
  <c r="A638" i="9"/>
  <c r="U638" i="9"/>
  <c r="A639" i="9"/>
  <c r="U639" i="9"/>
  <c r="A640" i="9"/>
  <c r="U640" i="9"/>
  <c r="A641" i="9"/>
  <c r="U641" i="9"/>
  <c r="A642" i="9"/>
  <c r="U642" i="9"/>
  <c r="A643" i="9"/>
  <c r="U643" i="9"/>
  <c r="A644" i="9"/>
  <c r="U644" i="9"/>
  <c r="A645" i="9"/>
  <c r="U645" i="9"/>
  <c r="A646" i="9"/>
  <c r="U646" i="9"/>
  <c r="A647" i="9"/>
  <c r="U647" i="9"/>
  <c r="A648" i="9"/>
  <c r="U648" i="9"/>
  <c r="A649" i="9"/>
  <c r="U649" i="9"/>
  <c r="A650" i="9"/>
  <c r="U650" i="9"/>
  <c r="A651" i="9"/>
  <c r="U651" i="9"/>
  <c r="A652" i="9"/>
  <c r="U652" i="9"/>
  <c r="A653" i="9"/>
  <c r="U653" i="9"/>
  <c r="A654" i="9"/>
  <c r="U654" i="9"/>
  <c r="A655" i="9"/>
  <c r="U655" i="9"/>
  <c r="A656" i="9"/>
  <c r="U656" i="9"/>
  <c r="A657" i="9"/>
  <c r="U657" i="9"/>
  <c r="A658" i="9"/>
  <c r="U658" i="9"/>
  <c r="A659" i="9"/>
  <c r="U659" i="9"/>
  <c r="A660" i="9"/>
  <c r="U660" i="9"/>
  <c r="A661" i="9"/>
  <c r="U661" i="9"/>
  <c r="A662" i="9"/>
  <c r="U662" i="9"/>
  <c r="A663" i="9"/>
  <c r="U663" i="9"/>
  <c r="A664" i="9"/>
  <c r="U664" i="9"/>
  <c r="A665" i="9"/>
  <c r="U665" i="9"/>
  <c r="A666" i="9"/>
  <c r="U666" i="9"/>
  <c r="A667" i="9"/>
  <c r="U667" i="9"/>
  <c r="A668" i="9"/>
  <c r="U668" i="9"/>
  <c r="A669" i="9"/>
  <c r="U669" i="9"/>
  <c r="A670" i="9"/>
  <c r="U670" i="9"/>
  <c r="A671" i="9"/>
  <c r="U671" i="9"/>
  <c r="A672" i="9"/>
  <c r="U672" i="9"/>
  <c r="A673" i="9"/>
  <c r="U673" i="9"/>
  <c r="A674" i="9"/>
  <c r="U674" i="9"/>
  <c r="A675" i="9"/>
  <c r="U675" i="9"/>
  <c r="A676" i="9"/>
  <c r="U676" i="9"/>
  <c r="A677" i="9"/>
  <c r="U677" i="9"/>
  <c r="A678" i="9"/>
  <c r="U678" i="9"/>
  <c r="A679" i="9"/>
  <c r="U679" i="9"/>
  <c r="A680" i="9"/>
  <c r="U680" i="9"/>
  <c r="A681" i="9"/>
  <c r="U681" i="9"/>
  <c r="A682" i="9"/>
  <c r="U682" i="9"/>
  <c r="A683" i="9"/>
  <c r="U683" i="9"/>
  <c r="A684" i="9"/>
  <c r="U684" i="9"/>
  <c r="A685" i="9"/>
  <c r="U685" i="9"/>
  <c r="A686" i="9"/>
  <c r="U686" i="9"/>
  <c r="A687" i="9"/>
  <c r="U687" i="9"/>
  <c r="A688" i="9"/>
  <c r="U688" i="9"/>
  <c r="A689" i="9"/>
  <c r="U689" i="9"/>
  <c r="A690" i="9"/>
  <c r="U690" i="9"/>
  <c r="A691" i="9"/>
  <c r="U691" i="9"/>
  <c r="A692" i="9"/>
  <c r="U692" i="9"/>
  <c r="A693" i="9"/>
  <c r="U693" i="9"/>
  <c r="A694" i="9"/>
  <c r="U694" i="9"/>
  <c r="A695" i="9"/>
  <c r="U695" i="9"/>
  <c r="A696" i="9"/>
  <c r="U696" i="9"/>
  <c r="A697" i="9"/>
  <c r="U697" i="9"/>
  <c r="A698" i="9"/>
  <c r="U698" i="9"/>
  <c r="A699" i="9"/>
  <c r="U699" i="9"/>
  <c r="A700" i="9"/>
  <c r="U700" i="9"/>
  <c r="A701" i="9"/>
  <c r="U701" i="9"/>
  <c r="A702" i="9"/>
  <c r="U702" i="9"/>
  <c r="A703" i="9"/>
  <c r="U703" i="9"/>
  <c r="A704" i="9"/>
  <c r="U704" i="9"/>
  <c r="A705" i="9"/>
  <c r="U705" i="9"/>
  <c r="A706" i="9"/>
  <c r="U706" i="9"/>
  <c r="A707" i="9"/>
  <c r="U707" i="9"/>
  <c r="A708" i="9"/>
  <c r="U708" i="9"/>
  <c r="A709" i="9"/>
  <c r="U709" i="9"/>
  <c r="A710" i="9"/>
  <c r="U710" i="9"/>
  <c r="A711" i="9"/>
  <c r="U711" i="9"/>
  <c r="A712" i="9"/>
  <c r="U712" i="9"/>
  <c r="A713" i="9"/>
  <c r="U713" i="9"/>
  <c r="A714" i="9"/>
  <c r="U714" i="9"/>
  <c r="A715" i="9"/>
  <c r="U715" i="9"/>
  <c r="A716" i="9"/>
  <c r="U716" i="9"/>
  <c r="A717" i="9"/>
  <c r="U717" i="9"/>
  <c r="A718" i="9"/>
  <c r="U718" i="9"/>
  <c r="A719" i="9"/>
  <c r="U719" i="9"/>
  <c r="A720" i="9"/>
  <c r="U720" i="9"/>
  <c r="A721" i="9"/>
  <c r="U721" i="9"/>
  <c r="A722" i="9"/>
  <c r="U722" i="9"/>
  <c r="A723" i="9"/>
  <c r="U723" i="9"/>
  <c r="A724" i="9"/>
  <c r="U724" i="9"/>
  <c r="A725" i="9"/>
  <c r="U725" i="9"/>
  <c r="A726" i="9"/>
  <c r="U726" i="9"/>
  <c r="A727" i="9"/>
  <c r="U727" i="9"/>
  <c r="A728" i="9"/>
  <c r="U728" i="9"/>
  <c r="A729" i="9"/>
  <c r="U729" i="9"/>
  <c r="A730" i="9"/>
  <c r="U730" i="9"/>
  <c r="A731" i="9"/>
  <c r="U731" i="9"/>
  <c r="A732" i="9"/>
  <c r="U732" i="9"/>
  <c r="A733" i="9"/>
  <c r="U733" i="9"/>
  <c r="A734" i="9"/>
  <c r="U734" i="9"/>
  <c r="A735" i="9"/>
  <c r="U735" i="9"/>
  <c r="A736" i="9"/>
  <c r="U736" i="9"/>
  <c r="A737" i="9"/>
  <c r="U737" i="9"/>
  <c r="A738" i="9"/>
  <c r="U738" i="9"/>
  <c r="A739" i="9"/>
  <c r="U739" i="9"/>
  <c r="A740" i="9"/>
  <c r="U740" i="9"/>
  <c r="A741" i="9"/>
  <c r="U741" i="9"/>
  <c r="A742" i="9"/>
  <c r="U742" i="9"/>
  <c r="A743" i="9"/>
  <c r="U743" i="9"/>
  <c r="A744" i="9"/>
  <c r="U744" i="9"/>
  <c r="A745" i="9"/>
  <c r="U745" i="9"/>
  <c r="A746" i="9"/>
  <c r="U746" i="9"/>
  <c r="A747" i="9"/>
  <c r="U747" i="9"/>
  <c r="A748" i="9"/>
  <c r="U748" i="9"/>
  <c r="A749" i="9"/>
  <c r="U749" i="9"/>
  <c r="A750" i="9"/>
  <c r="U750" i="9"/>
  <c r="A751" i="9"/>
  <c r="U751" i="9"/>
  <c r="A752" i="9"/>
  <c r="U752" i="9"/>
  <c r="A753" i="9"/>
  <c r="U753" i="9"/>
  <c r="A754" i="9"/>
  <c r="U754" i="9"/>
  <c r="A755" i="9"/>
  <c r="U755" i="9"/>
  <c r="A756" i="9"/>
  <c r="U756" i="9"/>
  <c r="A757" i="9"/>
  <c r="U757" i="9"/>
  <c r="A758" i="9"/>
  <c r="U758" i="9"/>
  <c r="A759" i="9"/>
  <c r="U759" i="9"/>
  <c r="A760" i="9"/>
  <c r="U760" i="9"/>
  <c r="A761" i="9"/>
  <c r="U761" i="9"/>
  <c r="A762" i="9"/>
  <c r="U762" i="9"/>
  <c r="A763" i="9"/>
  <c r="U763" i="9"/>
  <c r="A764" i="9"/>
  <c r="U764" i="9"/>
  <c r="A765" i="9"/>
  <c r="U765" i="9"/>
  <c r="A766" i="9"/>
  <c r="U766" i="9"/>
  <c r="A767" i="9"/>
  <c r="U767" i="9"/>
  <c r="A768" i="9"/>
  <c r="U768" i="9"/>
  <c r="A769" i="9"/>
  <c r="U769" i="9"/>
  <c r="A770" i="9"/>
  <c r="U770" i="9"/>
  <c r="A771" i="9"/>
  <c r="U771" i="9"/>
  <c r="A772" i="9"/>
  <c r="U772" i="9"/>
  <c r="A773" i="9"/>
  <c r="U773" i="9"/>
  <c r="A774" i="9"/>
  <c r="U774" i="9"/>
  <c r="A775" i="9"/>
  <c r="U775" i="9"/>
  <c r="A776" i="9"/>
  <c r="U776" i="9"/>
  <c r="A777" i="9"/>
  <c r="U777" i="9"/>
  <c r="A778" i="9"/>
  <c r="U778" i="9"/>
  <c r="A779" i="9"/>
  <c r="U779" i="9"/>
  <c r="A780" i="9"/>
  <c r="U780" i="9"/>
  <c r="A781" i="9"/>
  <c r="U781" i="9"/>
  <c r="A782" i="9"/>
  <c r="U782" i="9"/>
  <c r="A783" i="9"/>
  <c r="U783" i="9"/>
  <c r="A784" i="9"/>
  <c r="U784" i="9"/>
  <c r="A785" i="9"/>
  <c r="U785" i="9"/>
  <c r="A786" i="9"/>
  <c r="U786" i="9"/>
  <c r="A787" i="9"/>
  <c r="U787" i="9"/>
  <c r="A788" i="9"/>
  <c r="U788" i="9"/>
  <c r="A789" i="9"/>
  <c r="U789" i="9"/>
  <c r="A790" i="9"/>
  <c r="U790" i="9"/>
  <c r="A791" i="9"/>
  <c r="U791" i="9"/>
  <c r="A792" i="9"/>
  <c r="U792" i="9"/>
  <c r="A793" i="9"/>
  <c r="U793" i="9"/>
  <c r="A794" i="9"/>
  <c r="U794" i="9"/>
  <c r="A795" i="9"/>
  <c r="U795" i="9"/>
  <c r="A796" i="9"/>
  <c r="U796" i="9"/>
  <c r="A797" i="9"/>
  <c r="U797" i="9"/>
  <c r="A798" i="9"/>
  <c r="U798" i="9"/>
  <c r="A799" i="9"/>
  <c r="U799" i="9"/>
  <c r="A800" i="9"/>
  <c r="U800" i="9"/>
  <c r="A801" i="9"/>
  <c r="U801" i="9"/>
  <c r="A802" i="9"/>
  <c r="U802" i="9"/>
  <c r="A803" i="9"/>
  <c r="U803" i="9"/>
  <c r="A804" i="9"/>
  <c r="U804" i="9"/>
  <c r="A805" i="9"/>
  <c r="U805" i="9"/>
  <c r="A806" i="9"/>
  <c r="U806" i="9"/>
  <c r="A807" i="9"/>
  <c r="U807" i="9"/>
  <c r="A808" i="9"/>
  <c r="U808" i="9"/>
  <c r="A809" i="9"/>
  <c r="U809" i="9"/>
  <c r="A810" i="9"/>
  <c r="U810" i="9"/>
  <c r="A811" i="9"/>
  <c r="U811" i="9"/>
  <c r="A812" i="9"/>
  <c r="U812" i="9"/>
  <c r="A813" i="9"/>
  <c r="U813" i="9"/>
  <c r="A814" i="9"/>
  <c r="U814" i="9"/>
  <c r="A815" i="9"/>
  <c r="U815" i="9"/>
  <c r="A816" i="9"/>
  <c r="U816" i="9"/>
  <c r="A817" i="9"/>
  <c r="U817" i="9"/>
  <c r="A818" i="9"/>
  <c r="U818" i="9"/>
  <c r="A819" i="9"/>
  <c r="U819" i="9"/>
  <c r="A820" i="9"/>
  <c r="U820" i="9"/>
  <c r="A821" i="9"/>
  <c r="U821" i="9"/>
  <c r="A822" i="9"/>
  <c r="U822" i="9"/>
  <c r="A823" i="9"/>
  <c r="U823" i="9"/>
  <c r="A824" i="9"/>
  <c r="U824" i="9"/>
  <c r="A825" i="9"/>
  <c r="U825" i="9"/>
  <c r="A826" i="9"/>
  <c r="U826" i="9"/>
  <c r="A827" i="9"/>
  <c r="U827" i="9"/>
  <c r="A828" i="9"/>
  <c r="U828" i="9"/>
  <c r="A829" i="9"/>
  <c r="U829" i="9"/>
  <c r="A830" i="9"/>
  <c r="U830" i="9"/>
  <c r="A831" i="9"/>
  <c r="U831" i="9"/>
  <c r="A832" i="9"/>
  <c r="U832" i="9"/>
  <c r="A833" i="9"/>
  <c r="U833" i="9"/>
  <c r="A834" i="9"/>
  <c r="U834" i="9"/>
  <c r="A835" i="9"/>
  <c r="U835" i="9"/>
  <c r="A836" i="9"/>
  <c r="U836" i="9"/>
  <c r="A837" i="9"/>
  <c r="U837" i="9"/>
  <c r="A838" i="9"/>
  <c r="U838" i="9"/>
  <c r="A839" i="9"/>
  <c r="U839" i="9"/>
  <c r="A840" i="9"/>
  <c r="U840" i="9"/>
  <c r="A841" i="9"/>
  <c r="U841" i="9"/>
  <c r="A842" i="9"/>
  <c r="U842" i="9"/>
  <c r="A843" i="9"/>
  <c r="U843" i="9"/>
  <c r="A844" i="9"/>
  <c r="U844" i="9"/>
  <c r="A845" i="9"/>
  <c r="U845" i="9"/>
  <c r="A846" i="9"/>
  <c r="U846" i="9"/>
  <c r="A847" i="9"/>
  <c r="U847" i="9"/>
  <c r="A848" i="9"/>
  <c r="U848" i="9"/>
  <c r="A849" i="9"/>
  <c r="U849" i="9"/>
  <c r="A850" i="9"/>
  <c r="U850" i="9"/>
  <c r="A851" i="9"/>
  <c r="U851" i="9"/>
  <c r="A852" i="9"/>
  <c r="U852" i="9"/>
  <c r="A853" i="9"/>
  <c r="U853" i="9"/>
  <c r="A854" i="9"/>
  <c r="U854" i="9"/>
  <c r="A855" i="9"/>
  <c r="U855" i="9"/>
  <c r="A856" i="9"/>
  <c r="U856" i="9"/>
  <c r="A857" i="9"/>
  <c r="U857" i="9"/>
  <c r="A858" i="9"/>
  <c r="U858" i="9"/>
  <c r="A859" i="9"/>
  <c r="U859" i="9"/>
  <c r="A860" i="9"/>
  <c r="U860" i="9"/>
  <c r="A861" i="9"/>
  <c r="U861" i="9"/>
  <c r="A862" i="9"/>
  <c r="U862" i="9"/>
  <c r="A863" i="9"/>
  <c r="U863" i="9"/>
  <c r="A864" i="9"/>
  <c r="U864" i="9"/>
  <c r="A865" i="9"/>
  <c r="U865" i="9"/>
  <c r="A866" i="9"/>
  <c r="U866" i="9"/>
  <c r="A867" i="9"/>
  <c r="U867" i="9"/>
  <c r="A868" i="9"/>
  <c r="U868" i="9"/>
  <c r="A869" i="9"/>
  <c r="U869" i="9"/>
  <c r="A870" i="9"/>
  <c r="U870" i="9"/>
  <c r="A871" i="9"/>
  <c r="U871" i="9"/>
  <c r="A872" i="9"/>
  <c r="U872" i="9"/>
  <c r="A873" i="9"/>
  <c r="U873" i="9"/>
  <c r="A874" i="9"/>
  <c r="U874" i="9"/>
  <c r="A875" i="9"/>
  <c r="U875" i="9"/>
  <c r="A876" i="9"/>
  <c r="U876" i="9"/>
  <c r="A877" i="9"/>
  <c r="U877" i="9"/>
  <c r="A878" i="9"/>
  <c r="U878" i="9"/>
  <c r="A879" i="9"/>
  <c r="U879" i="9"/>
  <c r="A880" i="9"/>
  <c r="U880" i="9"/>
  <c r="A881" i="9"/>
  <c r="U881" i="9"/>
  <c r="A882" i="9"/>
  <c r="U882" i="9"/>
  <c r="A883" i="9"/>
  <c r="U883" i="9"/>
  <c r="A884" i="9"/>
  <c r="U884" i="9"/>
  <c r="A885" i="9"/>
  <c r="U885" i="9"/>
  <c r="A886" i="9"/>
  <c r="U886" i="9"/>
  <c r="A887" i="9"/>
  <c r="U887" i="9"/>
  <c r="A888" i="9"/>
  <c r="U888" i="9"/>
  <c r="A889" i="9"/>
  <c r="U889" i="9"/>
  <c r="A890" i="9"/>
  <c r="U890" i="9"/>
  <c r="A891" i="9"/>
  <c r="U891" i="9"/>
  <c r="A892" i="9"/>
  <c r="U892" i="9"/>
  <c r="A893" i="9"/>
  <c r="U893" i="9"/>
  <c r="A894" i="9"/>
  <c r="U894" i="9"/>
  <c r="A895" i="9"/>
  <c r="U895" i="9"/>
  <c r="A896" i="9"/>
  <c r="U896" i="9"/>
  <c r="A897" i="9"/>
  <c r="U897" i="9"/>
  <c r="A898" i="9"/>
  <c r="U898" i="9"/>
  <c r="A899" i="9"/>
  <c r="U899" i="9"/>
  <c r="A900" i="9"/>
  <c r="U900" i="9"/>
  <c r="A901" i="9"/>
  <c r="U901" i="9"/>
  <c r="A902" i="9"/>
  <c r="U902" i="9"/>
  <c r="A903" i="9"/>
  <c r="U903" i="9"/>
  <c r="A904" i="9"/>
  <c r="U904" i="9"/>
  <c r="A905" i="9"/>
  <c r="U905" i="9"/>
  <c r="A906" i="9"/>
  <c r="U906" i="9"/>
  <c r="A907" i="9"/>
  <c r="U907" i="9"/>
  <c r="A908" i="9"/>
  <c r="U908" i="9"/>
  <c r="A909" i="9"/>
  <c r="U909" i="9"/>
  <c r="A910" i="9"/>
  <c r="U910" i="9"/>
  <c r="A911" i="9"/>
  <c r="U911" i="9"/>
  <c r="A912" i="9"/>
  <c r="U912" i="9"/>
  <c r="A913" i="9"/>
  <c r="U913" i="9"/>
  <c r="A914" i="9"/>
  <c r="U914" i="9"/>
  <c r="A915" i="9"/>
  <c r="U915" i="9"/>
  <c r="A916" i="9"/>
  <c r="U916" i="9"/>
  <c r="A917" i="9"/>
  <c r="U917" i="9"/>
  <c r="A918" i="9"/>
  <c r="U918" i="9"/>
  <c r="A919" i="9"/>
  <c r="U919" i="9"/>
  <c r="A920" i="9"/>
  <c r="U920" i="9"/>
  <c r="A921" i="9"/>
  <c r="U921" i="9"/>
  <c r="A922" i="9"/>
  <c r="U922" i="9"/>
  <c r="A923" i="9"/>
  <c r="U923" i="9"/>
  <c r="A924" i="9"/>
  <c r="U924" i="9"/>
  <c r="A925" i="9"/>
  <c r="U925" i="9"/>
  <c r="A926" i="9"/>
  <c r="U926" i="9"/>
  <c r="A927" i="9"/>
  <c r="U927" i="9"/>
  <c r="A928" i="9"/>
  <c r="U928" i="9"/>
  <c r="A929" i="9"/>
  <c r="U929" i="9"/>
  <c r="A930" i="9"/>
  <c r="U930" i="9"/>
  <c r="A931" i="9"/>
  <c r="U931" i="9"/>
  <c r="A932" i="9"/>
  <c r="U932" i="9"/>
  <c r="A933" i="9"/>
  <c r="U933" i="9"/>
  <c r="A934" i="9"/>
  <c r="U934" i="9"/>
  <c r="A935" i="9"/>
  <c r="U935" i="9"/>
  <c r="A936" i="9"/>
  <c r="U936" i="9"/>
  <c r="A937" i="9"/>
  <c r="U937" i="9"/>
  <c r="A938" i="9"/>
  <c r="U938" i="9"/>
  <c r="A939" i="9"/>
  <c r="U939" i="9"/>
  <c r="A940" i="9"/>
  <c r="U940" i="9"/>
  <c r="A941" i="9"/>
  <c r="U941" i="9"/>
  <c r="A942" i="9"/>
  <c r="U942" i="9"/>
  <c r="A943" i="9"/>
  <c r="U943" i="9"/>
  <c r="A944" i="9"/>
  <c r="U944" i="9"/>
  <c r="A945" i="9"/>
  <c r="U945" i="9"/>
  <c r="A946" i="9"/>
  <c r="U946" i="9"/>
  <c r="A947" i="9"/>
  <c r="U947" i="9"/>
  <c r="A948" i="9"/>
  <c r="U948" i="9"/>
  <c r="A949" i="9"/>
  <c r="U949" i="9"/>
  <c r="A950" i="9"/>
  <c r="U950" i="9"/>
  <c r="A951" i="9"/>
  <c r="U951" i="9"/>
  <c r="A952" i="9"/>
  <c r="U952" i="9"/>
  <c r="A953" i="9"/>
  <c r="U953" i="9"/>
  <c r="A954" i="9"/>
  <c r="U954" i="9"/>
  <c r="A955" i="9"/>
  <c r="U955" i="9"/>
  <c r="A956" i="9"/>
  <c r="U956" i="9"/>
  <c r="A957" i="9"/>
  <c r="U957" i="9"/>
  <c r="A958" i="9"/>
  <c r="U958" i="9"/>
  <c r="A959" i="9"/>
  <c r="U959" i="9"/>
  <c r="A960" i="9"/>
  <c r="U960" i="9"/>
  <c r="A961" i="9"/>
  <c r="U961" i="9"/>
  <c r="A962" i="9"/>
  <c r="U962" i="9"/>
  <c r="A963" i="9"/>
  <c r="U963" i="9"/>
  <c r="A964" i="9"/>
  <c r="U964" i="9"/>
  <c r="A965" i="9"/>
  <c r="U965" i="9"/>
  <c r="A966" i="9"/>
  <c r="U966" i="9"/>
  <c r="A967" i="9"/>
  <c r="U967" i="9"/>
  <c r="A968" i="9"/>
  <c r="U968" i="9"/>
  <c r="A969" i="9"/>
  <c r="U969" i="9"/>
  <c r="A970" i="9"/>
  <c r="U970" i="9"/>
  <c r="A971" i="9"/>
  <c r="U971" i="9"/>
  <c r="A972" i="9"/>
  <c r="U972" i="9"/>
  <c r="A973" i="9"/>
  <c r="U973" i="9"/>
  <c r="A974" i="9"/>
  <c r="U974" i="9"/>
  <c r="A975" i="9"/>
  <c r="U975" i="9"/>
  <c r="A976" i="9"/>
  <c r="U976" i="9"/>
  <c r="A977" i="9"/>
  <c r="U977" i="9"/>
  <c r="A978" i="9"/>
  <c r="U978" i="9"/>
  <c r="A979" i="9"/>
  <c r="U979" i="9"/>
  <c r="A980" i="9"/>
  <c r="U980" i="9"/>
  <c r="A981" i="9"/>
  <c r="U981" i="9"/>
  <c r="A982" i="9"/>
  <c r="U982" i="9"/>
  <c r="A983" i="9"/>
  <c r="U983" i="9"/>
  <c r="A984" i="9"/>
  <c r="U984" i="9"/>
  <c r="A985" i="9"/>
  <c r="U985" i="9"/>
  <c r="A986" i="9"/>
  <c r="U986" i="9"/>
  <c r="A987" i="9"/>
  <c r="U987" i="9"/>
  <c r="A988" i="9"/>
  <c r="U988" i="9"/>
  <c r="A989" i="9"/>
  <c r="U989" i="9"/>
  <c r="A990" i="9"/>
  <c r="U990" i="9"/>
  <c r="A991" i="9"/>
  <c r="U991" i="9"/>
  <c r="A992" i="9"/>
  <c r="U992" i="9"/>
  <c r="A993" i="9"/>
  <c r="U993" i="9"/>
  <c r="A994" i="9"/>
  <c r="U994" i="9"/>
  <c r="A995" i="9"/>
  <c r="U995" i="9"/>
  <c r="A996" i="9"/>
  <c r="U996" i="9"/>
  <c r="A997" i="9"/>
  <c r="U997" i="9"/>
  <c r="A998" i="9"/>
  <c r="U998" i="9"/>
  <c r="A999" i="9"/>
  <c r="U999" i="9"/>
  <c r="A1000" i="9"/>
  <c r="U1000" i="9"/>
  <c r="A1001" i="9"/>
  <c r="U1001" i="9"/>
  <c r="D1" i="9"/>
  <c r="E1" i="9"/>
  <c r="F1" i="9"/>
  <c r="A1" i="9"/>
  <c r="G2" i="8"/>
  <c r="H2" i="8"/>
  <c r="G3" i="8"/>
  <c r="H3" i="8"/>
  <c r="G4" i="8"/>
  <c r="H4" i="8"/>
  <c r="G5" i="8"/>
  <c r="H5" i="8"/>
  <c r="G6" i="8"/>
  <c r="H6" i="8"/>
  <c r="G7" i="8"/>
  <c r="H7" i="8"/>
  <c r="G8" i="8"/>
  <c r="H8" i="8"/>
  <c r="G9" i="8"/>
  <c r="H9" i="8"/>
  <c r="U10" i="8"/>
  <c r="E10" i="8"/>
  <c r="F10" i="8"/>
  <c r="G10" i="8"/>
  <c r="H10" i="8"/>
  <c r="U11" i="8"/>
  <c r="E11" i="8"/>
  <c r="F11" i="8"/>
  <c r="G11" i="8"/>
  <c r="H11" i="8"/>
  <c r="U12" i="8"/>
  <c r="E12" i="8"/>
  <c r="F12" i="8"/>
  <c r="G12" i="8"/>
  <c r="H12" i="8"/>
  <c r="U13" i="8"/>
  <c r="E13" i="8"/>
  <c r="F13" i="8"/>
  <c r="G13" i="8"/>
  <c r="H13" i="8"/>
  <c r="U14" i="8"/>
  <c r="E14" i="8"/>
  <c r="F14" i="8"/>
  <c r="G14" i="8"/>
  <c r="H14" i="8"/>
  <c r="U15" i="8"/>
  <c r="E15" i="8"/>
  <c r="F15" i="8"/>
  <c r="G15" i="8"/>
  <c r="H15" i="8"/>
  <c r="U16" i="8"/>
  <c r="E16" i="8"/>
  <c r="F16" i="8"/>
  <c r="G16" i="8"/>
  <c r="H16" i="8"/>
  <c r="U17" i="8"/>
  <c r="E17" i="8"/>
  <c r="F17" i="8"/>
  <c r="G17" i="8"/>
  <c r="H17" i="8"/>
  <c r="U18" i="8"/>
  <c r="E18" i="8"/>
  <c r="F18" i="8"/>
  <c r="G18" i="8"/>
  <c r="H18" i="8"/>
  <c r="U19" i="8"/>
  <c r="E19" i="8"/>
  <c r="F19" i="8"/>
  <c r="G19" i="8"/>
  <c r="H19" i="8"/>
  <c r="U20" i="8"/>
  <c r="E20" i="8"/>
  <c r="F20" i="8"/>
  <c r="G20" i="8"/>
  <c r="H20" i="8"/>
  <c r="U21" i="8"/>
  <c r="E21" i="8"/>
  <c r="F21" i="8"/>
  <c r="G21" i="8"/>
  <c r="H21" i="8"/>
  <c r="U22" i="8"/>
  <c r="E22" i="8"/>
  <c r="F22" i="8"/>
  <c r="G22" i="8"/>
  <c r="H22" i="8"/>
  <c r="U23" i="8"/>
  <c r="E23" i="8"/>
  <c r="F23" i="8"/>
  <c r="G23" i="8"/>
  <c r="H23" i="8"/>
  <c r="U24" i="8"/>
  <c r="E24" i="8"/>
  <c r="F24" i="8"/>
  <c r="G24" i="8"/>
  <c r="H24" i="8"/>
  <c r="U25" i="8"/>
  <c r="E25" i="8"/>
  <c r="F25" i="8"/>
  <c r="G25" i="8"/>
  <c r="H25" i="8"/>
  <c r="U26" i="8"/>
  <c r="E26" i="8"/>
  <c r="F26" i="8"/>
  <c r="G26" i="8"/>
  <c r="H26" i="8"/>
  <c r="U27" i="8"/>
  <c r="E27" i="8"/>
  <c r="F27" i="8"/>
  <c r="G27" i="8"/>
  <c r="H27" i="8"/>
  <c r="U28" i="8"/>
  <c r="E28" i="8"/>
  <c r="F28" i="8"/>
  <c r="G28" i="8"/>
  <c r="H28" i="8"/>
  <c r="U29" i="8"/>
  <c r="E29" i="8"/>
  <c r="F29" i="8"/>
  <c r="G29" i="8"/>
  <c r="H29" i="8"/>
  <c r="U30" i="8"/>
  <c r="E30" i="8"/>
  <c r="F30" i="8"/>
  <c r="G30" i="8"/>
  <c r="H30" i="8"/>
  <c r="U31" i="8"/>
  <c r="E31" i="8"/>
  <c r="F31" i="8"/>
  <c r="G31" i="8"/>
  <c r="H31" i="8"/>
  <c r="U32" i="8"/>
  <c r="E32" i="8"/>
  <c r="F32" i="8"/>
  <c r="G32" i="8"/>
  <c r="H32" i="8"/>
  <c r="U33" i="8"/>
  <c r="E33" i="8"/>
  <c r="F33" i="8"/>
  <c r="G33" i="8"/>
  <c r="H33" i="8"/>
  <c r="U34" i="8"/>
  <c r="E34" i="8"/>
  <c r="F34" i="8"/>
  <c r="G34" i="8"/>
  <c r="H34" i="8"/>
  <c r="U35" i="8"/>
  <c r="E35" i="8"/>
  <c r="F35" i="8"/>
  <c r="G35" i="8"/>
  <c r="H35" i="8"/>
  <c r="U36" i="8"/>
  <c r="E36" i="8"/>
  <c r="F36" i="8"/>
  <c r="G36" i="8"/>
  <c r="H36" i="8"/>
  <c r="U37" i="8"/>
  <c r="E37" i="8"/>
  <c r="F37" i="8"/>
  <c r="G37" i="8"/>
  <c r="H37" i="8"/>
  <c r="U38" i="8"/>
  <c r="E38" i="8"/>
  <c r="F38" i="8"/>
  <c r="G38" i="8"/>
  <c r="H38" i="8"/>
  <c r="U39" i="8"/>
  <c r="E39" i="8"/>
  <c r="F39" i="8"/>
  <c r="G39" i="8"/>
  <c r="H39" i="8"/>
  <c r="U40" i="8"/>
  <c r="E40" i="8"/>
  <c r="F40" i="8"/>
  <c r="G40" i="8"/>
  <c r="H40" i="8"/>
  <c r="U41" i="8"/>
  <c r="E41" i="8"/>
  <c r="F41" i="8"/>
  <c r="G41" i="8"/>
  <c r="H41" i="8"/>
  <c r="U42" i="8"/>
  <c r="E42" i="8"/>
  <c r="F42" i="8"/>
  <c r="G42" i="8"/>
  <c r="H42" i="8"/>
  <c r="U43" i="8"/>
  <c r="E43" i="8"/>
  <c r="F43" i="8"/>
  <c r="G43" i="8"/>
  <c r="H43" i="8"/>
  <c r="U44" i="8"/>
  <c r="E44" i="8"/>
  <c r="F44" i="8"/>
  <c r="G44" i="8"/>
  <c r="H44" i="8"/>
  <c r="U45" i="8"/>
  <c r="E45" i="8"/>
  <c r="F45" i="8"/>
  <c r="G45" i="8"/>
  <c r="H45" i="8"/>
  <c r="U46" i="8"/>
  <c r="E46" i="8"/>
  <c r="F46" i="8"/>
  <c r="G46" i="8"/>
  <c r="H46" i="8"/>
  <c r="U47" i="8"/>
  <c r="E47" i="8"/>
  <c r="F47" i="8"/>
  <c r="G47" i="8"/>
  <c r="H47" i="8"/>
  <c r="U48" i="8"/>
  <c r="E48" i="8"/>
  <c r="F48" i="8"/>
  <c r="G48" i="8"/>
  <c r="H48" i="8"/>
  <c r="U49" i="8"/>
  <c r="E49" i="8"/>
  <c r="F49" i="8"/>
  <c r="G49" i="8"/>
  <c r="H49" i="8"/>
  <c r="U50" i="8"/>
  <c r="E50" i="8"/>
  <c r="F50" i="8"/>
  <c r="G50" i="8"/>
  <c r="H50" i="8"/>
  <c r="U51" i="8"/>
  <c r="E51" i="8"/>
  <c r="F51" i="8"/>
  <c r="G51" i="8"/>
  <c r="H51" i="8"/>
  <c r="U52" i="8"/>
  <c r="E52" i="8"/>
  <c r="F52" i="8"/>
  <c r="G52" i="8"/>
  <c r="H52" i="8"/>
  <c r="U53" i="8"/>
  <c r="E53" i="8"/>
  <c r="F53" i="8"/>
  <c r="G53" i="8"/>
  <c r="H53" i="8"/>
  <c r="U54" i="8"/>
  <c r="E54" i="8"/>
  <c r="F54" i="8"/>
  <c r="G54" i="8"/>
  <c r="H54" i="8"/>
  <c r="U55" i="8"/>
  <c r="E55" i="8"/>
  <c r="F55" i="8"/>
  <c r="G55" i="8"/>
  <c r="H55" i="8"/>
  <c r="U56" i="8"/>
  <c r="E56" i="8"/>
  <c r="F56" i="8"/>
  <c r="G56" i="8"/>
  <c r="H56" i="8"/>
  <c r="U57" i="8"/>
  <c r="E57" i="8"/>
  <c r="F57" i="8"/>
  <c r="G57" i="8"/>
  <c r="H57" i="8"/>
  <c r="U58" i="8"/>
  <c r="E58" i="8"/>
  <c r="F58" i="8"/>
  <c r="G58" i="8"/>
  <c r="H58" i="8"/>
  <c r="U59" i="8"/>
  <c r="E59" i="8"/>
  <c r="F59" i="8"/>
  <c r="G59" i="8"/>
  <c r="H59" i="8"/>
  <c r="U60" i="8"/>
  <c r="E60" i="8"/>
  <c r="F60" i="8"/>
  <c r="G60" i="8"/>
  <c r="H60" i="8"/>
  <c r="U61" i="8"/>
  <c r="E61" i="8"/>
  <c r="F61" i="8"/>
  <c r="G61" i="8"/>
  <c r="H61" i="8"/>
  <c r="U62" i="8"/>
  <c r="E62" i="8"/>
  <c r="F62" i="8"/>
  <c r="G62" i="8"/>
  <c r="H62" i="8"/>
  <c r="U63" i="8"/>
  <c r="E63" i="8"/>
  <c r="F63" i="8"/>
  <c r="G63" i="8"/>
  <c r="H63" i="8"/>
  <c r="U64" i="8"/>
  <c r="E64" i="8"/>
  <c r="F64" i="8"/>
  <c r="G64" i="8"/>
  <c r="H64" i="8"/>
  <c r="U65" i="8"/>
  <c r="E65" i="8"/>
  <c r="F65" i="8"/>
  <c r="G65" i="8"/>
  <c r="H65" i="8"/>
  <c r="U66" i="8"/>
  <c r="E66" i="8"/>
  <c r="F66" i="8"/>
  <c r="G66" i="8"/>
  <c r="H66" i="8"/>
  <c r="U67" i="8"/>
  <c r="E67" i="8"/>
  <c r="F67" i="8"/>
  <c r="G67" i="8"/>
  <c r="H67" i="8"/>
  <c r="U68" i="8"/>
  <c r="E68" i="8"/>
  <c r="F68" i="8"/>
  <c r="G68" i="8"/>
  <c r="H68" i="8"/>
  <c r="U69" i="8"/>
  <c r="E69" i="8"/>
  <c r="F69" i="8"/>
  <c r="G69" i="8"/>
  <c r="H69" i="8"/>
  <c r="U70" i="8"/>
  <c r="E70" i="8"/>
  <c r="F70" i="8"/>
  <c r="G70" i="8"/>
  <c r="H70" i="8"/>
  <c r="U71" i="8"/>
  <c r="E71" i="8"/>
  <c r="F71" i="8"/>
  <c r="G71" i="8"/>
  <c r="H71" i="8"/>
  <c r="U72" i="8"/>
  <c r="E72" i="8"/>
  <c r="F72" i="8"/>
  <c r="G72" i="8"/>
  <c r="H72" i="8"/>
  <c r="U73" i="8"/>
  <c r="E73" i="8"/>
  <c r="F73" i="8"/>
  <c r="G73" i="8"/>
  <c r="H73" i="8"/>
  <c r="U74" i="8"/>
  <c r="E74" i="8"/>
  <c r="F74" i="8"/>
  <c r="G74" i="8"/>
  <c r="H74" i="8"/>
  <c r="U75" i="8"/>
  <c r="E75" i="8"/>
  <c r="F75" i="8"/>
  <c r="G75" i="8"/>
  <c r="H75" i="8"/>
  <c r="U76" i="8"/>
  <c r="E76" i="8"/>
  <c r="F76" i="8"/>
  <c r="G76" i="8"/>
  <c r="H76" i="8"/>
  <c r="U77" i="8"/>
  <c r="E77" i="8"/>
  <c r="F77" i="8"/>
  <c r="G77" i="8"/>
  <c r="H77" i="8"/>
  <c r="U78" i="8"/>
  <c r="E78" i="8"/>
  <c r="F78" i="8"/>
  <c r="G78" i="8"/>
  <c r="H78" i="8"/>
  <c r="U79" i="8"/>
  <c r="E79" i="8"/>
  <c r="F79" i="8"/>
  <c r="G79" i="8"/>
  <c r="H79" i="8"/>
  <c r="U80" i="8"/>
  <c r="E80" i="8"/>
  <c r="F80" i="8"/>
  <c r="G80" i="8"/>
  <c r="H80" i="8"/>
  <c r="U81" i="8"/>
  <c r="E81" i="8"/>
  <c r="F81" i="8"/>
  <c r="G81" i="8"/>
  <c r="H81" i="8"/>
  <c r="U82" i="8"/>
  <c r="E82" i="8"/>
  <c r="F82" i="8"/>
  <c r="G82" i="8"/>
  <c r="H82" i="8"/>
  <c r="U83" i="8"/>
  <c r="E83" i="8"/>
  <c r="F83" i="8"/>
  <c r="G83" i="8"/>
  <c r="H83" i="8"/>
  <c r="U84" i="8"/>
  <c r="E84" i="8"/>
  <c r="F84" i="8"/>
  <c r="G84" i="8"/>
  <c r="H84" i="8"/>
  <c r="U85" i="8"/>
  <c r="E85" i="8"/>
  <c r="F85" i="8"/>
  <c r="G85" i="8"/>
  <c r="H85" i="8"/>
  <c r="U86" i="8"/>
  <c r="E86" i="8"/>
  <c r="F86" i="8"/>
  <c r="G86" i="8"/>
  <c r="H86" i="8"/>
  <c r="U87" i="8"/>
  <c r="E87" i="8"/>
  <c r="F87" i="8"/>
  <c r="G87" i="8"/>
  <c r="H87" i="8"/>
  <c r="U88" i="8"/>
  <c r="E88" i="8"/>
  <c r="F88" i="8"/>
  <c r="G88" i="8"/>
  <c r="H88" i="8"/>
  <c r="U89" i="8"/>
  <c r="E89" i="8"/>
  <c r="F89" i="8"/>
  <c r="G89" i="8"/>
  <c r="H89" i="8"/>
  <c r="U90" i="8"/>
  <c r="E90" i="8"/>
  <c r="F90" i="8"/>
  <c r="G90" i="8"/>
  <c r="H90" i="8"/>
  <c r="U91" i="8"/>
  <c r="E91" i="8"/>
  <c r="F91" i="8"/>
  <c r="G91" i="8"/>
  <c r="H91" i="8"/>
  <c r="U92" i="8"/>
  <c r="E92" i="8"/>
  <c r="F92" i="8"/>
  <c r="G92" i="8"/>
  <c r="H92" i="8"/>
  <c r="U93" i="8"/>
  <c r="E93" i="8"/>
  <c r="F93" i="8"/>
  <c r="G93" i="8"/>
  <c r="H93" i="8"/>
  <c r="U94" i="8"/>
  <c r="E94" i="8"/>
  <c r="F94" i="8"/>
  <c r="G94" i="8"/>
  <c r="H94" i="8"/>
  <c r="U95" i="8"/>
  <c r="E95" i="8"/>
  <c r="F95" i="8"/>
  <c r="G95" i="8"/>
  <c r="H95" i="8"/>
  <c r="U96" i="8"/>
  <c r="E96" i="8"/>
  <c r="F96" i="8"/>
  <c r="G96" i="8"/>
  <c r="H96" i="8"/>
  <c r="U97" i="8"/>
  <c r="E97" i="8"/>
  <c r="F97" i="8"/>
  <c r="G97" i="8"/>
  <c r="H97" i="8"/>
  <c r="U98" i="8"/>
  <c r="E98" i="8"/>
  <c r="F98" i="8"/>
  <c r="G98" i="8"/>
  <c r="H98" i="8"/>
  <c r="U99" i="8"/>
  <c r="E99" i="8"/>
  <c r="F99" i="8"/>
  <c r="G99" i="8"/>
  <c r="H99" i="8"/>
  <c r="U100" i="8"/>
  <c r="E100" i="8"/>
  <c r="F100" i="8"/>
  <c r="G100" i="8"/>
  <c r="H100" i="8"/>
  <c r="U101" i="8"/>
  <c r="E101" i="8"/>
  <c r="F101" i="8"/>
  <c r="G101" i="8"/>
  <c r="H101" i="8"/>
  <c r="U102" i="8"/>
  <c r="E102" i="8"/>
  <c r="F102" i="8"/>
  <c r="G102" i="8"/>
  <c r="H102" i="8"/>
  <c r="U103" i="8"/>
  <c r="E103" i="8"/>
  <c r="F103" i="8"/>
  <c r="G103" i="8"/>
  <c r="H103" i="8"/>
  <c r="U104" i="8"/>
  <c r="E104" i="8"/>
  <c r="F104" i="8"/>
  <c r="G104" i="8"/>
  <c r="H104" i="8"/>
  <c r="U105" i="8"/>
  <c r="E105" i="8"/>
  <c r="F105" i="8"/>
  <c r="G105" i="8"/>
  <c r="H105" i="8"/>
  <c r="U106" i="8"/>
  <c r="E106" i="8"/>
  <c r="F106" i="8"/>
  <c r="G106" i="8"/>
  <c r="H106" i="8"/>
  <c r="U107" i="8"/>
  <c r="E107" i="8"/>
  <c r="F107" i="8"/>
  <c r="G107" i="8"/>
  <c r="H107" i="8"/>
  <c r="U108" i="8"/>
  <c r="E108" i="8"/>
  <c r="F108" i="8"/>
  <c r="G108" i="8"/>
  <c r="H108" i="8"/>
  <c r="U109" i="8"/>
  <c r="E109" i="8"/>
  <c r="F109" i="8"/>
  <c r="G109" i="8"/>
  <c r="H109" i="8"/>
  <c r="U110" i="8"/>
  <c r="E110" i="8"/>
  <c r="F110" i="8"/>
  <c r="G110" i="8"/>
  <c r="H110" i="8"/>
  <c r="U111" i="8"/>
  <c r="E111" i="8"/>
  <c r="F111" i="8"/>
  <c r="G111" i="8"/>
  <c r="H111" i="8"/>
  <c r="U112" i="8"/>
  <c r="E112" i="8"/>
  <c r="F112" i="8"/>
  <c r="G112" i="8"/>
  <c r="H112" i="8"/>
  <c r="U113" i="8"/>
  <c r="E113" i="8"/>
  <c r="F113" i="8"/>
  <c r="G113" i="8"/>
  <c r="H113" i="8"/>
  <c r="U114" i="8"/>
  <c r="E114" i="8"/>
  <c r="F114" i="8"/>
  <c r="G114" i="8"/>
  <c r="H114" i="8"/>
  <c r="U115" i="8"/>
  <c r="E115" i="8"/>
  <c r="F115" i="8"/>
  <c r="G115" i="8"/>
  <c r="H115" i="8"/>
  <c r="U116" i="8"/>
  <c r="E116" i="8"/>
  <c r="F116" i="8"/>
  <c r="G116" i="8"/>
  <c r="H116" i="8"/>
  <c r="U117" i="8"/>
  <c r="E117" i="8"/>
  <c r="F117" i="8"/>
  <c r="G117" i="8"/>
  <c r="H117" i="8"/>
  <c r="U118" i="8"/>
  <c r="E118" i="8"/>
  <c r="F118" i="8"/>
  <c r="G118" i="8"/>
  <c r="H118" i="8"/>
  <c r="U119" i="8"/>
  <c r="E119" i="8"/>
  <c r="F119" i="8"/>
  <c r="G119" i="8"/>
  <c r="H119" i="8"/>
  <c r="U120" i="8"/>
  <c r="E120" i="8"/>
  <c r="F120" i="8"/>
  <c r="G120" i="8"/>
  <c r="H120" i="8"/>
  <c r="U121" i="8"/>
  <c r="E121" i="8"/>
  <c r="F121" i="8"/>
  <c r="G121" i="8"/>
  <c r="H121" i="8"/>
  <c r="U122" i="8"/>
  <c r="E122" i="8"/>
  <c r="F122" i="8"/>
  <c r="G122" i="8"/>
  <c r="H122" i="8"/>
  <c r="U123" i="8"/>
  <c r="E123" i="8"/>
  <c r="F123" i="8"/>
  <c r="G123" i="8"/>
  <c r="H123" i="8"/>
  <c r="U124" i="8"/>
  <c r="E124" i="8"/>
  <c r="F124" i="8"/>
  <c r="G124" i="8"/>
  <c r="H124" i="8"/>
  <c r="U125" i="8"/>
  <c r="E125" i="8"/>
  <c r="F125" i="8"/>
  <c r="G125" i="8"/>
  <c r="H125" i="8"/>
  <c r="U126" i="8"/>
  <c r="E126" i="8"/>
  <c r="F126" i="8"/>
  <c r="G126" i="8"/>
  <c r="H126" i="8"/>
  <c r="U127" i="8"/>
  <c r="E127" i="8"/>
  <c r="F127" i="8"/>
  <c r="G127" i="8"/>
  <c r="H127" i="8"/>
  <c r="U128" i="8"/>
  <c r="E128" i="8"/>
  <c r="F128" i="8"/>
  <c r="G128" i="8"/>
  <c r="H128" i="8"/>
  <c r="U129" i="8"/>
  <c r="E129" i="8"/>
  <c r="F129" i="8"/>
  <c r="G129" i="8"/>
  <c r="H129" i="8"/>
  <c r="U130" i="8"/>
  <c r="E130" i="8"/>
  <c r="F130" i="8"/>
  <c r="G130" i="8"/>
  <c r="H130" i="8"/>
  <c r="U131" i="8"/>
  <c r="E131" i="8"/>
  <c r="F131" i="8"/>
  <c r="G131" i="8"/>
  <c r="H131" i="8"/>
  <c r="U132" i="8"/>
  <c r="E132" i="8"/>
  <c r="F132" i="8"/>
  <c r="G132" i="8"/>
  <c r="H132" i="8"/>
  <c r="U133" i="8"/>
  <c r="E133" i="8"/>
  <c r="F133" i="8"/>
  <c r="G133" i="8"/>
  <c r="H133" i="8"/>
  <c r="U134" i="8"/>
  <c r="E134" i="8"/>
  <c r="F134" i="8"/>
  <c r="G134" i="8"/>
  <c r="H134" i="8"/>
  <c r="U135" i="8"/>
  <c r="E135" i="8"/>
  <c r="F135" i="8"/>
  <c r="G135" i="8"/>
  <c r="H135" i="8"/>
  <c r="U136" i="8"/>
  <c r="E136" i="8"/>
  <c r="F136" i="8"/>
  <c r="G136" i="8"/>
  <c r="H136" i="8"/>
  <c r="U137" i="8"/>
  <c r="E137" i="8"/>
  <c r="F137" i="8"/>
  <c r="G137" i="8"/>
  <c r="H137" i="8"/>
  <c r="U138" i="8"/>
  <c r="E138" i="8"/>
  <c r="F138" i="8"/>
  <c r="G138" i="8"/>
  <c r="H138" i="8"/>
  <c r="U139" i="8"/>
  <c r="E139" i="8"/>
  <c r="F139" i="8"/>
  <c r="G139" i="8"/>
  <c r="H139" i="8"/>
  <c r="U140" i="8"/>
  <c r="E140" i="8"/>
  <c r="F140" i="8"/>
  <c r="G140" i="8"/>
  <c r="H140" i="8"/>
  <c r="U141" i="8"/>
  <c r="E141" i="8"/>
  <c r="F141" i="8"/>
  <c r="G141" i="8"/>
  <c r="H141" i="8"/>
  <c r="U142" i="8"/>
  <c r="E142" i="8"/>
  <c r="F142" i="8"/>
  <c r="G142" i="8"/>
  <c r="H142" i="8"/>
  <c r="U143" i="8"/>
  <c r="E143" i="8"/>
  <c r="F143" i="8"/>
  <c r="G143" i="8"/>
  <c r="H143" i="8"/>
  <c r="U144" i="8"/>
  <c r="E144" i="8"/>
  <c r="F144" i="8"/>
  <c r="G144" i="8"/>
  <c r="H144" i="8"/>
  <c r="U145" i="8"/>
  <c r="E145" i="8"/>
  <c r="F145" i="8"/>
  <c r="G145" i="8"/>
  <c r="H145" i="8"/>
  <c r="U146" i="8"/>
  <c r="E146" i="8"/>
  <c r="F146" i="8"/>
  <c r="G146" i="8"/>
  <c r="H146" i="8"/>
  <c r="U147" i="8"/>
  <c r="E147" i="8"/>
  <c r="F147" i="8"/>
  <c r="G147" i="8"/>
  <c r="H147" i="8"/>
  <c r="U148" i="8"/>
  <c r="E148" i="8"/>
  <c r="F148" i="8"/>
  <c r="G148" i="8"/>
  <c r="H148" i="8"/>
  <c r="U149" i="8"/>
  <c r="E149" i="8"/>
  <c r="F149" i="8"/>
  <c r="G149" i="8"/>
  <c r="H149" i="8"/>
  <c r="U150" i="8"/>
  <c r="E150" i="8"/>
  <c r="F150" i="8"/>
  <c r="G150" i="8"/>
  <c r="H150" i="8"/>
  <c r="U151" i="8"/>
  <c r="E151" i="8"/>
  <c r="F151" i="8"/>
  <c r="G151" i="8"/>
  <c r="H151" i="8"/>
  <c r="U152" i="8"/>
  <c r="E152" i="8"/>
  <c r="F152" i="8"/>
  <c r="G152" i="8"/>
  <c r="H152" i="8"/>
  <c r="U153" i="8"/>
  <c r="E153" i="8"/>
  <c r="F153" i="8"/>
  <c r="G153" i="8"/>
  <c r="H153" i="8"/>
  <c r="U154" i="8"/>
  <c r="E154" i="8"/>
  <c r="F154" i="8"/>
  <c r="G154" i="8"/>
  <c r="H154" i="8"/>
  <c r="U155" i="8"/>
  <c r="E155" i="8"/>
  <c r="F155" i="8"/>
  <c r="G155" i="8"/>
  <c r="H155" i="8"/>
  <c r="U156" i="8"/>
  <c r="E156" i="8"/>
  <c r="F156" i="8"/>
  <c r="G156" i="8"/>
  <c r="H156" i="8"/>
  <c r="U157" i="8"/>
  <c r="E157" i="8"/>
  <c r="F157" i="8"/>
  <c r="G157" i="8"/>
  <c r="H157" i="8"/>
  <c r="U158" i="8"/>
  <c r="E158" i="8"/>
  <c r="F158" i="8"/>
  <c r="G158" i="8"/>
  <c r="H158" i="8"/>
  <c r="U159" i="8"/>
  <c r="E159" i="8"/>
  <c r="F159" i="8"/>
  <c r="G159" i="8"/>
  <c r="H159" i="8"/>
  <c r="U160" i="8"/>
  <c r="E160" i="8"/>
  <c r="F160" i="8"/>
  <c r="G160" i="8"/>
  <c r="H160" i="8"/>
  <c r="U161" i="8"/>
  <c r="E161" i="8"/>
  <c r="F161" i="8"/>
  <c r="G161" i="8"/>
  <c r="H161" i="8"/>
  <c r="U162" i="8"/>
  <c r="E162" i="8"/>
  <c r="F162" i="8"/>
  <c r="G162" i="8"/>
  <c r="H162" i="8"/>
  <c r="U163" i="8"/>
  <c r="E163" i="8"/>
  <c r="F163" i="8"/>
  <c r="G163" i="8"/>
  <c r="H163" i="8"/>
  <c r="U164" i="8"/>
  <c r="E164" i="8"/>
  <c r="F164" i="8"/>
  <c r="G164" i="8"/>
  <c r="H164" i="8"/>
  <c r="U165" i="8"/>
  <c r="E165" i="8"/>
  <c r="F165" i="8"/>
  <c r="G165" i="8"/>
  <c r="H165" i="8"/>
  <c r="U166" i="8"/>
  <c r="E166" i="8"/>
  <c r="F166" i="8"/>
  <c r="G166" i="8"/>
  <c r="H166" i="8"/>
  <c r="U167" i="8"/>
  <c r="E167" i="8"/>
  <c r="F167" i="8"/>
  <c r="G167" i="8"/>
  <c r="H167" i="8"/>
  <c r="U168" i="8"/>
  <c r="E168" i="8"/>
  <c r="F168" i="8"/>
  <c r="G168" i="8"/>
  <c r="H168" i="8"/>
  <c r="U169" i="8"/>
  <c r="E169" i="8"/>
  <c r="F169" i="8"/>
  <c r="G169" i="8"/>
  <c r="H169" i="8"/>
  <c r="U170" i="8"/>
  <c r="E170" i="8"/>
  <c r="F170" i="8"/>
  <c r="G170" i="8"/>
  <c r="H170" i="8"/>
  <c r="U171" i="8"/>
  <c r="E171" i="8"/>
  <c r="F171" i="8"/>
  <c r="G171" i="8"/>
  <c r="H171" i="8"/>
  <c r="U172" i="8"/>
  <c r="E172" i="8"/>
  <c r="F172" i="8"/>
  <c r="G172" i="8"/>
  <c r="H172" i="8"/>
  <c r="U173" i="8"/>
  <c r="E173" i="8"/>
  <c r="F173" i="8"/>
  <c r="G173" i="8"/>
  <c r="H173" i="8"/>
  <c r="U174" i="8"/>
  <c r="E174" i="8"/>
  <c r="F174" i="8"/>
  <c r="G174" i="8"/>
  <c r="H174" i="8"/>
  <c r="U175" i="8"/>
  <c r="E175" i="8"/>
  <c r="F175" i="8"/>
  <c r="G175" i="8"/>
  <c r="H175" i="8"/>
  <c r="U176" i="8"/>
  <c r="E176" i="8"/>
  <c r="F176" i="8"/>
  <c r="G176" i="8"/>
  <c r="H176" i="8"/>
  <c r="U177" i="8"/>
  <c r="E177" i="8"/>
  <c r="F177" i="8"/>
  <c r="G177" i="8"/>
  <c r="H177" i="8"/>
  <c r="U178" i="8"/>
  <c r="E178" i="8"/>
  <c r="F178" i="8"/>
  <c r="G178" i="8"/>
  <c r="H178" i="8"/>
  <c r="U179" i="8"/>
  <c r="E179" i="8"/>
  <c r="F179" i="8"/>
  <c r="G179" i="8"/>
  <c r="H179" i="8"/>
  <c r="U180" i="8"/>
  <c r="E180" i="8"/>
  <c r="F180" i="8"/>
  <c r="G180" i="8"/>
  <c r="H180" i="8"/>
  <c r="U181" i="8"/>
  <c r="E181" i="8"/>
  <c r="F181" i="8"/>
  <c r="G181" i="8"/>
  <c r="H181" i="8"/>
  <c r="U182" i="8"/>
  <c r="E182" i="8"/>
  <c r="F182" i="8"/>
  <c r="G182" i="8"/>
  <c r="H182" i="8"/>
  <c r="U183" i="8"/>
  <c r="E183" i="8"/>
  <c r="F183" i="8"/>
  <c r="G183" i="8"/>
  <c r="H183" i="8"/>
  <c r="U184" i="8"/>
  <c r="E184" i="8"/>
  <c r="F184" i="8"/>
  <c r="G184" i="8"/>
  <c r="H184" i="8"/>
  <c r="U185" i="8"/>
  <c r="E185" i="8"/>
  <c r="F185" i="8"/>
  <c r="G185" i="8"/>
  <c r="H185" i="8"/>
  <c r="U186" i="8"/>
  <c r="E186" i="8"/>
  <c r="F186" i="8"/>
  <c r="G186" i="8"/>
  <c r="H186" i="8"/>
  <c r="U187" i="8"/>
  <c r="E187" i="8"/>
  <c r="F187" i="8"/>
  <c r="G187" i="8"/>
  <c r="H187" i="8"/>
  <c r="U188" i="8"/>
  <c r="E188" i="8"/>
  <c r="F188" i="8"/>
  <c r="G188" i="8"/>
  <c r="H188" i="8"/>
  <c r="U189" i="8"/>
  <c r="E189" i="8"/>
  <c r="F189" i="8"/>
  <c r="G189" i="8"/>
  <c r="H189" i="8"/>
  <c r="U190" i="8"/>
  <c r="E190" i="8"/>
  <c r="F190" i="8"/>
  <c r="G190" i="8"/>
  <c r="H190" i="8"/>
  <c r="U191" i="8"/>
  <c r="E191" i="8"/>
  <c r="F191" i="8"/>
  <c r="G191" i="8"/>
  <c r="H191" i="8"/>
  <c r="U192" i="8"/>
  <c r="E192" i="8"/>
  <c r="F192" i="8"/>
  <c r="G192" i="8"/>
  <c r="H192" i="8"/>
  <c r="U193" i="8"/>
  <c r="E193" i="8"/>
  <c r="F193" i="8"/>
  <c r="G193" i="8"/>
  <c r="H193" i="8"/>
  <c r="U194" i="8"/>
  <c r="E194" i="8"/>
  <c r="F194" i="8"/>
  <c r="G194" i="8"/>
  <c r="H194" i="8"/>
  <c r="U195" i="8"/>
  <c r="E195" i="8"/>
  <c r="F195" i="8"/>
  <c r="G195" i="8"/>
  <c r="H195" i="8"/>
  <c r="U196" i="8"/>
  <c r="E196" i="8"/>
  <c r="F196" i="8"/>
  <c r="G196" i="8"/>
  <c r="H196" i="8"/>
  <c r="U197" i="8"/>
  <c r="E197" i="8"/>
  <c r="F197" i="8"/>
  <c r="G197" i="8"/>
  <c r="H197" i="8"/>
  <c r="U198" i="8"/>
  <c r="E198" i="8"/>
  <c r="F198" i="8"/>
  <c r="G198" i="8"/>
  <c r="H198" i="8"/>
  <c r="U199" i="8"/>
  <c r="E199" i="8"/>
  <c r="F199" i="8"/>
  <c r="G199" i="8"/>
  <c r="H199" i="8"/>
  <c r="U200" i="8"/>
  <c r="E200" i="8"/>
  <c r="F200" i="8"/>
  <c r="G200" i="8"/>
  <c r="H200" i="8"/>
  <c r="U201" i="8"/>
  <c r="E201" i="8"/>
  <c r="F201" i="8"/>
  <c r="G201" i="8"/>
  <c r="H201" i="8"/>
  <c r="U202" i="8"/>
  <c r="E202" i="8"/>
  <c r="F202" i="8"/>
  <c r="G202" i="8"/>
  <c r="H202" i="8"/>
  <c r="U203" i="8"/>
  <c r="E203" i="8"/>
  <c r="F203" i="8"/>
  <c r="G203" i="8"/>
  <c r="H203" i="8"/>
  <c r="U204" i="8"/>
  <c r="E204" i="8"/>
  <c r="F204" i="8"/>
  <c r="G204" i="8"/>
  <c r="H204" i="8"/>
  <c r="U205" i="8"/>
  <c r="E205" i="8"/>
  <c r="F205" i="8"/>
  <c r="G205" i="8"/>
  <c r="H205" i="8"/>
  <c r="U206" i="8"/>
  <c r="E206" i="8"/>
  <c r="F206" i="8"/>
  <c r="G206" i="8"/>
  <c r="H206" i="8"/>
  <c r="U207" i="8"/>
  <c r="E207" i="8"/>
  <c r="F207" i="8"/>
  <c r="G207" i="8"/>
  <c r="H207" i="8"/>
  <c r="U208" i="8"/>
  <c r="E208" i="8"/>
  <c r="F208" i="8"/>
  <c r="G208" i="8"/>
  <c r="H208" i="8"/>
  <c r="U209" i="8"/>
  <c r="E209" i="8"/>
  <c r="F209" i="8"/>
  <c r="G209" i="8"/>
  <c r="H209" i="8"/>
  <c r="U210" i="8"/>
  <c r="E210" i="8"/>
  <c r="F210" i="8"/>
  <c r="G210" i="8"/>
  <c r="H210" i="8"/>
  <c r="U211" i="8"/>
  <c r="E211" i="8"/>
  <c r="F211" i="8"/>
  <c r="G211" i="8"/>
  <c r="H211" i="8"/>
  <c r="U212" i="8"/>
  <c r="E212" i="8"/>
  <c r="F212" i="8"/>
  <c r="G212" i="8"/>
  <c r="H212" i="8"/>
  <c r="U213" i="8"/>
  <c r="E213" i="8"/>
  <c r="F213" i="8"/>
  <c r="G213" i="8"/>
  <c r="H213" i="8"/>
  <c r="U214" i="8"/>
  <c r="E214" i="8"/>
  <c r="F214" i="8"/>
  <c r="G214" i="8"/>
  <c r="H214" i="8"/>
  <c r="U215" i="8"/>
  <c r="E215" i="8"/>
  <c r="F215" i="8"/>
  <c r="G215" i="8"/>
  <c r="H215" i="8"/>
  <c r="U216" i="8"/>
  <c r="E216" i="8"/>
  <c r="F216" i="8"/>
  <c r="G216" i="8"/>
  <c r="H216" i="8"/>
  <c r="U217" i="8"/>
  <c r="E217" i="8"/>
  <c r="F217" i="8"/>
  <c r="G217" i="8"/>
  <c r="H217" i="8"/>
  <c r="U218" i="8"/>
  <c r="E218" i="8"/>
  <c r="F218" i="8"/>
  <c r="G218" i="8"/>
  <c r="H218" i="8"/>
  <c r="U219" i="8"/>
  <c r="E219" i="8"/>
  <c r="F219" i="8"/>
  <c r="G219" i="8"/>
  <c r="H219" i="8"/>
  <c r="U220" i="8"/>
  <c r="E220" i="8"/>
  <c r="F220" i="8"/>
  <c r="G220" i="8"/>
  <c r="H220" i="8"/>
  <c r="U221" i="8"/>
  <c r="E221" i="8"/>
  <c r="F221" i="8"/>
  <c r="G221" i="8"/>
  <c r="H221" i="8"/>
  <c r="U222" i="8"/>
  <c r="E222" i="8"/>
  <c r="F222" i="8"/>
  <c r="G222" i="8"/>
  <c r="H222" i="8"/>
  <c r="U223" i="8"/>
  <c r="E223" i="8"/>
  <c r="F223" i="8"/>
  <c r="G223" i="8"/>
  <c r="H223" i="8"/>
  <c r="U224" i="8"/>
  <c r="E224" i="8"/>
  <c r="F224" i="8"/>
  <c r="G224" i="8"/>
  <c r="H224" i="8"/>
  <c r="U225" i="8"/>
  <c r="E225" i="8"/>
  <c r="F225" i="8"/>
  <c r="G225" i="8"/>
  <c r="H225" i="8"/>
  <c r="U226" i="8"/>
  <c r="E226" i="8"/>
  <c r="F226" i="8"/>
  <c r="G226" i="8"/>
  <c r="H226" i="8"/>
  <c r="U227" i="8"/>
  <c r="E227" i="8"/>
  <c r="F227" i="8"/>
  <c r="G227" i="8"/>
  <c r="H227" i="8"/>
  <c r="U228" i="8"/>
  <c r="E228" i="8"/>
  <c r="F228" i="8"/>
  <c r="G228" i="8"/>
  <c r="H228" i="8"/>
  <c r="U229" i="8"/>
  <c r="E229" i="8"/>
  <c r="F229" i="8"/>
  <c r="G229" i="8"/>
  <c r="H229" i="8"/>
  <c r="U230" i="8"/>
  <c r="E230" i="8"/>
  <c r="F230" i="8"/>
  <c r="G230" i="8"/>
  <c r="H230" i="8"/>
  <c r="U231" i="8"/>
  <c r="E231" i="8"/>
  <c r="F231" i="8"/>
  <c r="G231" i="8"/>
  <c r="H231" i="8"/>
  <c r="U232" i="8"/>
  <c r="E232" i="8"/>
  <c r="F232" i="8"/>
  <c r="G232" i="8"/>
  <c r="H232" i="8"/>
  <c r="U233" i="8"/>
  <c r="E233" i="8"/>
  <c r="F233" i="8"/>
  <c r="G233" i="8"/>
  <c r="H233" i="8"/>
  <c r="U234" i="8"/>
  <c r="E234" i="8"/>
  <c r="F234" i="8"/>
  <c r="G234" i="8"/>
  <c r="H234" i="8"/>
  <c r="U235" i="8"/>
  <c r="E235" i="8"/>
  <c r="F235" i="8"/>
  <c r="G235" i="8"/>
  <c r="H235" i="8"/>
  <c r="U236" i="8"/>
  <c r="E236" i="8"/>
  <c r="F236" i="8"/>
  <c r="G236" i="8"/>
  <c r="H236" i="8"/>
  <c r="U237" i="8"/>
  <c r="E237" i="8"/>
  <c r="F237" i="8"/>
  <c r="G237" i="8"/>
  <c r="H237" i="8"/>
  <c r="U238" i="8"/>
  <c r="E238" i="8"/>
  <c r="F238" i="8"/>
  <c r="G238" i="8"/>
  <c r="H238" i="8"/>
  <c r="U239" i="8"/>
  <c r="E239" i="8"/>
  <c r="F239" i="8"/>
  <c r="G239" i="8"/>
  <c r="H239" i="8"/>
  <c r="U240" i="8"/>
  <c r="E240" i="8"/>
  <c r="F240" i="8"/>
  <c r="G240" i="8"/>
  <c r="H240" i="8"/>
  <c r="U241" i="8"/>
  <c r="E241" i="8"/>
  <c r="F241" i="8"/>
  <c r="G241" i="8"/>
  <c r="H241" i="8"/>
  <c r="U242" i="8"/>
  <c r="E242" i="8"/>
  <c r="F242" i="8"/>
  <c r="G242" i="8"/>
  <c r="H242" i="8"/>
  <c r="U243" i="8"/>
  <c r="E243" i="8"/>
  <c r="F243" i="8"/>
  <c r="G243" i="8"/>
  <c r="H243" i="8"/>
  <c r="U244" i="8"/>
  <c r="E244" i="8"/>
  <c r="F244" i="8"/>
  <c r="G244" i="8"/>
  <c r="H244" i="8"/>
  <c r="U245" i="8"/>
  <c r="E245" i="8"/>
  <c r="F245" i="8"/>
  <c r="G245" i="8"/>
  <c r="H245" i="8"/>
  <c r="U246" i="8"/>
  <c r="E246" i="8"/>
  <c r="F246" i="8"/>
  <c r="G246" i="8"/>
  <c r="H246" i="8"/>
  <c r="U247" i="8"/>
  <c r="E247" i="8"/>
  <c r="F247" i="8"/>
  <c r="G247" i="8"/>
  <c r="H247" i="8"/>
  <c r="U248" i="8"/>
  <c r="E248" i="8"/>
  <c r="F248" i="8"/>
  <c r="G248" i="8"/>
  <c r="H248" i="8"/>
  <c r="U249" i="8"/>
  <c r="E249" i="8"/>
  <c r="F249" i="8"/>
  <c r="G249" i="8"/>
  <c r="H249" i="8"/>
  <c r="U250" i="8"/>
  <c r="E250" i="8"/>
  <c r="F250" i="8"/>
  <c r="G250" i="8"/>
  <c r="H250" i="8"/>
  <c r="U251" i="8"/>
  <c r="E251" i="8"/>
  <c r="F251" i="8"/>
  <c r="G251" i="8"/>
  <c r="H251" i="8"/>
  <c r="B1" i="8"/>
  <c r="C1" i="8"/>
  <c r="D1" i="8"/>
  <c r="E1" i="8"/>
  <c r="F1" i="8"/>
  <c r="G1" i="8"/>
  <c r="H1" i="8"/>
  <c r="A1" i="8"/>
  <c r="AA1001" i="9"/>
  <c r="AA997" i="9"/>
  <c r="AA993" i="9"/>
  <c r="AA989" i="9"/>
  <c r="AA985" i="9"/>
  <c r="AA981" i="9"/>
  <c r="AA977" i="9"/>
  <c r="AA973" i="9"/>
  <c r="AA969" i="9"/>
  <c r="AA965" i="9"/>
  <c r="AA961" i="9"/>
  <c r="AA957" i="9"/>
  <c r="AA953" i="9"/>
  <c r="AA949" i="9"/>
  <c r="AA945" i="9"/>
  <c r="AA941" i="9"/>
  <c r="AA937" i="9"/>
  <c r="AA933" i="9"/>
  <c r="AA929" i="9"/>
  <c r="AA925" i="9"/>
  <c r="AA921" i="9"/>
  <c r="AA917" i="9"/>
  <c r="AA913" i="9"/>
  <c r="AA909" i="9"/>
  <c r="AA905" i="9"/>
  <c r="AA901" i="9"/>
  <c r="AA897" i="9"/>
  <c r="AA893" i="9"/>
  <c r="AA889" i="9"/>
  <c r="AA885" i="9"/>
  <c r="AA881" i="9"/>
  <c r="AA877" i="9"/>
  <c r="AA873" i="9"/>
  <c r="AA869" i="9"/>
  <c r="AA865" i="9"/>
  <c r="AA861" i="9"/>
  <c r="AA857" i="9"/>
  <c r="AA853" i="9"/>
  <c r="AA849" i="9"/>
  <c r="AA845" i="9"/>
  <c r="AA841" i="9"/>
  <c r="AA837" i="9"/>
  <c r="AA833" i="9"/>
  <c r="AA829" i="9"/>
  <c r="AA825" i="9"/>
  <c r="AA821" i="9"/>
  <c r="AA817" i="9"/>
  <c r="AA813" i="9"/>
  <c r="AA809" i="9"/>
  <c r="AA805" i="9"/>
  <c r="AA801" i="9"/>
  <c r="AA797" i="9"/>
  <c r="AA793" i="9"/>
  <c r="AA789" i="9"/>
  <c r="AA785" i="9"/>
  <c r="AA781" i="9"/>
  <c r="AA777" i="9"/>
  <c r="AA773" i="9"/>
  <c r="AA769" i="9"/>
  <c r="AA765" i="9"/>
  <c r="AA761" i="9"/>
  <c r="AA757" i="9"/>
  <c r="AA753" i="9"/>
  <c r="AA749" i="9"/>
  <c r="AA745" i="9"/>
  <c r="AA741" i="9"/>
  <c r="AA737" i="9"/>
  <c r="AA733" i="9"/>
  <c r="AA729" i="9"/>
  <c r="AA725" i="9"/>
  <c r="AA721" i="9"/>
  <c r="AA717" i="9"/>
  <c r="AA713" i="9"/>
  <c r="AA709" i="9"/>
  <c r="AA705" i="9"/>
  <c r="AA701" i="9"/>
  <c r="AA697" i="9"/>
  <c r="AA693" i="9"/>
  <c r="AA689" i="9"/>
  <c r="AA685" i="9"/>
  <c r="AA681" i="9"/>
  <c r="AA677" i="9"/>
  <c r="AA673" i="9"/>
  <c r="AA669" i="9"/>
  <c r="AA665" i="9"/>
  <c r="AA661" i="9"/>
  <c r="AA657" i="9"/>
  <c r="AA653" i="9"/>
  <c r="AA649" i="9"/>
  <c r="AA645" i="9"/>
  <c r="AA641" i="9"/>
  <c r="AA637" i="9"/>
  <c r="AA633" i="9"/>
  <c r="AA629" i="9"/>
  <c r="AA625" i="9"/>
  <c r="AA621" i="9"/>
  <c r="AA617" i="9"/>
  <c r="AA613" i="9"/>
  <c r="AA609" i="9"/>
  <c r="AA605" i="9"/>
  <c r="AA601" i="9"/>
  <c r="AA597" i="9"/>
  <c r="AA593" i="9"/>
  <c r="AA589" i="9"/>
  <c r="AA585" i="9"/>
  <c r="AA581" i="9"/>
  <c r="AA577" i="9"/>
  <c r="AA573" i="9"/>
  <c r="AA569" i="9"/>
  <c r="AA565" i="9"/>
  <c r="AA561" i="9"/>
  <c r="AA557" i="9"/>
  <c r="AA553" i="9"/>
  <c r="AA549" i="9"/>
  <c r="AA545" i="9"/>
  <c r="AA541" i="9"/>
  <c r="AA537" i="9"/>
  <c r="AA533" i="9"/>
  <c r="AA529" i="9"/>
  <c r="AA525" i="9"/>
  <c r="AA521" i="9"/>
  <c r="AA517" i="9"/>
  <c r="AA513" i="9"/>
  <c r="AA509" i="9"/>
  <c r="AA505" i="9"/>
  <c r="AA501" i="9"/>
  <c r="AA497" i="9"/>
  <c r="AA493" i="9"/>
  <c r="AA489" i="9"/>
  <c r="AA485" i="9"/>
  <c r="AA481" i="9"/>
  <c r="AA477" i="9"/>
  <c r="AA473" i="9"/>
  <c r="AA469" i="9"/>
  <c r="AA465" i="9"/>
  <c r="AA461" i="9"/>
  <c r="AA457" i="9"/>
  <c r="AA453" i="9"/>
  <c r="AA449" i="9"/>
  <c r="AA445" i="9"/>
  <c r="AA441" i="9"/>
  <c r="AA437" i="9"/>
  <c r="AA433" i="9"/>
  <c r="AA429" i="9"/>
  <c r="AA425" i="9"/>
  <c r="AA421" i="9"/>
  <c r="AA417" i="9"/>
  <c r="AA413" i="9"/>
  <c r="AA409" i="9"/>
  <c r="AA405" i="9"/>
  <c r="AA401" i="9"/>
  <c r="AA397" i="9"/>
  <c r="AA393" i="9"/>
  <c r="AA389" i="9"/>
  <c r="AA385" i="9"/>
  <c r="AA381" i="9"/>
  <c r="AA377" i="9"/>
  <c r="AA373" i="9"/>
  <c r="AA369" i="9"/>
  <c r="AA365" i="9"/>
  <c r="AA361" i="9"/>
  <c r="AA357" i="9"/>
  <c r="AA353" i="9"/>
  <c r="AA349" i="9"/>
  <c r="AA345" i="9"/>
  <c r="AA341" i="9"/>
  <c r="AA337" i="9"/>
  <c r="AA333" i="9"/>
  <c r="AA329" i="9"/>
  <c r="AA325" i="9"/>
  <c r="AA321" i="9"/>
  <c r="AA317" i="9"/>
  <c r="AA313" i="9"/>
  <c r="AA309" i="9"/>
  <c r="AA305" i="9"/>
  <c r="AA301" i="9"/>
  <c r="AA297" i="9"/>
  <c r="AA293" i="9"/>
  <c r="AA289" i="9"/>
  <c r="AA285" i="9"/>
  <c r="AA281" i="9"/>
  <c r="AA277" i="9"/>
  <c r="AA273" i="9"/>
  <c r="AA269" i="9"/>
  <c r="AA265" i="9"/>
  <c r="AA261" i="9"/>
  <c r="AA257" i="9"/>
  <c r="AA253" i="9"/>
  <c r="AA249" i="9"/>
  <c r="AA245" i="9"/>
  <c r="AA241" i="9"/>
  <c r="AA237" i="9"/>
  <c r="AA233" i="9"/>
  <c r="AA229" i="9"/>
  <c r="AA225" i="9"/>
  <c r="AA221" i="9"/>
  <c r="AA217" i="9"/>
  <c r="AA213" i="9"/>
  <c r="AA209" i="9"/>
  <c r="AA205" i="9"/>
  <c r="AA201" i="9"/>
  <c r="AA197" i="9"/>
  <c r="AA193" i="9"/>
  <c r="AA189" i="9"/>
  <c r="AA185" i="9"/>
  <c r="AA181" i="9"/>
  <c r="AA177" i="9"/>
  <c r="AA173" i="9"/>
  <c r="AA169" i="9"/>
  <c r="AA165" i="9"/>
  <c r="AA161" i="9"/>
  <c r="AA157" i="9"/>
  <c r="AA153" i="9"/>
  <c r="AA149" i="9"/>
  <c r="AA145" i="9"/>
  <c r="AA141" i="9"/>
  <c r="AA137" i="9"/>
  <c r="AA133" i="9"/>
  <c r="AA129" i="9"/>
  <c r="AA125" i="9"/>
  <c r="AA121" i="9"/>
  <c r="AA117" i="9"/>
  <c r="AA113" i="9"/>
  <c r="AA109" i="9"/>
  <c r="AA105" i="9"/>
  <c r="AA101" i="9"/>
  <c r="AA97" i="9"/>
  <c r="AA93" i="9"/>
  <c r="AA89" i="9"/>
  <c r="AA85" i="9"/>
  <c r="AA81" i="9"/>
  <c r="AA77" i="9"/>
  <c r="AA73" i="9"/>
  <c r="AA69" i="9"/>
  <c r="AA65" i="9"/>
  <c r="AA61" i="9"/>
  <c r="AA57" i="9"/>
  <c r="AA53" i="9"/>
  <c r="AA49" i="9"/>
  <c r="AA45" i="9"/>
  <c r="AA41" i="9"/>
  <c r="AA37" i="9"/>
  <c r="AA33" i="9"/>
  <c r="AA29" i="9"/>
  <c r="AA25" i="9"/>
  <c r="AA634" i="9"/>
  <c r="AA630" i="9"/>
  <c r="AA626" i="9"/>
  <c r="AA622" i="9"/>
  <c r="AA618" i="9"/>
  <c r="AA614" i="9"/>
  <c r="AA610" i="9"/>
  <c r="AA606" i="9"/>
  <c r="AA602" i="9"/>
  <c r="AA598" i="9"/>
  <c r="AA594" i="9"/>
  <c r="AA590" i="9"/>
  <c r="AA586" i="9"/>
  <c r="AA582" i="9"/>
  <c r="AA578" i="9"/>
  <c r="AA574" i="9"/>
  <c r="AA570" i="9"/>
  <c r="AA566" i="9"/>
  <c r="AA562" i="9"/>
  <c r="AA558" i="9"/>
  <c r="AA554" i="9"/>
  <c r="AA550" i="9"/>
  <c r="AA546" i="9"/>
  <c r="AA542" i="9"/>
  <c r="AA538" i="9"/>
  <c r="AA534" i="9"/>
  <c r="AA530" i="9"/>
  <c r="AA526" i="9"/>
  <c r="AA522" i="9"/>
  <c r="AA518" i="9"/>
  <c r="AA514" i="9"/>
  <c r="AA510" i="9"/>
  <c r="AA506" i="9"/>
  <c r="AA502" i="9"/>
  <c r="AA498" i="9"/>
  <c r="AA494" i="9"/>
  <c r="AA490" i="9"/>
  <c r="AA486" i="9"/>
  <c r="AA482" i="9"/>
  <c r="AA478" i="9"/>
  <c r="AA474" i="9"/>
  <c r="AA470" i="9"/>
  <c r="AA466" i="9"/>
  <c r="AA462" i="9"/>
  <c r="AA458" i="9"/>
  <c r="AA454" i="9"/>
  <c r="AA450" i="9"/>
  <c r="AA446" i="9"/>
  <c r="AA442" i="9"/>
  <c r="AA438" i="9"/>
  <c r="AA434" i="9"/>
  <c r="AA430" i="9"/>
  <c r="AA426" i="9"/>
  <c r="AA422" i="9"/>
  <c r="AA418" i="9"/>
  <c r="AA414" i="9"/>
  <c r="AA410" i="9"/>
  <c r="AA406" i="9"/>
  <c r="AA402" i="9"/>
  <c r="AA398" i="9"/>
  <c r="AA394" i="9"/>
  <c r="AA390" i="9"/>
  <c r="AA386" i="9"/>
  <c r="AA382" i="9"/>
  <c r="AA378" i="9"/>
  <c r="AA374" i="9"/>
  <c r="AA370" i="9"/>
  <c r="AA366" i="9"/>
  <c r="AA362" i="9"/>
  <c r="AA358" i="9"/>
  <c r="AA354" i="9"/>
  <c r="AA350" i="9"/>
  <c r="AA346" i="9"/>
  <c r="AA342" i="9"/>
  <c r="AA338" i="9"/>
  <c r="AA334" i="9"/>
  <c r="AA330" i="9"/>
  <c r="AA326" i="9"/>
  <c r="AA322" i="9"/>
  <c r="AA318" i="9"/>
  <c r="AA314" i="9"/>
  <c r="AA310" i="9"/>
  <c r="AA306" i="9"/>
  <c r="AA302" i="9"/>
  <c r="AA298" i="9"/>
  <c r="AA294" i="9"/>
  <c r="AA290" i="9"/>
  <c r="AA286" i="9"/>
  <c r="AA282" i="9"/>
  <c r="AA278" i="9"/>
  <c r="AA274" i="9"/>
  <c r="AA270" i="9"/>
  <c r="AA266" i="9"/>
  <c r="AA262" i="9"/>
  <c r="AA258" i="9"/>
  <c r="AA254" i="9"/>
  <c r="AA250" i="9"/>
  <c r="AA246" i="9"/>
  <c r="AA242" i="9"/>
  <c r="AA238" i="9"/>
  <c r="AA234" i="9"/>
  <c r="AA230" i="9"/>
  <c r="AA226" i="9"/>
  <c r="AA222" i="9"/>
  <c r="AA218" i="9"/>
  <c r="AA214" i="9"/>
  <c r="AA210" i="9"/>
  <c r="AA206" i="9"/>
  <c r="AA202" i="9"/>
  <c r="AA198" i="9"/>
  <c r="AA194" i="9"/>
  <c r="AA190" i="9"/>
  <c r="AA186" i="9"/>
  <c r="AA182" i="9"/>
  <c r="AA178" i="9"/>
  <c r="AA174" i="9"/>
  <c r="AA170" i="9"/>
  <c r="AA166" i="9"/>
  <c r="AA162" i="9"/>
  <c r="AA158" i="9"/>
  <c r="AA154" i="9"/>
  <c r="AA150" i="9"/>
  <c r="AA146" i="9"/>
  <c r="AA142" i="9"/>
  <c r="AA138" i="9"/>
  <c r="AA134" i="9"/>
  <c r="AA130" i="9"/>
  <c r="AA126" i="9"/>
  <c r="AA122" i="9"/>
  <c r="AA118" i="9"/>
  <c r="AA114" i="9"/>
  <c r="AA110" i="9"/>
  <c r="AA106" i="9"/>
  <c r="AA102" i="9"/>
  <c r="AA98" i="9"/>
  <c r="AA94" i="9"/>
  <c r="AA90" i="9"/>
  <c r="AA86" i="9"/>
  <c r="AA82" i="9"/>
  <c r="AA78" i="9"/>
  <c r="AA74" i="9"/>
  <c r="AA70" i="9"/>
  <c r="AA66" i="9"/>
  <c r="AA62" i="9"/>
  <c r="AA58" i="9"/>
  <c r="AA54" i="9"/>
  <c r="AA50" i="9"/>
  <c r="AA46" i="9"/>
  <c r="AA42" i="9"/>
  <c r="AA38" i="9"/>
  <c r="AA34" i="9"/>
  <c r="AA30" i="9"/>
  <c r="AA26" i="9"/>
  <c r="AA22" i="9"/>
  <c r="AA994" i="9"/>
  <c r="AA982" i="9"/>
  <c r="AA974" i="9"/>
  <c r="AA966" i="9"/>
  <c r="AA954" i="9"/>
  <c r="AA946" i="9"/>
  <c r="AA934" i="9"/>
  <c r="AA926" i="9"/>
  <c r="AA914" i="9"/>
  <c r="AA906" i="9"/>
  <c r="AA898" i="9"/>
  <c r="AA886" i="9"/>
  <c r="AA874" i="9"/>
  <c r="AA866" i="9"/>
  <c r="AA858" i="9"/>
  <c r="AA846" i="9"/>
  <c r="AA834" i="9"/>
  <c r="AA822" i="9"/>
  <c r="AA814" i="9"/>
  <c r="AA802" i="9"/>
  <c r="AA790" i="9"/>
  <c r="AA778" i="9"/>
  <c r="AA766" i="9"/>
  <c r="AA758" i="9"/>
  <c r="AA746" i="9"/>
  <c r="AA734" i="9"/>
  <c r="AA722" i="9"/>
  <c r="AA710" i="9"/>
  <c r="AA702" i="9"/>
  <c r="AA690" i="9"/>
  <c r="AA682" i="9"/>
  <c r="AA674" i="9"/>
  <c r="AA662" i="9"/>
  <c r="AA650" i="9"/>
  <c r="AA999" i="9"/>
  <c r="AA995" i="9"/>
  <c r="AA991" i="9"/>
  <c r="AA987" i="9"/>
  <c r="AA983" i="9"/>
  <c r="AA979" i="9"/>
  <c r="AA975" i="9"/>
  <c r="AA971" i="9"/>
  <c r="AA967" i="9"/>
  <c r="AA963" i="9"/>
  <c r="AA959" i="9"/>
  <c r="AA955" i="9"/>
  <c r="AA951" i="9"/>
  <c r="AA947" i="9"/>
  <c r="AA943" i="9"/>
  <c r="AA939" i="9"/>
  <c r="AA935" i="9"/>
  <c r="AA931" i="9"/>
  <c r="AA927" i="9"/>
  <c r="AA923" i="9"/>
  <c r="AA919" i="9"/>
  <c r="AA915" i="9"/>
  <c r="AA911" i="9"/>
  <c r="AA907" i="9"/>
  <c r="AA903" i="9"/>
  <c r="AA899" i="9"/>
  <c r="AA895" i="9"/>
  <c r="AA891" i="9"/>
  <c r="AA887" i="9"/>
  <c r="AA883" i="9"/>
  <c r="AA879" i="9"/>
  <c r="AA875" i="9"/>
  <c r="AA871" i="9"/>
  <c r="AA867" i="9"/>
  <c r="AA863" i="9"/>
  <c r="AA859" i="9"/>
  <c r="AA855" i="9"/>
  <c r="AA851" i="9"/>
  <c r="AA847" i="9"/>
  <c r="AA843" i="9"/>
  <c r="AA839" i="9"/>
  <c r="AA835" i="9"/>
  <c r="AA831" i="9"/>
  <c r="AA827" i="9"/>
  <c r="AA823" i="9"/>
  <c r="AA819" i="9"/>
  <c r="AA815" i="9"/>
  <c r="AA811" i="9"/>
  <c r="AA807" i="9"/>
  <c r="AA803" i="9"/>
  <c r="AA799" i="9"/>
  <c r="AA795" i="9"/>
  <c r="AA791" i="9"/>
  <c r="AA787" i="9"/>
  <c r="AA783" i="9"/>
  <c r="AA779" i="9"/>
  <c r="AA775" i="9"/>
  <c r="AA771" i="9"/>
  <c r="AA767" i="9"/>
  <c r="AA763" i="9"/>
  <c r="AA759" i="9"/>
  <c r="AA755" i="9"/>
  <c r="AA751" i="9"/>
  <c r="AA747" i="9"/>
  <c r="AA743" i="9"/>
  <c r="AA739" i="9"/>
  <c r="AA735" i="9"/>
  <c r="AA731" i="9"/>
  <c r="AA727" i="9"/>
  <c r="AA723" i="9"/>
  <c r="AA719" i="9"/>
  <c r="AA715" i="9"/>
  <c r="AA711" i="9"/>
  <c r="AA707" i="9"/>
  <c r="AA703" i="9"/>
  <c r="AA699" i="9"/>
  <c r="AA695" i="9"/>
  <c r="AA691" i="9"/>
  <c r="AA687" i="9"/>
  <c r="AA683" i="9"/>
  <c r="AA679" i="9"/>
  <c r="AA675" i="9"/>
  <c r="AA671" i="9"/>
  <c r="AA667" i="9"/>
  <c r="AA663" i="9"/>
  <c r="AA659" i="9"/>
  <c r="AA655" i="9"/>
  <c r="AA651" i="9"/>
  <c r="AA647" i="9"/>
  <c r="AA643" i="9"/>
  <c r="AA639" i="9"/>
  <c r="AA635" i="9"/>
  <c r="AA631" i="9"/>
  <c r="AA627" i="9"/>
  <c r="AA623" i="9"/>
  <c r="AA619" i="9"/>
  <c r="AA615" i="9"/>
  <c r="AA611" i="9"/>
  <c r="AA607" i="9"/>
  <c r="AA603" i="9"/>
  <c r="AA599" i="9"/>
  <c r="AA595" i="9"/>
  <c r="AA591" i="9"/>
  <c r="AA587" i="9"/>
  <c r="AA583" i="9"/>
  <c r="AA579" i="9"/>
  <c r="AA575" i="9"/>
  <c r="AA571" i="9"/>
  <c r="AA567" i="9"/>
  <c r="AA563" i="9"/>
  <c r="AA559" i="9"/>
  <c r="AA555" i="9"/>
  <c r="AA551" i="9"/>
  <c r="AA547" i="9"/>
  <c r="AA543" i="9"/>
  <c r="AA539" i="9"/>
  <c r="AA535" i="9"/>
  <c r="AA531" i="9"/>
  <c r="AA527" i="9"/>
  <c r="AA523" i="9"/>
  <c r="AA519" i="9"/>
  <c r="AA515" i="9"/>
  <c r="AA511" i="9"/>
  <c r="AA507" i="9"/>
  <c r="AA503" i="9"/>
  <c r="AA499" i="9"/>
  <c r="AA495" i="9"/>
  <c r="AA491" i="9"/>
  <c r="AA487" i="9"/>
  <c r="AA483" i="9"/>
  <c r="AA479" i="9"/>
  <c r="AA475" i="9"/>
  <c r="AA471" i="9"/>
  <c r="AA467" i="9"/>
  <c r="AA463" i="9"/>
  <c r="AA459" i="9"/>
  <c r="AA455" i="9"/>
  <c r="AA451" i="9"/>
  <c r="AA447" i="9"/>
  <c r="AA443" i="9"/>
  <c r="AA439" i="9"/>
  <c r="AA435" i="9"/>
  <c r="AA431" i="9"/>
  <c r="AA427" i="9"/>
  <c r="AA423" i="9"/>
  <c r="AA419" i="9"/>
  <c r="AA415" i="9"/>
  <c r="AA411" i="9"/>
  <c r="AA407" i="9"/>
  <c r="AA403" i="9"/>
  <c r="AA399" i="9"/>
  <c r="AA395" i="9"/>
  <c r="AA391" i="9"/>
  <c r="AA387" i="9"/>
  <c r="AA383" i="9"/>
  <c r="AA379" i="9"/>
  <c r="AA375" i="9"/>
  <c r="AA371" i="9"/>
  <c r="AA367" i="9"/>
  <c r="AA363" i="9"/>
  <c r="AA359" i="9"/>
  <c r="AA355" i="9"/>
  <c r="AA351" i="9"/>
  <c r="AA347" i="9"/>
  <c r="AA343" i="9"/>
  <c r="AA339" i="9"/>
  <c r="AA335" i="9"/>
  <c r="AA331" i="9"/>
  <c r="AA327" i="9"/>
  <c r="AA323" i="9"/>
  <c r="AA319" i="9"/>
  <c r="AA315" i="9"/>
  <c r="AA311" i="9"/>
  <c r="AA307" i="9"/>
  <c r="AA303" i="9"/>
  <c r="AA299" i="9"/>
  <c r="AA295" i="9"/>
  <c r="AA291" i="9"/>
  <c r="AA287" i="9"/>
  <c r="AA283" i="9"/>
  <c r="AA279" i="9"/>
  <c r="AA275" i="9"/>
  <c r="AA271" i="9"/>
  <c r="AA267" i="9"/>
  <c r="AA263" i="9"/>
  <c r="AA259" i="9"/>
  <c r="AA255" i="9"/>
  <c r="AA251" i="9"/>
  <c r="AA247" i="9"/>
  <c r="AA243" i="9"/>
  <c r="AA239" i="9"/>
  <c r="AA235" i="9"/>
  <c r="AA231" i="9"/>
  <c r="AA227" i="9"/>
  <c r="AA223" i="9"/>
  <c r="AA219" i="9"/>
  <c r="AA215" i="9"/>
  <c r="AA211" i="9"/>
  <c r="AA207" i="9"/>
  <c r="AA203" i="9"/>
  <c r="AA199" i="9"/>
  <c r="AA195" i="9"/>
  <c r="AA191" i="9"/>
  <c r="AA187" i="9"/>
  <c r="AA183" i="9"/>
  <c r="AA179" i="9"/>
  <c r="AA175" i="9"/>
  <c r="AA171" i="9"/>
  <c r="AA167" i="9"/>
  <c r="AA163" i="9"/>
  <c r="AA159" i="9"/>
  <c r="AA155" i="9"/>
  <c r="AA151" i="9"/>
  <c r="AA147" i="9"/>
  <c r="AA143" i="9"/>
  <c r="AA139" i="9"/>
  <c r="AA135" i="9"/>
  <c r="AA131" i="9"/>
  <c r="AA127" i="9"/>
  <c r="AA123" i="9"/>
  <c r="AA119" i="9"/>
  <c r="AA115" i="9"/>
  <c r="AA111" i="9"/>
  <c r="AA107" i="9"/>
  <c r="AA103" i="9"/>
  <c r="AA99" i="9"/>
  <c r="AA95" i="9"/>
  <c r="AA91" i="9"/>
  <c r="AA87" i="9"/>
  <c r="AA83" i="9"/>
  <c r="AA79" i="9"/>
  <c r="AA75" i="9"/>
  <c r="AA71" i="9"/>
  <c r="AA67" i="9"/>
  <c r="AA63" i="9"/>
  <c r="AA59" i="9"/>
  <c r="AA55" i="9"/>
  <c r="AA51" i="9"/>
  <c r="AA47" i="9"/>
  <c r="AA43" i="9"/>
  <c r="AA39" i="9"/>
  <c r="AA35" i="9"/>
  <c r="AA31" i="9"/>
  <c r="AA27" i="9"/>
  <c r="AA23" i="9"/>
  <c r="AA998" i="9"/>
  <c r="AA990" i="9"/>
  <c r="AA986" i="9"/>
  <c r="AA978" i="9"/>
  <c r="AA970" i="9"/>
  <c r="AA962" i="9"/>
  <c r="AA958" i="9"/>
  <c r="AA950" i="9"/>
  <c r="AA942" i="9"/>
  <c r="AA938" i="9"/>
  <c r="AA930" i="9"/>
  <c r="AA922" i="9"/>
  <c r="AA918" i="9"/>
  <c r="AA910" i="9"/>
  <c r="AA902" i="9"/>
  <c r="AA894" i="9"/>
  <c r="AA890" i="9"/>
  <c r="AA882" i="9"/>
  <c r="AA878" i="9"/>
  <c r="AA870" i="9"/>
  <c r="AA862" i="9"/>
  <c r="AA854" i="9"/>
  <c r="AA850" i="9"/>
  <c r="AA842" i="9"/>
  <c r="AA838" i="9"/>
  <c r="AA830" i="9"/>
  <c r="AA826" i="9"/>
  <c r="AA818" i="9"/>
  <c r="AA810" i="9"/>
  <c r="AA806" i="9"/>
  <c r="AA798" i="9"/>
  <c r="AA794" i="9"/>
  <c r="AA786" i="9"/>
  <c r="AA782" i="9"/>
  <c r="AA774" i="9"/>
  <c r="AA770" i="9"/>
  <c r="AA762" i="9"/>
  <c r="AA754" i="9"/>
  <c r="AA750" i="9"/>
  <c r="AA742" i="9"/>
  <c r="AA738" i="9"/>
  <c r="AA730" i="9"/>
  <c r="AA726" i="9"/>
  <c r="AA718" i="9"/>
  <c r="AA714" i="9"/>
  <c r="AA706" i="9"/>
  <c r="AA698" i="9"/>
  <c r="AA694" i="9"/>
  <c r="AA686" i="9"/>
  <c r="AA678" i="9"/>
  <c r="AA670" i="9"/>
  <c r="AA666" i="9"/>
  <c r="AA658" i="9"/>
  <c r="AA654" i="9"/>
  <c r="AA646" i="9"/>
  <c r="AA642" i="9"/>
  <c r="AA638" i="9"/>
  <c r="AA1000" i="9"/>
  <c r="AA996" i="9"/>
  <c r="AA992" i="9"/>
  <c r="AA988" i="9"/>
  <c r="AA984" i="9"/>
  <c r="AA980" i="9"/>
  <c r="AA976" i="9"/>
  <c r="AA972" i="9"/>
  <c r="AA968" i="9"/>
  <c r="AA964" i="9"/>
  <c r="AA960" i="9"/>
  <c r="AA956" i="9"/>
  <c r="AA952" i="9"/>
  <c r="AA948" i="9"/>
  <c r="AA944" i="9"/>
  <c r="AA940" i="9"/>
  <c r="AA936" i="9"/>
  <c r="AA932" i="9"/>
  <c r="AA928" i="9"/>
  <c r="AA924" i="9"/>
  <c r="AA920" i="9"/>
  <c r="AA916" i="9"/>
  <c r="AA912" i="9"/>
  <c r="AA908" i="9"/>
  <c r="AA904" i="9"/>
  <c r="AA900" i="9"/>
  <c r="AA896" i="9"/>
  <c r="AA892" i="9"/>
  <c r="AA888" i="9"/>
  <c r="AA884" i="9"/>
  <c r="AA880" i="9"/>
  <c r="AA876" i="9"/>
  <c r="AA872" i="9"/>
  <c r="AA868" i="9"/>
  <c r="AA864" i="9"/>
  <c r="AA860" i="9"/>
  <c r="AA856" i="9"/>
  <c r="AA852" i="9"/>
  <c r="AA848" i="9"/>
  <c r="AA844" i="9"/>
  <c r="AA840" i="9"/>
  <c r="AA836" i="9"/>
  <c r="AA832" i="9"/>
  <c r="AA828" i="9"/>
  <c r="AA824" i="9"/>
  <c r="AA820" i="9"/>
  <c r="AA816" i="9"/>
  <c r="AA812" i="9"/>
  <c r="AA808" i="9"/>
  <c r="AA804" i="9"/>
  <c r="AA800" i="9"/>
  <c r="AA796" i="9"/>
  <c r="AA792" i="9"/>
  <c r="AA788" i="9"/>
  <c r="AA784" i="9"/>
  <c r="AA780" i="9"/>
  <c r="AA776" i="9"/>
  <c r="AA772" i="9"/>
  <c r="AA768" i="9"/>
  <c r="AA764" i="9"/>
  <c r="AA760" i="9"/>
  <c r="AA756" i="9"/>
  <c r="AA752" i="9"/>
  <c r="AA748" i="9"/>
  <c r="AA744" i="9"/>
  <c r="AA740" i="9"/>
  <c r="AA736" i="9"/>
  <c r="AA732" i="9"/>
  <c r="AA728" i="9"/>
  <c r="AA724" i="9"/>
  <c r="AA720" i="9"/>
  <c r="AA716" i="9"/>
  <c r="AA712" i="9"/>
  <c r="AA708" i="9"/>
  <c r="AA704" i="9"/>
  <c r="AA700" i="9"/>
  <c r="AA696" i="9"/>
  <c r="AA692" i="9"/>
  <c r="AA688" i="9"/>
  <c r="AA684" i="9"/>
  <c r="AA680" i="9"/>
  <c r="AA676" i="9"/>
  <c r="AA672" i="9"/>
  <c r="AA668" i="9"/>
  <c r="AA664" i="9"/>
  <c r="AA660" i="9"/>
  <c r="AA656" i="9"/>
  <c r="AA652" i="9"/>
  <c r="AA648" i="9"/>
  <c r="AA644" i="9"/>
  <c r="AA640" i="9"/>
  <c r="AA636" i="9"/>
  <c r="AA632" i="9"/>
  <c r="AA628" i="9"/>
  <c r="AA624" i="9"/>
  <c r="AA620" i="9"/>
  <c r="AA616" i="9"/>
  <c r="AA612" i="9"/>
  <c r="AA608" i="9"/>
  <c r="AA604" i="9"/>
  <c r="AA600" i="9"/>
  <c r="AA596" i="9"/>
  <c r="AA592" i="9"/>
  <c r="AA588" i="9"/>
  <c r="AA584" i="9"/>
  <c r="AA580" i="9"/>
  <c r="AA576" i="9"/>
  <c r="AA572" i="9"/>
  <c r="AA568" i="9"/>
  <c r="AA564" i="9"/>
  <c r="AA560" i="9"/>
  <c r="AA556" i="9"/>
  <c r="AA552" i="9"/>
  <c r="AA548" i="9"/>
  <c r="AA544" i="9"/>
  <c r="AA540" i="9"/>
  <c r="AA536" i="9"/>
  <c r="AA532" i="9"/>
  <c r="AA528" i="9"/>
  <c r="AA524" i="9"/>
  <c r="AA520" i="9"/>
  <c r="AA516" i="9"/>
  <c r="AA512" i="9"/>
  <c r="AA508" i="9"/>
  <c r="AA504" i="9"/>
  <c r="AA500" i="9"/>
  <c r="AA496" i="9"/>
  <c r="AA492" i="9"/>
  <c r="AA488" i="9"/>
  <c r="AA484" i="9"/>
  <c r="AA480" i="9"/>
  <c r="AA476" i="9"/>
  <c r="AA472" i="9"/>
  <c r="AA468" i="9"/>
  <c r="AA464" i="9"/>
  <c r="AA460" i="9"/>
  <c r="AA456" i="9"/>
  <c r="AA452" i="9"/>
  <c r="AA448" i="9"/>
  <c r="AA444" i="9"/>
  <c r="AA440" i="9"/>
  <c r="AA436" i="9"/>
  <c r="AA432" i="9"/>
  <c r="AA428" i="9"/>
  <c r="AA424" i="9"/>
  <c r="AA420" i="9"/>
  <c r="AA416" i="9"/>
  <c r="AA412" i="9"/>
  <c r="AA408" i="9"/>
  <c r="AA404" i="9"/>
  <c r="AA400" i="9"/>
  <c r="AA396" i="9"/>
  <c r="AA392" i="9"/>
  <c r="AA388" i="9"/>
  <c r="AA384" i="9"/>
  <c r="AA380" i="9"/>
  <c r="AA376" i="9"/>
  <c r="AA372" i="9"/>
  <c r="AA368" i="9"/>
  <c r="AA364" i="9"/>
  <c r="AA360" i="9"/>
  <c r="AA356" i="9"/>
  <c r="AA352" i="9"/>
  <c r="AA348" i="9"/>
  <c r="AA344" i="9"/>
  <c r="AA340" i="9"/>
  <c r="AA336" i="9"/>
  <c r="AA332" i="9"/>
  <c r="AA328" i="9"/>
  <c r="AA324" i="9"/>
  <c r="AA320" i="9"/>
  <c r="AA316" i="9"/>
  <c r="AA312" i="9"/>
  <c r="AA308" i="9"/>
  <c r="AA304" i="9"/>
  <c r="AA300" i="9"/>
  <c r="AA296" i="9"/>
  <c r="AA292" i="9"/>
  <c r="AA288" i="9"/>
  <c r="AA284" i="9"/>
  <c r="AA280" i="9"/>
  <c r="AA276" i="9"/>
  <c r="AA272" i="9"/>
  <c r="AA268" i="9"/>
  <c r="AA264" i="9"/>
  <c r="AA260" i="9"/>
  <c r="AA256" i="9"/>
  <c r="AA252" i="9"/>
  <c r="AA248" i="9"/>
  <c r="AA244" i="9"/>
  <c r="AA240" i="9"/>
  <c r="AA236" i="9"/>
  <c r="AA232" i="9"/>
  <c r="AA228" i="9"/>
  <c r="AA224" i="9"/>
  <c r="AA220" i="9"/>
  <c r="AA216" i="9"/>
  <c r="AA212" i="9"/>
  <c r="AA208" i="9"/>
  <c r="AA204" i="9"/>
  <c r="AA200" i="9"/>
  <c r="AA196" i="9"/>
  <c r="AA192" i="9"/>
  <c r="AA188" i="9"/>
  <c r="AA184" i="9"/>
  <c r="AA180" i="9"/>
  <c r="AA176" i="9"/>
  <c r="AA172" i="9"/>
  <c r="AA168" i="9"/>
  <c r="AA164" i="9"/>
  <c r="AA160" i="9"/>
  <c r="AA156" i="9"/>
  <c r="AA152" i="9"/>
  <c r="AA148" i="9"/>
  <c r="AA144" i="9"/>
  <c r="AA140" i="9"/>
  <c r="AA136" i="9"/>
  <c r="AA132" i="9"/>
  <c r="AA128" i="9"/>
  <c r="AA124" i="9"/>
  <c r="AA120" i="9"/>
  <c r="AA116" i="9"/>
  <c r="AA112" i="9"/>
  <c r="AA108" i="9"/>
  <c r="AA104" i="9"/>
  <c r="AA100" i="9"/>
  <c r="AA96" i="9"/>
  <c r="AA92" i="9"/>
  <c r="AA88" i="9"/>
  <c r="AA84" i="9"/>
  <c r="AA80" i="9"/>
  <c r="AA76" i="9"/>
  <c r="AA72" i="9"/>
  <c r="AA68" i="9"/>
  <c r="AA64" i="9"/>
  <c r="AA60" i="9"/>
  <c r="AA56" i="9"/>
  <c r="AA52" i="9"/>
  <c r="AA48" i="9"/>
  <c r="AA44" i="9"/>
  <c r="AA40" i="9"/>
  <c r="AA36" i="9"/>
  <c r="AA32" i="9"/>
  <c r="AA28" i="9"/>
  <c r="AA24" i="9"/>
  <c r="V993" i="9"/>
  <c r="V985" i="9"/>
  <c r="V969" i="9"/>
  <c r="V961" i="9"/>
  <c r="V945" i="9"/>
  <c r="V937" i="9"/>
  <c r="V917" i="9"/>
  <c r="V909" i="9"/>
  <c r="V901" i="9"/>
  <c r="V885" i="9"/>
  <c r="V877" i="9"/>
  <c r="V869" i="9"/>
  <c r="V861" i="9"/>
  <c r="V849" i="9"/>
  <c r="V841" i="9"/>
  <c r="V837" i="9"/>
  <c r="V829" i="9"/>
  <c r="V817" i="9"/>
  <c r="V809" i="9"/>
  <c r="V797" i="9"/>
  <c r="V785" i="9"/>
  <c r="V773" i="9"/>
  <c r="V765" i="9"/>
  <c r="V745" i="9"/>
  <c r="V737" i="9"/>
  <c r="V729" i="9"/>
  <c r="V721" i="9"/>
  <c r="V713" i="9"/>
  <c r="V701" i="9"/>
  <c r="V693" i="9"/>
  <c r="V685" i="9"/>
  <c r="V677" i="9"/>
  <c r="V665" i="9"/>
  <c r="V657" i="9"/>
  <c r="V637" i="9"/>
  <c r="V629" i="9"/>
  <c r="V617" i="9"/>
  <c r="V597" i="9"/>
  <c r="V585" i="9"/>
  <c r="V577" i="9"/>
  <c r="V565" i="9"/>
  <c r="V557" i="9"/>
  <c r="V545" i="9"/>
  <c r="V537" i="9"/>
  <c r="V521" i="9"/>
  <c r="V509" i="9"/>
  <c r="V485" i="9"/>
  <c r="V481" i="9"/>
  <c r="V457" i="9"/>
  <c r="V437" i="9"/>
  <c r="V429" i="9"/>
  <c r="V421" i="9"/>
  <c r="V409" i="9"/>
  <c r="V401" i="9"/>
  <c r="V393" i="9"/>
  <c r="V385" i="9"/>
  <c r="V365" i="9"/>
  <c r="V361" i="9"/>
  <c r="V349" i="9"/>
  <c r="V341" i="9"/>
  <c r="V337" i="9"/>
  <c r="V321" i="9"/>
  <c r="V313" i="9"/>
  <c r="V305" i="9"/>
  <c r="V297" i="9"/>
  <c r="V289" i="9"/>
  <c r="V281" i="9"/>
  <c r="V273" i="9"/>
  <c r="V261" i="9"/>
  <c r="V253" i="9"/>
  <c r="V237" i="9"/>
  <c r="V229" i="9"/>
  <c r="V221" i="9"/>
  <c r="V213" i="9"/>
  <c r="V205" i="9"/>
  <c r="V193" i="9"/>
  <c r="V185" i="9"/>
  <c r="V177" i="9"/>
  <c r="V169" i="9"/>
  <c r="V161" i="9"/>
  <c r="V153" i="9"/>
  <c r="V145" i="9"/>
  <c r="V125" i="9"/>
  <c r="V109" i="9"/>
  <c r="V101" i="9"/>
  <c r="V89" i="9"/>
  <c r="V81" i="9"/>
  <c r="V73" i="9"/>
  <c r="V65" i="9"/>
  <c r="V53" i="9"/>
  <c r="V25" i="9"/>
  <c r="V998" i="9"/>
  <c r="V994" i="9"/>
  <c r="V990" i="9"/>
  <c r="V986" i="9"/>
  <c r="V982" i="9"/>
  <c r="V978" i="9"/>
  <c r="V974" i="9"/>
  <c r="V970" i="9"/>
  <c r="V966" i="9"/>
  <c r="V962" i="9"/>
  <c r="V958" i="9"/>
  <c r="V954" i="9"/>
  <c r="V950" i="9"/>
  <c r="V946" i="9"/>
  <c r="V942" i="9"/>
  <c r="V938" i="9"/>
  <c r="V934" i="9"/>
  <c r="V930" i="9"/>
  <c r="V926" i="9"/>
  <c r="V922" i="9"/>
  <c r="V918" i="9"/>
  <c r="V914" i="9"/>
  <c r="V910" i="9"/>
  <c r="V906" i="9"/>
  <c r="V902" i="9"/>
  <c r="V898" i="9"/>
  <c r="V894" i="9"/>
  <c r="V890" i="9"/>
  <c r="V886" i="9"/>
  <c r="V882" i="9"/>
  <c r="V878" i="9"/>
  <c r="V874" i="9"/>
  <c r="V870" i="9"/>
  <c r="V866" i="9"/>
  <c r="V862" i="9"/>
  <c r="V858" i="9"/>
  <c r="V854" i="9"/>
  <c r="V850" i="9"/>
  <c r="V846" i="9"/>
  <c r="V842" i="9"/>
  <c r="V838" i="9"/>
  <c r="V834" i="9"/>
  <c r="V830" i="9"/>
  <c r="V826" i="9"/>
  <c r="V822" i="9"/>
  <c r="V818" i="9"/>
  <c r="V814" i="9"/>
  <c r="V810" i="9"/>
  <c r="V806" i="9"/>
  <c r="V802" i="9"/>
  <c r="V798" i="9"/>
  <c r="V794" i="9"/>
  <c r="V790" i="9"/>
  <c r="V786" i="9"/>
  <c r="V782" i="9"/>
  <c r="V778" i="9"/>
  <c r="V774" i="9"/>
  <c r="V770" i="9"/>
  <c r="V766" i="9"/>
  <c r="V762" i="9"/>
  <c r="V758" i="9"/>
  <c r="V754" i="9"/>
  <c r="V750" i="9"/>
  <c r="V746" i="9"/>
  <c r="V742" i="9"/>
  <c r="V738" i="9"/>
  <c r="V734" i="9"/>
  <c r="V730" i="9"/>
  <c r="V726" i="9"/>
  <c r="V722" i="9"/>
  <c r="V718" i="9"/>
  <c r="V714" i="9"/>
  <c r="V710" i="9"/>
  <c r="V706" i="9"/>
  <c r="V702" i="9"/>
  <c r="V698" i="9"/>
  <c r="V694" i="9"/>
  <c r="V690" i="9"/>
  <c r="V686" i="9"/>
  <c r="V682" i="9"/>
  <c r="V678" i="9"/>
  <c r="V674" i="9"/>
  <c r="V670" i="9"/>
  <c r="V666" i="9"/>
  <c r="V662" i="9"/>
  <c r="V658" i="9"/>
  <c r="V654" i="9"/>
  <c r="V650" i="9"/>
  <c r="V646" i="9"/>
  <c r="V642" i="9"/>
  <c r="V638" i="9"/>
  <c r="V634" i="9"/>
  <c r="V630" i="9"/>
  <c r="V626" i="9"/>
  <c r="V622" i="9"/>
  <c r="V618" i="9"/>
  <c r="V614" i="9"/>
  <c r="V610" i="9"/>
  <c r="V606" i="9"/>
  <c r="V602" i="9"/>
  <c r="V598" i="9"/>
  <c r="V594" i="9"/>
  <c r="V590" i="9"/>
  <c r="V586" i="9"/>
  <c r="V582" i="9"/>
  <c r="V578" i="9"/>
  <c r="V574" i="9"/>
  <c r="V570" i="9"/>
  <c r="V566" i="9"/>
  <c r="V562" i="9"/>
  <c r="V558" i="9"/>
  <c r="V554" i="9"/>
  <c r="V550" i="9"/>
  <c r="V546" i="9"/>
  <c r="V542" i="9"/>
  <c r="V538" i="9"/>
  <c r="V534" i="9"/>
  <c r="V530" i="9"/>
  <c r="V526" i="9"/>
  <c r="V522" i="9"/>
  <c r="V518" i="9"/>
  <c r="V514" i="9"/>
  <c r="V510" i="9"/>
  <c r="V506" i="9"/>
  <c r="V502" i="9"/>
  <c r="V498" i="9"/>
  <c r="V494" i="9"/>
  <c r="V490" i="9"/>
  <c r="V486" i="9"/>
  <c r="V482" i="9"/>
  <c r="V478" i="9"/>
  <c r="V474" i="9"/>
  <c r="V470" i="9"/>
  <c r="V466" i="9"/>
  <c r="V462" i="9"/>
  <c r="V458" i="9"/>
  <c r="V454" i="9"/>
  <c r="V450" i="9"/>
  <c r="V446" i="9"/>
  <c r="V442" i="9"/>
  <c r="V438" i="9"/>
  <c r="V434" i="9"/>
  <c r="V430" i="9"/>
  <c r="V426" i="9"/>
  <c r="V422" i="9"/>
  <c r="V418" i="9"/>
  <c r="V414" i="9"/>
  <c r="V410" i="9"/>
  <c r="V406" i="9"/>
  <c r="V402" i="9"/>
  <c r="V398" i="9"/>
  <c r="V394" i="9"/>
  <c r="V390" i="9"/>
  <c r="V386" i="9"/>
  <c r="V382" i="9"/>
  <c r="V378" i="9"/>
  <c r="V374" i="9"/>
  <c r="V370" i="9"/>
  <c r="V366" i="9"/>
  <c r="V362" i="9"/>
  <c r="V358" i="9"/>
  <c r="V354" i="9"/>
  <c r="V350" i="9"/>
  <c r="V346" i="9"/>
  <c r="V342" i="9"/>
  <c r="V338" i="9"/>
  <c r="V334" i="9"/>
  <c r="V330" i="9"/>
  <c r="V326" i="9"/>
  <c r="V322" i="9"/>
  <c r="V318" i="9"/>
  <c r="V314" i="9"/>
  <c r="V310" i="9"/>
  <c r="V306" i="9"/>
  <c r="V302" i="9"/>
  <c r="V298" i="9"/>
  <c r="V294" i="9"/>
  <c r="V290" i="9"/>
  <c r="V286" i="9"/>
  <c r="V282" i="9"/>
  <c r="V278" i="9"/>
  <c r="V274" i="9"/>
  <c r="V270" i="9"/>
  <c r="V266" i="9"/>
  <c r="V262" i="9"/>
  <c r="V258" i="9"/>
  <c r="V254" i="9"/>
  <c r="V250" i="9"/>
  <c r="V246" i="9"/>
  <c r="V242" i="9"/>
  <c r="V238" i="9"/>
  <c r="V234" i="9"/>
  <c r="V230" i="9"/>
  <c r="V226" i="9"/>
  <c r="V222" i="9"/>
  <c r="V218" i="9"/>
  <c r="V214" i="9"/>
  <c r="V210" i="9"/>
  <c r="V206" i="9"/>
  <c r="V202" i="9"/>
  <c r="V198" i="9"/>
  <c r="V194" i="9"/>
  <c r="V190" i="9"/>
  <c r="V186" i="9"/>
  <c r="V182" i="9"/>
  <c r="V178" i="9"/>
  <c r="V174" i="9"/>
  <c r="V170" i="9"/>
  <c r="V166" i="9"/>
  <c r="V162" i="9"/>
  <c r="V158" i="9"/>
  <c r="V154" i="9"/>
  <c r="V150" i="9"/>
  <c r="V146" i="9"/>
  <c r="V142" i="9"/>
  <c r="V138" i="9"/>
  <c r="V134" i="9"/>
  <c r="V130" i="9"/>
  <c r="V126" i="9"/>
  <c r="V122" i="9"/>
  <c r="V118" i="9"/>
  <c r="V114" i="9"/>
  <c r="V110" i="9"/>
  <c r="V106" i="9"/>
  <c r="V102" i="9"/>
  <c r="V98" i="9"/>
  <c r="V94" i="9"/>
  <c r="V90" i="9"/>
  <c r="V86" i="9"/>
  <c r="V82" i="9"/>
  <c r="V78" i="9"/>
  <c r="V74" i="9"/>
  <c r="V70" i="9"/>
  <c r="V66" i="9"/>
  <c r="V62" i="9"/>
  <c r="V58" i="9"/>
  <c r="V54" i="9"/>
  <c r="V50" i="9"/>
  <c r="V46" i="9"/>
  <c r="V42" i="9"/>
  <c r="V38" i="9"/>
  <c r="V34" i="9"/>
  <c r="V30" i="9"/>
  <c r="V26" i="9"/>
  <c r="V22" i="9"/>
  <c r="V997" i="9"/>
  <c r="V989" i="9"/>
  <c r="V973" i="9"/>
  <c r="V965" i="9"/>
  <c r="V957" i="9"/>
  <c r="V953" i="9"/>
  <c r="V941" i="9"/>
  <c r="V933" i="9"/>
  <c r="V929" i="9"/>
  <c r="V913" i="9"/>
  <c r="V905" i="9"/>
  <c r="V881" i="9"/>
  <c r="V873" i="9"/>
  <c r="V865" i="9"/>
  <c r="V845" i="9"/>
  <c r="V833" i="9"/>
  <c r="V821" i="9"/>
  <c r="V813" i="9"/>
  <c r="V801" i="9"/>
  <c r="V793" i="9"/>
  <c r="V789" i="9"/>
  <c r="V777" i="9"/>
  <c r="V769" i="9"/>
  <c r="V761" i="9"/>
  <c r="V753" i="9"/>
  <c r="V749" i="9"/>
  <c r="V741" i="9"/>
  <c r="V725" i="9"/>
  <c r="V717" i="9"/>
  <c r="V697" i="9"/>
  <c r="V689" i="9"/>
  <c r="V681" i="9"/>
  <c r="V669" i="9"/>
  <c r="V661" i="9"/>
  <c r="V653" i="9"/>
  <c r="V649" i="9"/>
  <c r="V641" i="9"/>
  <c r="V633" i="9"/>
  <c r="V621" i="9"/>
  <c r="V613" i="9"/>
  <c r="V609" i="9"/>
  <c r="V601" i="9"/>
  <c r="V593" i="9"/>
  <c r="V589" i="9"/>
  <c r="V581" i="9"/>
  <c r="V569" i="9"/>
  <c r="V561" i="9"/>
  <c r="V549" i="9"/>
  <c r="V541" i="9"/>
  <c r="V525" i="9"/>
  <c r="V517" i="9"/>
  <c r="V513" i="9"/>
  <c r="V493" i="9"/>
  <c r="V489" i="9"/>
  <c r="V477" i="9"/>
  <c r="V473" i="9"/>
  <c r="V465" i="9"/>
  <c r="V461" i="9"/>
  <c r="V453" i="9"/>
  <c r="V445" i="9"/>
  <c r="V433" i="9"/>
  <c r="V425" i="9"/>
  <c r="V413" i="9"/>
  <c r="V405" i="9"/>
  <c r="V397" i="9"/>
  <c r="V389" i="9"/>
  <c r="V381" i="9"/>
  <c r="V357" i="9"/>
  <c r="V353" i="9"/>
  <c r="V345" i="9"/>
  <c r="V333" i="9"/>
  <c r="V329" i="9"/>
  <c r="V317" i="9"/>
  <c r="V309" i="9"/>
  <c r="V293" i="9"/>
  <c r="V285" i="9"/>
  <c r="V269" i="9"/>
  <c r="V265" i="9"/>
  <c r="V257" i="9"/>
  <c r="V249" i="9"/>
  <c r="V245" i="9"/>
  <c r="V233" i="9"/>
  <c r="V225" i="9"/>
  <c r="V217" i="9"/>
  <c r="V209" i="9"/>
  <c r="V197" i="9"/>
  <c r="V189" i="9"/>
  <c r="V173" i="9"/>
  <c r="V165" i="9"/>
  <c r="V157" i="9"/>
  <c r="V149" i="9"/>
  <c r="V141" i="9"/>
  <c r="V137" i="9"/>
  <c r="V129" i="9"/>
  <c r="V121" i="9"/>
  <c r="V117" i="9"/>
  <c r="V105" i="9"/>
  <c r="V85" i="9"/>
  <c r="V77" i="9"/>
  <c r="V69" i="9"/>
  <c r="V61" i="9"/>
  <c r="V49" i="9"/>
  <c r="V33" i="9"/>
  <c r="V999" i="9"/>
  <c r="V995" i="9"/>
  <c r="V991" i="9"/>
  <c r="V987" i="9"/>
  <c r="V983" i="9"/>
  <c r="V979" i="9"/>
  <c r="V975" i="9"/>
  <c r="V971" i="9"/>
  <c r="V967" i="9"/>
  <c r="V963" i="9"/>
  <c r="V959" i="9"/>
  <c r="V955" i="9"/>
  <c r="V951" i="9"/>
  <c r="V947" i="9"/>
  <c r="V943" i="9"/>
  <c r="V939" i="9"/>
  <c r="V935" i="9"/>
  <c r="V931" i="9"/>
  <c r="V927" i="9"/>
  <c r="V923" i="9"/>
  <c r="V919" i="9"/>
  <c r="V915" i="9"/>
  <c r="V911" i="9"/>
  <c r="V907" i="9"/>
  <c r="V903" i="9"/>
  <c r="V899" i="9"/>
  <c r="V895" i="9"/>
  <c r="V891" i="9"/>
  <c r="V887" i="9"/>
  <c r="V883" i="9"/>
  <c r="V879" i="9"/>
  <c r="V875" i="9"/>
  <c r="V871" i="9"/>
  <c r="V867" i="9"/>
  <c r="V863" i="9"/>
  <c r="V859" i="9"/>
  <c r="V855" i="9"/>
  <c r="V851" i="9"/>
  <c r="V847" i="9"/>
  <c r="V843" i="9"/>
  <c r="V839" i="9"/>
  <c r="V835" i="9"/>
  <c r="V831" i="9"/>
  <c r="V827" i="9"/>
  <c r="V823" i="9"/>
  <c r="V819" i="9"/>
  <c r="V815" i="9"/>
  <c r="V811" i="9"/>
  <c r="V807" i="9"/>
  <c r="V803" i="9"/>
  <c r="V799" i="9"/>
  <c r="V795" i="9"/>
  <c r="V791" i="9"/>
  <c r="V787" i="9"/>
  <c r="V783" i="9"/>
  <c r="V779" i="9"/>
  <c r="V775" i="9"/>
  <c r="V771" i="9"/>
  <c r="V767" i="9"/>
  <c r="V763" i="9"/>
  <c r="V759" i="9"/>
  <c r="V755" i="9"/>
  <c r="V751" i="9"/>
  <c r="V747" i="9"/>
  <c r="V743" i="9"/>
  <c r="V739" i="9"/>
  <c r="V735" i="9"/>
  <c r="V731" i="9"/>
  <c r="V727" i="9"/>
  <c r="V723" i="9"/>
  <c r="V719" i="9"/>
  <c r="V715" i="9"/>
  <c r="V711" i="9"/>
  <c r="V707" i="9"/>
  <c r="V703" i="9"/>
  <c r="V699" i="9"/>
  <c r="V695" i="9"/>
  <c r="V691" i="9"/>
  <c r="V687" i="9"/>
  <c r="V683" i="9"/>
  <c r="V679" i="9"/>
  <c r="V675" i="9"/>
  <c r="V671" i="9"/>
  <c r="V667" i="9"/>
  <c r="V663" i="9"/>
  <c r="V659" i="9"/>
  <c r="V655" i="9"/>
  <c r="V651" i="9"/>
  <c r="V647" i="9"/>
  <c r="V643" i="9"/>
  <c r="V639" i="9"/>
  <c r="V635" i="9"/>
  <c r="V631" i="9"/>
  <c r="V627" i="9"/>
  <c r="V623" i="9"/>
  <c r="V619" i="9"/>
  <c r="V615" i="9"/>
  <c r="V611" i="9"/>
  <c r="V607" i="9"/>
  <c r="V603" i="9"/>
  <c r="V599" i="9"/>
  <c r="V595" i="9"/>
  <c r="V591" i="9"/>
  <c r="V587" i="9"/>
  <c r="V583" i="9"/>
  <c r="V579" i="9"/>
  <c r="V575" i="9"/>
  <c r="V571" i="9"/>
  <c r="V567" i="9"/>
  <c r="V563" i="9"/>
  <c r="V559" i="9"/>
  <c r="V555" i="9"/>
  <c r="V551" i="9"/>
  <c r="V547" i="9"/>
  <c r="V543" i="9"/>
  <c r="V539" i="9"/>
  <c r="V535" i="9"/>
  <c r="V531" i="9"/>
  <c r="V527" i="9"/>
  <c r="V523" i="9"/>
  <c r="V519" i="9"/>
  <c r="V515" i="9"/>
  <c r="V511" i="9"/>
  <c r="V507" i="9"/>
  <c r="V503" i="9"/>
  <c r="V499" i="9"/>
  <c r="V495" i="9"/>
  <c r="V491" i="9"/>
  <c r="V487" i="9"/>
  <c r="V483" i="9"/>
  <c r="V479" i="9"/>
  <c r="V475" i="9"/>
  <c r="V471" i="9"/>
  <c r="V467" i="9"/>
  <c r="V463" i="9"/>
  <c r="V459" i="9"/>
  <c r="V455" i="9"/>
  <c r="V451" i="9"/>
  <c r="V447" i="9"/>
  <c r="V443" i="9"/>
  <c r="V439" i="9"/>
  <c r="V435" i="9"/>
  <c r="V431" i="9"/>
  <c r="V427" i="9"/>
  <c r="V423" i="9"/>
  <c r="V419" i="9"/>
  <c r="V415" i="9"/>
  <c r="V411" i="9"/>
  <c r="V407" i="9"/>
  <c r="V403" i="9"/>
  <c r="V399" i="9"/>
  <c r="V395" i="9"/>
  <c r="V391" i="9"/>
  <c r="V387" i="9"/>
  <c r="V383" i="9"/>
  <c r="V379" i="9"/>
  <c r="V375" i="9"/>
  <c r="V371" i="9"/>
  <c r="V367" i="9"/>
  <c r="V363" i="9"/>
  <c r="V359" i="9"/>
  <c r="V355" i="9"/>
  <c r="V351" i="9"/>
  <c r="V347" i="9"/>
  <c r="V343" i="9"/>
  <c r="V339" i="9"/>
  <c r="V335" i="9"/>
  <c r="V331" i="9"/>
  <c r="V327" i="9"/>
  <c r="V323" i="9"/>
  <c r="V319" i="9"/>
  <c r="V315" i="9"/>
  <c r="V311" i="9"/>
  <c r="V307" i="9"/>
  <c r="V303" i="9"/>
  <c r="V299" i="9"/>
  <c r="V295" i="9"/>
  <c r="V291" i="9"/>
  <c r="V287" i="9"/>
  <c r="V283" i="9"/>
  <c r="V279" i="9"/>
  <c r="V275" i="9"/>
  <c r="V271" i="9"/>
  <c r="V267" i="9"/>
  <c r="V263" i="9"/>
  <c r="V259" i="9"/>
  <c r="V255" i="9"/>
  <c r="V251" i="9"/>
  <c r="V247" i="9"/>
  <c r="V243" i="9"/>
  <c r="V239" i="9"/>
  <c r="V235" i="9"/>
  <c r="V231" i="9"/>
  <c r="V227" i="9"/>
  <c r="V223" i="9"/>
  <c r="V219" i="9"/>
  <c r="V215" i="9"/>
  <c r="V211" i="9"/>
  <c r="V207" i="9"/>
  <c r="V203" i="9"/>
  <c r="V199" i="9"/>
  <c r="V195" i="9"/>
  <c r="V191" i="9"/>
  <c r="V187" i="9"/>
  <c r="V183" i="9"/>
  <c r="V179" i="9"/>
  <c r="V175" i="9"/>
  <c r="V171" i="9"/>
  <c r="V167" i="9"/>
  <c r="V163" i="9"/>
  <c r="V159" i="9"/>
  <c r="V155" i="9"/>
  <c r="V151" i="9"/>
  <c r="V147" i="9"/>
  <c r="V143" i="9"/>
  <c r="V139" i="9"/>
  <c r="V135" i="9"/>
  <c r="V131" i="9"/>
  <c r="V127" i="9"/>
  <c r="V123" i="9"/>
  <c r="V119" i="9"/>
  <c r="V115" i="9"/>
  <c r="V111" i="9"/>
  <c r="V107" i="9"/>
  <c r="V103" i="9"/>
  <c r="V99" i="9"/>
  <c r="V95" i="9"/>
  <c r="V91" i="9"/>
  <c r="V87" i="9"/>
  <c r="V83" i="9"/>
  <c r="V79" i="9"/>
  <c r="V75" i="9"/>
  <c r="V71" i="9"/>
  <c r="V67" i="9"/>
  <c r="V63" i="9"/>
  <c r="V59" i="9"/>
  <c r="V55" i="9"/>
  <c r="V51" i="9"/>
  <c r="V47" i="9"/>
  <c r="V43" i="9"/>
  <c r="V39" i="9"/>
  <c r="V35" i="9"/>
  <c r="V31" i="9"/>
  <c r="V27" i="9"/>
  <c r="V23" i="9"/>
  <c r="V1001" i="9"/>
  <c r="V981" i="9"/>
  <c r="V977" i="9"/>
  <c r="V949" i="9"/>
  <c r="V925" i="9"/>
  <c r="V921" i="9"/>
  <c r="V897" i="9"/>
  <c r="V893" i="9"/>
  <c r="V889" i="9"/>
  <c r="V857" i="9"/>
  <c r="V853" i="9"/>
  <c r="V825" i="9"/>
  <c r="V805" i="9"/>
  <c r="V781" i="9"/>
  <c r="V757" i="9"/>
  <c r="V733" i="9"/>
  <c r="V709" i="9"/>
  <c r="V705" i="9"/>
  <c r="V673" i="9"/>
  <c r="V645" i="9"/>
  <c r="V625" i="9"/>
  <c r="V605" i="9"/>
  <c r="V573" i="9"/>
  <c r="V553" i="9"/>
  <c r="V533" i="9"/>
  <c r="V529" i="9"/>
  <c r="V505" i="9"/>
  <c r="V501" i="9"/>
  <c r="V497" i="9"/>
  <c r="V469" i="9"/>
  <c r="V449" i="9"/>
  <c r="V441" i="9"/>
  <c r="V417" i="9"/>
  <c r="V377" i="9"/>
  <c r="V373" i="9"/>
  <c r="V369" i="9"/>
  <c r="V325" i="9"/>
  <c r="V301" i="9"/>
  <c r="V277" i="9"/>
  <c r="V241" i="9"/>
  <c r="V201" i="9"/>
  <c r="V181" i="9"/>
  <c r="V133" i="9"/>
  <c r="V113" i="9"/>
  <c r="V97" i="9"/>
  <c r="V93" i="9"/>
  <c r="V57" i="9"/>
  <c r="V45" i="9"/>
  <c r="V41" i="9"/>
  <c r="V37" i="9"/>
  <c r="V29" i="9"/>
  <c r="V1000" i="9"/>
  <c r="V996" i="9"/>
  <c r="V992" i="9"/>
  <c r="V988" i="9"/>
  <c r="V984" i="9"/>
  <c r="V980" i="9"/>
  <c r="V976" i="9"/>
  <c r="V972" i="9"/>
  <c r="V968" i="9"/>
  <c r="V964" i="9"/>
  <c r="V960" i="9"/>
  <c r="V956" i="9"/>
  <c r="V952" i="9"/>
  <c r="V948" i="9"/>
  <c r="V944" i="9"/>
  <c r="V940" i="9"/>
  <c r="V936" i="9"/>
  <c r="V932" i="9"/>
  <c r="V928" i="9"/>
  <c r="V924" i="9"/>
  <c r="V920" i="9"/>
  <c r="V916" i="9"/>
  <c r="V912" i="9"/>
  <c r="V908" i="9"/>
  <c r="V904" i="9"/>
  <c r="V900" i="9"/>
  <c r="V896" i="9"/>
  <c r="V892" i="9"/>
  <c r="V888" i="9"/>
  <c r="V884" i="9"/>
  <c r="V880" i="9"/>
  <c r="V876" i="9"/>
  <c r="V872" i="9"/>
  <c r="V868" i="9"/>
  <c r="V864" i="9"/>
  <c r="V860" i="9"/>
  <c r="V856" i="9"/>
  <c r="V852" i="9"/>
  <c r="V848" i="9"/>
  <c r="V844" i="9"/>
  <c r="V840" i="9"/>
  <c r="V836" i="9"/>
  <c r="V832" i="9"/>
  <c r="V828" i="9"/>
  <c r="V824" i="9"/>
  <c r="V820" i="9"/>
  <c r="V816" i="9"/>
  <c r="V812" i="9"/>
  <c r="V808" i="9"/>
  <c r="V804" i="9"/>
  <c r="V800" i="9"/>
  <c r="V796" i="9"/>
  <c r="V792" i="9"/>
  <c r="V788" i="9"/>
  <c r="V784" i="9"/>
  <c r="V780" i="9"/>
  <c r="V776" i="9"/>
  <c r="V772" i="9"/>
  <c r="V768" i="9"/>
  <c r="V764" i="9"/>
  <c r="V760" i="9"/>
  <c r="V756" i="9"/>
  <c r="V752" i="9"/>
  <c r="V748" i="9"/>
  <c r="V744" i="9"/>
  <c r="V740" i="9"/>
  <c r="V736" i="9"/>
  <c r="V732" i="9"/>
  <c r="V728" i="9"/>
  <c r="V724" i="9"/>
  <c r="V720" i="9"/>
  <c r="V716" i="9"/>
  <c r="V712" i="9"/>
  <c r="V708" i="9"/>
  <c r="V704" i="9"/>
  <c r="V700" i="9"/>
  <c r="V696" i="9"/>
  <c r="V692" i="9"/>
  <c r="V688" i="9"/>
  <c r="V684" i="9"/>
  <c r="V680" i="9"/>
  <c r="V676" i="9"/>
  <c r="V672" i="9"/>
  <c r="V668" i="9"/>
  <c r="V664" i="9"/>
  <c r="V660" i="9"/>
  <c r="V656" i="9"/>
  <c r="V652" i="9"/>
  <c r="V648" i="9"/>
  <c r="V644" i="9"/>
  <c r="V640" i="9"/>
  <c r="V636" i="9"/>
  <c r="V632" i="9"/>
  <c r="V628" i="9"/>
  <c r="V624" i="9"/>
  <c r="V620" i="9"/>
  <c r="V616" i="9"/>
  <c r="V612" i="9"/>
  <c r="V608" i="9"/>
  <c r="V604" i="9"/>
  <c r="V600" i="9"/>
  <c r="V596" i="9"/>
  <c r="V592" i="9"/>
  <c r="V588" i="9"/>
  <c r="V584" i="9"/>
  <c r="V580" i="9"/>
  <c r="V576" i="9"/>
  <c r="V572" i="9"/>
  <c r="V568" i="9"/>
  <c r="V564" i="9"/>
  <c r="V560" i="9"/>
  <c r="V556" i="9"/>
  <c r="V552" i="9"/>
  <c r="V548" i="9"/>
  <c r="V544" i="9"/>
  <c r="V540" i="9"/>
  <c r="V536" i="9"/>
  <c r="V532" i="9"/>
  <c r="V528" i="9"/>
  <c r="V524" i="9"/>
  <c r="V520" i="9"/>
  <c r="V516" i="9"/>
  <c r="V512" i="9"/>
  <c r="V508" i="9"/>
  <c r="V504" i="9"/>
  <c r="V500" i="9"/>
  <c r="V496" i="9"/>
  <c r="V492" i="9"/>
  <c r="V488" i="9"/>
  <c r="V484" i="9"/>
  <c r="V480" i="9"/>
  <c r="V476" i="9"/>
  <c r="V472" i="9"/>
  <c r="V468" i="9"/>
  <c r="V464" i="9"/>
  <c r="V460" i="9"/>
  <c r="V456" i="9"/>
  <c r="V452" i="9"/>
  <c r="V448" i="9"/>
  <c r="V444" i="9"/>
  <c r="V440" i="9"/>
  <c r="V436" i="9"/>
  <c r="V432" i="9"/>
  <c r="V428" i="9"/>
  <c r="V424" i="9"/>
  <c r="V420" i="9"/>
  <c r="V416" i="9"/>
  <c r="V412" i="9"/>
  <c r="V408" i="9"/>
  <c r="V404" i="9"/>
  <c r="V400" i="9"/>
  <c r="V396" i="9"/>
  <c r="V392" i="9"/>
  <c r="V388" i="9"/>
  <c r="V384" i="9"/>
  <c r="V380" i="9"/>
  <c r="V376" i="9"/>
  <c r="V372" i="9"/>
  <c r="V368" i="9"/>
  <c r="V364" i="9"/>
  <c r="V360" i="9"/>
  <c r="V356" i="9"/>
  <c r="V352" i="9"/>
  <c r="V348" i="9"/>
  <c r="V344" i="9"/>
  <c r="V340" i="9"/>
  <c r="V336" i="9"/>
  <c r="V332" i="9"/>
  <c r="V328" i="9"/>
  <c r="V324" i="9"/>
  <c r="V320" i="9"/>
  <c r="V316" i="9"/>
  <c r="V312" i="9"/>
  <c r="V308" i="9"/>
  <c r="V304" i="9"/>
  <c r="V300" i="9"/>
  <c r="V296" i="9"/>
  <c r="V292" i="9"/>
  <c r="V288" i="9"/>
  <c r="V284" i="9"/>
  <c r="V280" i="9"/>
  <c r="V276" i="9"/>
  <c r="V272" i="9"/>
  <c r="V268" i="9"/>
  <c r="V264" i="9"/>
  <c r="V260" i="9"/>
  <c r="V256" i="9"/>
  <c r="V252" i="9"/>
  <c r="V248" i="9"/>
  <c r="V244" i="9"/>
  <c r="V240" i="9"/>
  <c r="V236" i="9"/>
  <c r="V232" i="9"/>
  <c r="V228" i="9"/>
  <c r="V224" i="9"/>
  <c r="V220" i="9"/>
  <c r="V216" i="9"/>
  <c r="V212" i="9"/>
  <c r="V208" i="9"/>
  <c r="V204" i="9"/>
  <c r="V200" i="9"/>
  <c r="V196" i="9"/>
  <c r="V192" i="9"/>
  <c r="V188" i="9"/>
  <c r="V184" i="9"/>
  <c r="V180" i="9"/>
  <c r="V176" i="9"/>
  <c r="V172" i="9"/>
  <c r="V168" i="9"/>
  <c r="V164" i="9"/>
  <c r="V160" i="9"/>
  <c r="V156" i="9"/>
  <c r="V152" i="9"/>
  <c r="V148" i="9"/>
  <c r="V144" i="9"/>
  <c r="V140" i="9"/>
  <c r="V136" i="9"/>
  <c r="V132" i="9"/>
  <c r="V128" i="9"/>
  <c r="V124" i="9"/>
  <c r="V120" i="9"/>
  <c r="V116" i="9"/>
  <c r="V112" i="9"/>
  <c r="V108" i="9"/>
  <c r="V104" i="9"/>
  <c r="V100" i="9"/>
  <c r="V96" i="9"/>
  <c r="V92" i="9"/>
  <c r="V88" i="9"/>
  <c r="V84" i="9"/>
  <c r="V80" i="9"/>
  <c r="V76" i="9"/>
  <c r="V72" i="9"/>
  <c r="V68" i="9"/>
  <c r="V64" i="9"/>
  <c r="V60" i="9"/>
  <c r="V56" i="9"/>
  <c r="V52" i="9"/>
  <c r="V48" i="9"/>
  <c r="V44" i="9"/>
  <c r="V40" i="9"/>
  <c r="V36" i="9"/>
  <c r="V32" i="9"/>
  <c r="V28" i="9"/>
  <c r="V24" i="9"/>
  <c r="T1001" i="9"/>
  <c r="T1000" i="9"/>
  <c r="T999" i="9"/>
  <c r="T998" i="9"/>
  <c r="T997" i="9"/>
  <c r="T996" i="9"/>
  <c r="T995" i="9"/>
  <c r="T994" i="9"/>
  <c r="T993" i="9"/>
  <c r="T992" i="9"/>
  <c r="T991" i="9"/>
  <c r="T990" i="9"/>
  <c r="T989" i="9"/>
  <c r="T988" i="9"/>
  <c r="T987" i="9"/>
  <c r="T986" i="9"/>
  <c r="T985" i="9"/>
  <c r="T984" i="9"/>
  <c r="T983" i="9"/>
  <c r="T982" i="9"/>
  <c r="T981" i="9"/>
  <c r="T980" i="9"/>
  <c r="T979" i="9"/>
  <c r="T978" i="9"/>
  <c r="T977" i="9"/>
  <c r="T976" i="9"/>
  <c r="T975" i="9"/>
  <c r="T974" i="9"/>
  <c r="T973" i="9"/>
  <c r="T972" i="9"/>
  <c r="T971" i="9"/>
  <c r="T970" i="9"/>
  <c r="T969" i="9"/>
  <c r="T968" i="9"/>
  <c r="T967" i="9"/>
  <c r="T966" i="9"/>
  <c r="T965" i="9"/>
  <c r="T964" i="9"/>
  <c r="T963" i="9"/>
  <c r="T962" i="9"/>
  <c r="T961" i="9"/>
  <c r="T960" i="9"/>
  <c r="T959" i="9"/>
  <c r="T958" i="9"/>
  <c r="T957" i="9"/>
  <c r="T956" i="9"/>
  <c r="T955" i="9"/>
  <c r="T954" i="9"/>
  <c r="T953" i="9"/>
  <c r="T952" i="9"/>
  <c r="T951" i="9"/>
  <c r="T950" i="9"/>
  <c r="T949" i="9"/>
  <c r="T948" i="9"/>
  <c r="T947" i="9"/>
  <c r="T946" i="9"/>
  <c r="T945" i="9"/>
  <c r="T944" i="9"/>
  <c r="T943" i="9"/>
  <c r="T942" i="9"/>
  <c r="T941" i="9"/>
  <c r="T940" i="9"/>
  <c r="T939" i="9"/>
  <c r="T938" i="9"/>
  <c r="T937" i="9"/>
  <c r="T936" i="9"/>
  <c r="T935" i="9"/>
  <c r="T934" i="9"/>
  <c r="T933" i="9"/>
  <c r="T932" i="9"/>
  <c r="T931" i="9"/>
  <c r="T930" i="9"/>
  <c r="T929" i="9"/>
  <c r="T928" i="9"/>
  <c r="T927" i="9"/>
  <c r="T926" i="9"/>
  <c r="T925" i="9"/>
  <c r="T924" i="9"/>
  <c r="T923" i="9"/>
  <c r="T922" i="9"/>
  <c r="T921" i="9"/>
  <c r="T920" i="9"/>
  <c r="T919" i="9"/>
  <c r="T918" i="9"/>
  <c r="T917" i="9"/>
  <c r="T916" i="9"/>
  <c r="T915" i="9"/>
  <c r="T914" i="9"/>
  <c r="T913" i="9"/>
  <c r="T912" i="9"/>
  <c r="T911" i="9"/>
  <c r="T910" i="9"/>
  <c r="T909" i="9"/>
  <c r="T908" i="9"/>
  <c r="T907" i="9"/>
  <c r="T906" i="9"/>
  <c r="T905" i="9"/>
  <c r="T904" i="9"/>
  <c r="T903" i="9"/>
  <c r="T902" i="9"/>
  <c r="T901" i="9"/>
  <c r="T900" i="9"/>
  <c r="T899" i="9"/>
  <c r="T898" i="9"/>
  <c r="T897" i="9"/>
  <c r="T896" i="9"/>
  <c r="T895" i="9"/>
  <c r="T894" i="9"/>
  <c r="T893" i="9"/>
  <c r="T892" i="9"/>
  <c r="T891" i="9"/>
  <c r="T890" i="9"/>
  <c r="T889" i="9"/>
  <c r="T888" i="9"/>
  <c r="T887" i="9"/>
  <c r="T886" i="9"/>
  <c r="T885" i="9"/>
  <c r="T884" i="9"/>
  <c r="T883" i="9"/>
  <c r="T882" i="9"/>
  <c r="T881" i="9"/>
  <c r="T880" i="9"/>
  <c r="T879" i="9"/>
  <c r="T878" i="9"/>
  <c r="T877" i="9"/>
  <c r="T876" i="9"/>
  <c r="T875" i="9"/>
  <c r="T874" i="9"/>
  <c r="T873" i="9"/>
  <c r="T872" i="9"/>
  <c r="T871" i="9"/>
  <c r="T870" i="9"/>
  <c r="T869" i="9"/>
  <c r="T868" i="9"/>
  <c r="T867" i="9"/>
  <c r="T866" i="9"/>
  <c r="T865" i="9"/>
  <c r="T864" i="9"/>
  <c r="T863" i="9"/>
  <c r="T862" i="9"/>
  <c r="T861" i="9"/>
  <c r="T860" i="9"/>
  <c r="T859" i="9"/>
  <c r="T858" i="9"/>
  <c r="T857" i="9"/>
  <c r="T856" i="9"/>
  <c r="T855" i="9"/>
  <c r="T854" i="9"/>
  <c r="T853" i="9"/>
  <c r="T852" i="9"/>
  <c r="T851" i="9"/>
  <c r="T850" i="9"/>
  <c r="T849" i="9"/>
  <c r="T848" i="9"/>
  <c r="T847" i="9"/>
  <c r="T846" i="9"/>
  <c r="T845" i="9"/>
  <c r="T844" i="9"/>
  <c r="T843" i="9"/>
  <c r="T842" i="9"/>
  <c r="T841" i="9"/>
  <c r="T840" i="9"/>
  <c r="T839" i="9"/>
  <c r="T838" i="9"/>
  <c r="T837" i="9"/>
  <c r="T836" i="9"/>
  <c r="T835" i="9"/>
  <c r="T834" i="9"/>
  <c r="T833" i="9"/>
  <c r="T832" i="9"/>
  <c r="T831" i="9"/>
  <c r="T830" i="9"/>
  <c r="T829" i="9"/>
  <c r="T828" i="9"/>
  <c r="T827" i="9"/>
  <c r="T826" i="9"/>
  <c r="T825" i="9"/>
  <c r="T824" i="9"/>
  <c r="T823" i="9"/>
  <c r="T822" i="9"/>
  <c r="T821" i="9"/>
  <c r="T820" i="9"/>
  <c r="T819" i="9"/>
  <c r="T818" i="9"/>
  <c r="T817" i="9"/>
  <c r="T816" i="9"/>
  <c r="T815" i="9"/>
  <c r="T814" i="9"/>
  <c r="T813" i="9"/>
  <c r="T812" i="9"/>
  <c r="T811" i="9"/>
  <c r="T810" i="9"/>
  <c r="T809" i="9"/>
  <c r="T808" i="9"/>
  <c r="T807" i="9"/>
  <c r="T806" i="9"/>
  <c r="T805" i="9"/>
  <c r="T804" i="9"/>
  <c r="T803" i="9"/>
  <c r="T802" i="9"/>
  <c r="T801" i="9"/>
  <c r="T800" i="9"/>
  <c r="T799" i="9"/>
  <c r="T798" i="9"/>
  <c r="T797" i="9"/>
  <c r="T796" i="9"/>
  <c r="T795" i="9"/>
  <c r="T794" i="9"/>
  <c r="T793" i="9"/>
  <c r="T792" i="9"/>
  <c r="T791" i="9"/>
  <c r="T790" i="9"/>
  <c r="T789" i="9"/>
  <c r="T788" i="9"/>
  <c r="T787" i="9"/>
  <c r="T786" i="9"/>
  <c r="T785" i="9"/>
  <c r="T784" i="9"/>
  <c r="T783" i="9"/>
  <c r="T782" i="9"/>
  <c r="T781" i="9"/>
  <c r="T780" i="9"/>
  <c r="T779" i="9"/>
  <c r="T778" i="9"/>
  <c r="T777" i="9"/>
  <c r="T776" i="9"/>
  <c r="T775" i="9"/>
  <c r="T774" i="9"/>
  <c r="T773" i="9"/>
  <c r="T772" i="9"/>
  <c r="T771" i="9"/>
  <c r="T770" i="9"/>
  <c r="T769" i="9"/>
  <c r="T768" i="9"/>
  <c r="T767" i="9"/>
  <c r="T766" i="9"/>
  <c r="T765" i="9"/>
  <c r="T764" i="9"/>
  <c r="T763" i="9"/>
  <c r="T762" i="9"/>
  <c r="T761" i="9"/>
  <c r="T760" i="9"/>
  <c r="T759" i="9"/>
  <c r="T758" i="9"/>
  <c r="T757" i="9"/>
  <c r="T756" i="9"/>
  <c r="T755" i="9"/>
  <c r="T754" i="9"/>
  <c r="T753" i="9"/>
  <c r="T752" i="9"/>
  <c r="T751" i="9"/>
  <c r="T750" i="9"/>
  <c r="T749" i="9"/>
  <c r="T748" i="9"/>
  <c r="T747" i="9"/>
  <c r="T746" i="9"/>
  <c r="T745" i="9"/>
  <c r="T744" i="9"/>
  <c r="T743" i="9"/>
  <c r="T742" i="9"/>
  <c r="T741" i="9"/>
  <c r="T740" i="9"/>
  <c r="T739" i="9"/>
  <c r="T738" i="9"/>
  <c r="T737" i="9"/>
  <c r="T736" i="9"/>
  <c r="T735" i="9"/>
  <c r="T734" i="9"/>
  <c r="T733" i="9"/>
  <c r="T732" i="9"/>
  <c r="T731" i="9"/>
  <c r="T730" i="9"/>
  <c r="T729" i="9"/>
  <c r="T728" i="9"/>
  <c r="T727" i="9"/>
  <c r="T726" i="9"/>
  <c r="T725" i="9"/>
  <c r="T724" i="9"/>
  <c r="T723" i="9"/>
  <c r="T722" i="9"/>
  <c r="T721" i="9"/>
  <c r="T720" i="9"/>
  <c r="T719" i="9"/>
  <c r="T718" i="9"/>
  <c r="T717" i="9"/>
  <c r="T716" i="9"/>
  <c r="T715" i="9"/>
  <c r="T714" i="9"/>
  <c r="T713" i="9"/>
  <c r="T712" i="9"/>
  <c r="T711" i="9"/>
  <c r="T710" i="9"/>
  <c r="T709" i="9"/>
  <c r="T708" i="9"/>
  <c r="T707" i="9"/>
  <c r="T706" i="9"/>
  <c r="T705" i="9"/>
  <c r="T704" i="9"/>
  <c r="T703" i="9"/>
  <c r="T702" i="9"/>
  <c r="T701" i="9"/>
  <c r="T700" i="9"/>
  <c r="T699" i="9"/>
  <c r="T698" i="9"/>
  <c r="T697" i="9"/>
  <c r="T696" i="9"/>
  <c r="T695" i="9"/>
  <c r="T694" i="9"/>
  <c r="T693" i="9"/>
  <c r="T692" i="9"/>
  <c r="T691" i="9"/>
  <c r="T690" i="9"/>
  <c r="T689" i="9"/>
  <c r="T688" i="9"/>
  <c r="T687" i="9"/>
  <c r="T686" i="9"/>
  <c r="T685" i="9"/>
  <c r="T684" i="9"/>
  <c r="T683" i="9"/>
  <c r="T682" i="9"/>
  <c r="T681" i="9"/>
  <c r="T680" i="9"/>
  <c r="T679" i="9"/>
  <c r="T678" i="9"/>
  <c r="T677" i="9"/>
  <c r="T676" i="9"/>
  <c r="T675" i="9"/>
  <c r="T674" i="9"/>
  <c r="T673" i="9"/>
  <c r="T672" i="9"/>
  <c r="T671" i="9"/>
  <c r="T670" i="9"/>
  <c r="T669" i="9"/>
  <c r="T668" i="9"/>
  <c r="T667" i="9"/>
  <c r="T666" i="9"/>
  <c r="T665" i="9"/>
  <c r="T664" i="9"/>
  <c r="T663" i="9"/>
  <c r="T662" i="9"/>
  <c r="T661" i="9"/>
  <c r="T660" i="9"/>
  <c r="T659" i="9"/>
  <c r="T658" i="9"/>
  <c r="T657" i="9"/>
  <c r="T656" i="9"/>
  <c r="T655" i="9"/>
  <c r="T654" i="9"/>
  <c r="T653" i="9"/>
  <c r="T652" i="9"/>
  <c r="T651" i="9"/>
  <c r="T650" i="9"/>
  <c r="T649" i="9"/>
  <c r="T648" i="9"/>
  <c r="T647" i="9"/>
  <c r="T646" i="9"/>
  <c r="T645" i="9"/>
  <c r="T644" i="9"/>
  <c r="T643" i="9"/>
  <c r="T642" i="9"/>
  <c r="T641" i="9"/>
  <c r="T640" i="9"/>
  <c r="T639" i="9"/>
  <c r="T638" i="9"/>
  <c r="T637" i="9"/>
  <c r="T636" i="9"/>
  <c r="T635" i="9"/>
  <c r="T634" i="9"/>
  <c r="T633" i="9"/>
  <c r="T632" i="9"/>
  <c r="T631" i="9"/>
  <c r="T630" i="9"/>
  <c r="T629" i="9"/>
  <c r="T628" i="9"/>
  <c r="T627" i="9"/>
  <c r="T626" i="9"/>
  <c r="T625" i="9"/>
  <c r="T624" i="9"/>
  <c r="T623" i="9"/>
  <c r="T622" i="9"/>
  <c r="T621" i="9"/>
  <c r="T620" i="9"/>
  <c r="T619" i="9"/>
  <c r="T618" i="9"/>
  <c r="T617" i="9"/>
  <c r="T616" i="9"/>
  <c r="T615" i="9"/>
  <c r="T614" i="9"/>
  <c r="T613" i="9"/>
  <c r="T612" i="9"/>
  <c r="T611" i="9"/>
  <c r="T610" i="9"/>
  <c r="T609" i="9"/>
  <c r="T608" i="9"/>
  <c r="T607" i="9"/>
  <c r="T606" i="9"/>
  <c r="T605" i="9"/>
  <c r="T604" i="9"/>
  <c r="T603" i="9"/>
  <c r="T602" i="9"/>
  <c r="T601" i="9"/>
  <c r="T600" i="9"/>
  <c r="T599" i="9"/>
  <c r="T598" i="9"/>
  <c r="T597" i="9"/>
  <c r="T596" i="9"/>
  <c r="T595" i="9"/>
  <c r="T594" i="9"/>
  <c r="T593" i="9"/>
  <c r="T592" i="9"/>
  <c r="T591" i="9"/>
  <c r="T590" i="9"/>
  <c r="T589" i="9"/>
  <c r="T588" i="9"/>
  <c r="T587" i="9"/>
  <c r="T586" i="9"/>
  <c r="T585" i="9"/>
  <c r="T584" i="9"/>
  <c r="T583" i="9"/>
  <c r="T582" i="9"/>
  <c r="T581" i="9"/>
  <c r="T580" i="9"/>
  <c r="T579" i="9"/>
  <c r="T578" i="9"/>
  <c r="T577" i="9"/>
  <c r="T576" i="9"/>
  <c r="T575" i="9"/>
  <c r="T574" i="9"/>
  <c r="T573" i="9"/>
  <c r="T572" i="9"/>
  <c r="T571" i="9"/>
  <c r="T570" i="9"/>
  <c r="T569" i="9"/>
  <c r="T568" i="9"/>
  <c r="T567" i="9"/>
  <c r="T566" i="9"/>
  <c r="T565" i="9"/>
  <c r="T564" i="9"/>
  <c r="T563" i="9"/>
  <c r="T562" i="9"/>
  <c r="T561" i="9"/>
  <c r="T560" i="9"/>
  <c r="T559" i="9"/>
  <c r="T558" i="9"/>
  <c r="T557" i="9"/>
  <c r="T556" i="9"/>
  <c r="T555" i="9"/>
  <c r="T554" i="9"/>
  <c r="T553" i="9"/>
  <c r="T552" i="9"/>
  <c r="T551" i="9"/>
  <c r="T550" i="9"/>
  <c r="T549" i="9"/>
  <c r="T548" i="9"/>
  <c r="T547" i="9"/>
  <c r="T546" i="9"/>
  <c r="T545" i="9"/>
  <c r="T544" i="9"/>
  <c r="T543" i="9"/>
  <c r="T542" i="9"/>
  <c r="T541" i="9"/>
  <c r="T540" i="9"/>
  <c r="T539" i="9"/>
  <c r="T538" i="9"/>
  <c r="T537" i="9"/>
  <c r="T536" i="9"/>
  <c r="T535" i="9"/>
  <c r="T534" i="9"/>
  <c r="T533" i="9"/>
  <c r="T532" i="9"/>
  <c r="T531" i="9"/>
  <c r="T530" i="9"/>
  <c r="T529" i="9"/>
  <c r="T528" i="9"/>
  <c r="T527" i="9"/>
  <c r="T526" i="9"/>
  <c r="T525" i="9"/>
  <c r="T524" i="9"/>
  <c r="T523" i="9"/>
  <c r="T522" i="9"/>
  <c r="T521" i="9"/>
  <c r="T520" i="9"/>
  <c r="T519" i="9"/>
  <c r="T518" i="9"/>
  <c r="T517" i="9"/>
  <c r="T516" i="9"/>
  <c r="T515" i="9"/>
  <c r="T514" i="9"/>
  <c r="T513" i="9"/>
  <c r="T512" i="9"/>
  <c r="T511" i="9"/>
  <c r="T510" i="9"/>
  <c r="T509" i="9"/>
  <c r="T508" i="9"/>
  <c r="T507" i="9"/>
  <c r="T506" i="9"/>
  <c r="T505" i="9"/>
  <c r="T504" i="9"/>
  <c r="T503" i="9"/>
  <c r="T502" i="9"/>
  <c r="T501" i="9"/>
  <c r="T500" i="9"/>
  <c r="T499" i="9"/>
  <c r="T498" i="9"/>
  <c r="T497" i="9"/>
  <c r="T496" i="9"/>
  <c r="T495" i="9"/>
  <c r="T494" i="9"/>
  <c r="T493" i="9"/>
  <c r="T492" i="9"/>
  <c r="T491" i="9"/>
  <c r="T490" i="9"/>
  <c r="T489" i="9"/>
  <c r="T488" i="9"/>
  <c r="T487" i="9"/>
  <c r="T486" i="9"/>
  <c r="T485" i="9"/>
  <c r="T484" i="9"/>
  <c r="T483" i="9"/>
  <c r="T482" i="9"/>
  <c r="T481" i="9"/>
  <c r="T480" i="9"/>
  <c r="T479" i="9"/>
  <c r="T478" i="9"/>
  <c r="T477" i="9"/>
  <c r="T476" i="9"/>
  <c r="T475" i="9"/>
  <c r="T474" i="9"/>
  <c r="T473" i="9"/>
  <c r="T472" i="9"/>
  <c r="T471" i="9"/>
  <c r="T470" i="9"/>
  <c r="T469" i="9"/>
  <c r="T468" i="9"/>
  <c r="T467" i="9"/>
  <c r="T466" i="9"/>
  <c r="T465" i="9"/>
  <c r="T464" i="9"/>
  <c r="T463" i="9"/>
  <c r="T462" i="9"/>
  <c r="T461" i="9"/>
  <c r="T460" i="9"/>
  <c r="T459" i="9"/>
  <c r="T458" i="9"/>
  <c r="T457" i="9"/>
  <c r="T456" i="9"/>
  <c r="T455" i="9"/>
  <c r="T454" i="9"/>
  <c r="T453" i="9"/>
  <c r="T452" i="9"/>
  <c r="T451" i="9"/>
  <c r="T450" i="9"/>
  <c r="T449" i="9"/>
  <c r="T448" i="9"/>
  <c r="T447" i="9"/>
  <c r="T446" i="9"/>
  <c r="T445" i="9"/>
  <c r="T444" i="9"/>
  <c r="T443" i="9"/>
  <c r="T442" i="9"/>
  <c r="T441" i="9"/>
  <c r="T440" i="9"/>
  <c r="T439" i="9"/>
  <c r="T438" i="9"/>
  <c r="T437" i="9"/>
  <c r="T436" i="9"/>
  <c r="T435" i="9"/>
  <c r="T434" i="9"/>
  <c r="T433" i="9"/>
  <c r="T432" i="9"/>
  <c r="T431" i="9"/>
  <c r="T430" i="9"/>
  <c r="T429" i="9"/>
  <c r="T428" i="9"/>
  <c r="T427" i="9"/>
  <c r="T426" i="9"/>
  <c r="T425" i="9"/>
  <c r="T424" i="9"/>
  <c r="T423" i="9"/>
  <c r="T422" i="9"/>
  <c r="T421" i="9"/>
  <c r="T420" i="9"/>
  <c r="T419" i="9"/>
  <c r="T418" i="9"/>
  <c r="T417" i="9"/>
  <c r="T416" i="9"/>
  <c r="T415" i="9"/>
  <c r="T414" i="9"/>
  <c r="T413" i="9"/>
  <c r="T412" i="9"/>
  <c r="T411" i="9"/>
  <c r="T410" i="9"/>
  <c r="T409" i="9"/>
  <c r="T408" i="9"/>
  <c r="T407" i="9"/>
  <c r="T406" i="9"/>
  <c r="T405" i="9"/>
  <c r="T404" i="9"/>
  <c r="T403" i="9"/>
  <c r="T402" i="9"/>
  <c r="T401" i="9"/>
  <c r="T400" i="9"/>
  <c r="T399" i="9"/>
  <c r="T398" i="9"/>
  <c r="T397" i="9"/>
  <c r="T396" i="9"/>
  <c r="T395" i="9"/>
  <c r="T394" i="9"/>
  <c r="T393" i="9"/>
  <c r="T392" i="9"/>
  <c r="T391" i="9"/>
  <c r="T390" i="9"/>
  <c r="T389" i="9"/>
  <c r="T388" i="9"/>
  <c r="T387" i="9"/>
  <c r="T386" i="9"/>
  <c r="T385" i="9"/>
  <c r="T384" i="9"/>
  <c r="T383" i="9"/>
  <c r="T382" i="9"/>
  <c r="T381" i="9"/>
  <c r="T380" i="9"/>
  <c r="T379" i="9"/>
  <c r="T378" i="9"/>
  <c r="T377" i="9"/>
  <c r="T376" i="9"/>
  <c r="T375" i="9"/>
  <c r="T374" i="9"/>
  <c r="T373" i="9"/>
  <c r="T372" i="9"/>
  <c r="T371" i="9"/>
  <c r="T370" i="9"/>
  <c r="T369" i="9"/>
  <c r="T368" i="9"/>
  <c r="T367" i="9"/>
  <c r="T366" i="9"/>
  <c r="T365" i="9"/>
  <c r="T364" i="9"/>
  <c r="T363" i="9"/>
  <c r="T362" i="9"/>
  <c r="T361" i="9"/>
  <c r="T360" i="9"/>
  <c r="T359" i="9"/>
  <c r="T358" i="9"/>
  <c r="T357" i="9"/>
  <c r="T356" i="9"/>
  <c r="T355" i="9"/>
  <c r="T354" i="9"/>
  <c r="T353" i="9"/>
  <c r="T352" i="9"/>
  <c r="T351" i="9"/>
  <c r="T350" i="9"/>
  <c r="T349" i="9"/>
  <c r="T348" i="9"/>
  <c r="T347" i="9"/>
  <c r="T346" i="9"/>
  <c r="T345" i="9"/>
  <c r="T344" i="9"/>
  <c r="T343" i="9"/>
  <c r="T342" i="9"/>
  <c r="T341" i="9"/>
  <c r="T340" i="9"/>
  <c r="T339" i="9"/>
  <c r="T338" i="9"/>
  <c r="T337" i="9"/>
  <c r="T336" i="9"/>
  <c r="T335" i="9"/>
  <c r="T334" i="9"/>
  <c r="T333" i="9"/>
  <c r="T332" i="9"/>
  <c r="T331" i="9"/>
  <c r="T330" i="9"/>
  <c r="T329" i="9"/>
  <c r="T328" i="9"/>
  <c r="T327" i="9"/>
  <c r="T326" i="9"/>
  <c r="T325" i="9"/>
  <c r="T324" i="9"/>
  <c r="T323" i="9"/>
  <c r="T322" i="9"/>
  <c r="T321" i="9"/>
  <c r="T320" i="9"/>
  <c r="T319" i="9"/>
  <c r="T318" i="9"/>
  <c r="T317" i="9"/>
  <c r="T316" i="9"/>
  <c r="T315" i="9"/>
  <c r="T314" i="9"/>
  <c r="T313" i="9"/>
  <c r="T312" i="9"/>
  <c r="T311" i="9"/>
  <c r="T310" i="9"/>
  <c r="T309" i="9"/>
  <c r="T308" i="9"/>
  <c r="T307" i="9"/>
  <c r="T306" i="9"/>
  <c r="T305" i="9"/>
  <c r="T304" i="9"/>
  <c r="T303" i="9"/>
  <c r="T302" i="9"/>
  <c r="T301" i="9"/>
  <c r="T300" i="9"/>
  <c r="T299" i="9"/>
  <c r="T298" i="9"/>
  <c r="T297" i="9"/>
  <c r="T296" i="9"/>
  <c r="T295" i="9"/>
  <c r="T294" i="9"/>
  <c r="T293" i="9"/>
  <c r="T292" i="9"/>
  <c r="T291" i="9"/>
  <c r="T290" i="9"/>
  <c r="T289" i="9"/>
  <c r="T288" i="9"/>
  <c r="T287" i="9"/>
  <c r="T286" i="9"/>
  <c r="T285" i="9"/>
  <c r="T284" i="9"/>
  <c r="T283" i="9"/>
  <c r="T282" i="9"/>
  <c r="T281" i="9"/>
  <c r="T280" i="9"/>
  <c r="T279" i="9"/>
  <c r="T278" i="9"/>
  <c r="T277" i="9"/>
  <c r="T276" i="9"/>
  <c r="T275" i="9"/>
  <c r="T274" i="9"/>
  <c r="T273" i="9"/>
  <c r="T272" i="9"/>
  <c r="T271" i="9"/>
  <c r="T270" i="9"/>
  <c r="T269" i="9"/>
  <c r="T268" i="9"/>
  <c r="T267" i="9"/>
  <c r="T266" i="9"/>
  <c r="T265" i="9"/>
  <c r="T264" i="9"/>
  <c r="T263" i="9"/>
  <c r="T262" i="9"/>
  <c r="T261" i="9"/>
  <c r="T260" i="9"/>
  <c r="T259" i="9"/>
  <c r="T258" i="9"/>
  <c r="T257" i="9"/>
  <c r="T256" i="9"/>
  <c r="T255" i="9"/>
  <c r="T254" i="9"/>
  <c r="T253" i="9"/>
  <c r="T252" i="9"/>
  <c r="T251" i="9"/>
  <c r="T250" i="9"/>
  <c r="T249" i="9"/>
  <c r="T248" i="9"/>
  <c r="T247" i="9"/>
  <c r="T246" i="9"/>
  <c r="T245" i="9"/>
  <c r="T244" i="9"/>
  <c r="T243" i="9"/>
  <c r="T242" i="9"/>
  <c r="T241" i="9"/>
  <c r="T240" i="9"/>
  <c r="T239" i="9"/>
  <c r="T238" i="9"/>
  <c r="T237" i="9"/>
  <c r="T236" i="9"/>
  <c r="T235" i="9"/>
  <c r="T234" i="9"/>
  <c r="T233" i="9"/>
  <c r="T232" i="9"/>
  <c r="T231" i="9"/>
  <c r="T230" i="9"/>
  <c r="T229" i="9"/>
  <c r="T228" i="9"/>
  <c r="T227" i="9"/>
  <c r="T226" i="9"/>
  <c r="T225" i="9"/>
  <c r="T224" i="9"/>
  <c r="T223" i="9"/>
  <c r="T222" i="9"/>
  <c r="T221" i="9"/>
  <c r="T220" i="9"/>
  <c r="T219" i="9"/>
  <c r="T218" i="9"/>
  <c r="T217" i="9"/>
  <c r="T216" i="9"/>
  <c r="T215" i="9"/>
  <c r="T214" i="9"/>
  <c r="T213" i="9"/>
  <c r="T212" i="9"/>
  <c r="T211" i="9"/>
  <c r="T210" i="9"/>
  <c r="T209" i="9"/>
  <c r="T208" i="9"/>
  <c r="T207" i="9"/>
  <c r="T206" i="9"/>
  <c r="T205" i="9"/>
  <c r="T204" i="9"/>
  <c r="T203" i="9"/>
  <c r="T202" i="9"/>
  <c r="T201" i="9"/>
  <c r="T200" i="9"/>
  <c r="T199" i="9"/>
  <c r="T198" i="9"/>
  <c r="T197" i="9"/>
  <c r="T196" i="9"/>
  <c r="T195" i="9"/>
  <c r="T194" i="9"/>
  <c r="T193" i="9"/>
  <c r="T192" i="9"/>
  <c r="T191" i="9"/>
  <c r="T190" i="9"/>
  <c r="T189" i="9"/>
  <c r="T188" i="9"/>
  <c r="T187" i="9"/>
  <c r="T186" i="9"/>
  <c r="T185" i="9"/>
  <c r="T184" i="9"/>
  <c r="T183" i="9"/>
  <c r="T182" i="9"/>
  <c r="T181" i="9"/>
  <c r="T180" i="9"/>
  <c r="T179" i="9"/>
  <c r="T178" i="9"/>
  <c r="T177" i="9"/>
  <c r="T176" i="9"/>
  <c r="T175" i="9"/>
  <c r="T174" i="9"/>
  <c r="T173" i="9"/>
  <c r="T172" i="9"/>
  <c r="T171" i="9"/>
  <c r="T170" i="9"/>
  <c r="T169" i="9"/>
  <c r="T168" i="9"/>
  <c r="T167" i="9"/>
  <c r="T166" i="9"/>
  <c r="T165" i="9"/>
  <c r="T164" i="9"/>
  <c r="T163" i="9"/>
  <c r="T162" i="9"/>
  <c r="T161" i="9"/>
  <c r="T160" i="9"/>
  <c r="T159" i="9"/>
  <c r="T158" i="9"/>
  <c r="T157" i="9"/>
  <c r="T156" i="9"/>
  <c r="T155" i="9"/>
  <c r="T154" i="9"/>
  <c r="T153" i="9"/>
  <c r="T152" i="9"/>
  <c r="T151" i="9"/>
  <c r="T150" i="9"/>
  <c r="T149" i="9"/>
  <c r="T148" i="9"/>
  <c r="T147" i="9"/>
  <c r="T146" i="9"/>
  <c r="T145" i="9"/>
  <c r="T144" i="9"/>
  <c r="T143" i="9"/>
  <c r="T142" i="9"/>
  <c r="T141" i="9"/>
  <c r="T140" i="9"/>
  <c r="T139" i="9"/>
  <c r="T138" i="9"/>
  <c r="T137" i="9"/>
  <c r="T136" i="9"/>
  <c r="T135" i="9"/>
  <c r="T134" i="9"/>
  <c r="T133" i="9"/>
  <c r="T132" i="9"/>
  <c r="T131" i="9"/>
  <c r="T130" i="9"/>
  <c r="T129" i="9"/>
  <c r="T128" i="9"/>
  <c r="T127" i="9"/>
  <c r="T126" i="9"/>
  <c r="T125" i="9"/>
  <c r="T124" i="9"/>
  <c r="T123" i="9"/>
  <c r="T122" i="9"/>
  <c r="T121" i="9"/>
  <c r="T120" i="9"/>
  <c r="T119" i="9"/>
  <c r="T118" i="9"/>
  <c r="T117" i="9"/>
  <c r="T116" i="9"/>
  <c r="T115" i="9"/>
  <c r="T114" i="9"/>
  <c r="T113" i="9"/>
  <c r="T112" i="9"/>
  <c r="T111" i="9"/>
  <c r="T110" i="9"/>
  <c r="T109" i="9"/>
  <c r="T108" i="9"/>
  <c r="T107" i="9"/>
  <c r="T106" i="9"/>
  <c r="T105" i="9"/>
  <c r="T104" i="9"/>
  <c r="T103" i="9"/>
  <c r="T102" i="9"/>
  <c r="T101" i="9"/>
  <c r="T100" i="9"/>
  <c r="T99" i="9"/>
  <c r="T98" i="9"/>
  <c r="T97" i="9"/>
  <c r="T96" i="9"/>
  <c r="T95" i="9"/>
  <c r="T94" i="9"/>
  <c r="T93" i="9"/>
  <c r="T92" i="9"/>
  <c r="T91" i="9"/>
  <c r="T90" i="9"/>
  <c r="T89" i="9"/>
  <c r="T88" i="9"/>
  <c r="T87" i="9"/>
  <c r="T86" i="9"/>
  <c r="T85" i="9"/>
  <c r="T84" i="9"/>
  <c r="T83" i="9"/>
  <c r="T82" i="9"/>
  <c r="T81" i="9"/>
  <c r="T80" i="9"/>
  <c r="T79" i="9"/>
  <c r="T78" i="9"/>
  <c r="T77" i="9"/>
  <c r="T76" i="9"/>
  <c r="T75" i="9"/>
  <c r="T74" i="9"/>
  <c r="T73" i="9"/>
  <c r="T72" i="9"/>
  <c r="T71" i="9"/>
  <c r="T70" i="9"/>
  <c r="T69" i="9"/>
  <c r="T68" i="9"/>
  <c r="T67" i="9"/>
  <c r="T66" i="9"/>
  <c r="T65" i="9"/>
  <c r="T64" i="9"/>
  <c r="T63" i="9"/>
  <c r="T62" i="9"/>
  <c r="T61" i="9"/>
  <c r="T60" i="9"/>
  <c r="T59" i="9"/>
  <c r="T58" i="9"/>
  <c r="T57" i="9"/>
  <c r="T56" i="9"/>
  <c r="T55" i="9"/>
  <c r="T54" i="9"/>
  <c r="T53" i="9"/>
  <c r="T52" i="9"/>
  <c r="T51" i="9"/>
  <c r="T50" i="9"/>
  <c r="T49" i="9"/>
  <c r="T48" i="9"/>
  <c r="T47" i="9"/>
  <c r="T46" i="9"/>
  <c r="T45" i="9"/>
  <c r="T44" i="9"/>
  <c r="T43" i="9"/>
  <c r="T42" i="9"/>
  <c r="T41" i="9"/>
  <c r="T40" i="9"/>
  <c r="T39" i="9"/>
  <c r="T38" i="9"/>
  <c r="T37" i="9"/>
  <c r="T36" i="9"/>
  <c r="T35" i="9"/>
  <c r="T34" i="9"/>
  <c r="T33" i="9"/>
  <c r="T32" i="9"/>
  <c r="T31" i="9"/>
  <c r="T30" i="9"/>
  <c r="T29" i="9"/>
  <c r="T28" i="9"/>
  <c r="T27" i="9"/>
  <c r="T26" i="9"/>
  <c r="T25" i="9"/>
  <c r="T24" i="9"/>
  <c r="T23" i="9"/>
  <c r="T22" i="9"/>
  <c r="W250" i="8"/>
  <c r="W247" i="8"/>
  <c r="W244" i="8"/>
  <c r="W240" i="8"/>
  <c r="W237" i="8"/>
  <c r="W234" i="8"/>
  <c r="W231" i="8"/>
  <c r="W228" i="8"/>
  <c r="W226" i="8"/>
  <c r="W223" i="8"/>
  <c r="W221" i="8"/>
  <c r="W218" i="8"/>
  <c r="W215" i="8"/>
  <c r="W212" i="8"/>
  <c r="W209" i="8"/>
  <c r="W206" i="8"/>
  <c r="W203" i="8"/>
  <c r="W200" i="8"/>
  <c r="W197" i="8"/>
  <c r="W196" i="8"/>
  <c r="W193" i="8"/>
  <c r="W190" i="8"/>
  <c r="W184" i="8"/>
  <c r="W183" i="8"/>
  <c r="W180" i="8"/>
  <c r="W177" i="8"/>
  <c r="W174" i="8"/>
  <c r="W171" i="8"/>
  <c r="W168" i="8"/>
  <c r="W165" i="8"/>
  <c r="W159" i="8"/>
  <c r="W156" i="8"/>
  <c r="W154" i="8"/>
  <c r="W151" i="8"/>
  <c r="W148" i="8"/>
  <c r="W145" i="8"/>
  <c r="W144" i="8"/>
  <c r="W141" i="8"/>
  <c r="W138" i="8"/>
  <c r="W135" i="8"/>
  <c r="W132" i="8"/>
  <c r="W129" i="8"/>
  <c r="W126" i="8"/>
  <c r="W123" i="8"/>
  <c r="W122" i="8"/>
  <c r="W119" i="8"/>
  <c r="W116" i="8"/>
  <c r="W113" i="8"/>
  <c r="W110" i="8"/>
  <c r="W107" i="8"/>
  <c r="W106" i="8"/>
  <c r="W103" i="8"/>
  <c r="W101" i="8"/>
  <c r="W100" i="8"/>
  <c r="W96" i="8"/>
  <c r="W93" i="8"/>
  <c r="W90" i="8"/>
  <c r="W87" i="8"/>
  <c r="W83" i="8"/>
  <c r="W78" i="8"/>
  <c r="W75" i="8"/>
  <c r="W72" i="8"/>
  <c r="W69" i="8"/>
  <c r="W66" i="8"/>
  <c r="W63" i="8"/>
  <c r="W60" i="8"/>
  <c r="W57" i="8"/>
  <c r="W53" i="8"/>
  <c r="W50" i="8"/>
  <c r="W47" i="8"/>
  <c r="W44" i="8"/>
  <c r="W42" i="8"/>
  <c r="W41" i="8"/>
  <c r="W38" i="8"/>
  <c r="W36" i="8"/>
  <c r="W251" i="8"/>
  <c r="W248" i="8"/>
  <c r="W245" i="8"/>
  <c r="W242" i="8"/>
  <c r="W239" i="8"/>
  <c r="W236" i="8"/>
  <c r="W233" i="8"/>
  <c r="W230" i="8"/>
  <c r="W227" i="8"/>
  <c r="W224" i="8"/>
  <c r="W220" i="8"/>
  <c r="W217" i="8"/>
  <c r="W214" i="8"/>
  <c r="W211" i="8"/>
  <c r="W208" i="8"/>
  <c r="W207" i="8"/>
  <c r="W204" i="8"/>
  <c r="W201" i="8"/>
  <c r="W199" i="8"/>
  <c r="W194" i="8"/>
  <c r="W191" i="8"/>
  <c r="W188" i="8"/>
  <c r="W185" i="8"/>
  <c r="W182" i="8"/>
  <c r="W179" i="8"/>
  <c r="W178" i="8"/>
  <c r="W175" i="8"/>
  <c r="W172" i="8"/>
  <c r="W169" i="8"/>
  <c r="W166" i="8"/>
  <c r="W163" i="8"/>
  <c r="W162" i="8"/>
  <c r="W160" i="8"/>
  <c r="W157" i="8"/>
  <c r="W153" i="8"/>
  <c r="W150" i="8"/>
  <c r="W146" i="8"/>
  <c r="W143" i="8"/>
  <c r="W140" i="8"/>
  <c r="W137" i="8"/>
  <c r="W136" i="8"/>
  <c r="W133" i="8"/>
  <c r="W130" i="8"/>
  <c r="W127" i="8"/>
  <c r="W124" i="8"/>
  <c r="W121" i="8"/>
  <c r="W118" i="8"/>
  <c r="W114" i="8"/>
  <c r="W111" i="8"/>
  <c r="W108" i="8"/>
  <c r="W105" i="8"/>
  <c r="W102" i="8"/>
  <c r="W99" i="8"/>
  <c r="W94" i="8"/>
  <c r="W91" i="8"/>
  <c r="W88" i="8"/>
  <c r="W85" i="8"/>
  <c r="W81" i="8"/>
  <c r="W80" i="8"/>
  <c r="W77" i="8"/>
  <c r="W74" i="8"/>
  <c r="W71" i="8"/>
  <c r="W68" i="8"/>
  <c r="W64" i="8"/>
  <c r="W61" i="8"/>
  <c r="W58" i="8"/>
  <c r="W55" i="8"/>
  <c r="W52" i="8"/>
  <c r="W49" i="8"/>
  <c r="W48" i="8"/>
  <c r="W45" i="8"/>
  <c r="W39" i="8"/>
  <c r="W35" i="8"/>
  <c r="W33" i="8"/>
  <c r="W249" i="8"/>
  <c r="W246" i="8"/>
  <c r="W243" i="8"/>
  <c r="W241" i="8"/>
  <c r="W238" i="8"/>
  <c r="W235" i="8"/>
  <c r="W232" i="8"/>
  <c r="W229" i="8"/>
  <c r="W225" i="8"/>
  <c r="W222" i="8"/>
  <c r="W219" i="8"/>
  <c r="W216" i="8"/>
  <c r="W213" i="8"/>
  <c r="W210" i="8"/>
  <c r="W205" i="8"/>
  <c r="W202" i="8"/>
  <c r="W198" i="8"/>
  <c r="W195" i="8"/>
  <c r="W192" i="8"/>
  <c r="W189" i="8"/>
  <c r="W187" i="8"/>
  <c r="W186" i="8"/>
  <c r="W181" i="8"/>
  <c r="W176" i="8"/>
  <c r="W173" i="8"/>
  <c r="W170" i="8"/>
  <c r="W167" i="8"/>
  <c r="W164" i="8"/>
  <c r="W161" i="8"/>
  <c r="W158" i="8"/>
  <c r="W155" i="8"/>
  <c r="W152" i="8"/>
  <c r="W149" i="8"/>
  <c r="W147" i="8"/>
  <c r="W142" i="8"/>
  <c r="W139" i="8"/>
  <c r="W134" i="8"/>
  <c r="W131" i="8"/>
  <c r="W128" i="8"/>
  <c r="W125" i="8"/>
  <c r="W120" i="8"/>
  <c r="W117" i="8"/>
  <c r="W115" i="8"/>
  <c r="W112" i="8"/>
  <c r="W109" i="8"/>
  <c r="W104" i="8"/>
  <c r="W98" i="8"/>
  <c r="W97" i="8"/>
  <c r="W95" i="8"/>
  <c r="W92" i="8"/>
  <c r="W89" i="8"/>
  <c r="W86" i="8"/>
  <c r="W84" i="8"/>
  <c r="W82" i="8"/>
  <c r="W79" i="8"/>
  <c r="W76" i="8"/>
  <c r="W73" i="8"/>
  <c r="W70" i="8"/>
  <c r="W67" i="8"/>
  <c r="W65" i="8"/>
  <c r="W62" i="8"/>
  <c r="W59" i="8"/>
  <c r="W56" i="8"/>
  <c r="W54" i="8"/>
  <c r="W51" i="8"/>
  <c r="W46" i="8"/>
  <c r="W43" i="8"/>
  <c r="W40" i="8"/>
  <c r="W37" i="8"/>
  <c r="W34" i="8"/>
  <c r="W32" i="8"/>
  <c r="W31" i="8"/>
  <c r="W30" i="8"/>
  <c r="W29" i="8"/>
  <c r="W28" i="8"/>
  <c r="W27" i="8"/>
  <c r="W26" i="8"/>
  <c r="W25" i="8"/>
  <c r="W24" i="8"/>
  <c r="W23" i="8"/>
  <c r="W22" i="8"/>
  <c r="W21" i="8"/>
  <c r="W20" i="8"/>
  <c r="W19" i="8"/>
  <c r="W18" i="8"/>
  <c r="W17" i="8"/>
  <c r="W16" i="8"/>
  <c r="W15" i="8"/>
  <c r="W14" i="8"/>
  <c r="W13" i="8"/>
  <c r="W12" i="8"/>
  <c r="W11" i="8"/>
  <c r="W10" i="8"/>
  <c r="T251" i="8"/>
  <c r="T248" i="8"/>
  <c r="T247" i="8"/>
  <c r="T244" i="8"/>
  <c r="T241" i="8"/>
  <c r="T238" i="8"/>
  <c r="T236" i="8"/>
  <c r="T233" i="8"/>
  <c r="T230" i="8"/>
  <c r="T227" i="8"/>
  <c r="T222" i="8"/>
  <c r="T219" i="8"/>
  <c r="T216" i="8"/>
  <c r="T213" i="8"/>
  <c r="T210" i="8"/>
  <c r="T207" i="8"/>
  <c r="T206" i="8"/>
  <c r="T203" i="8"/>
  <c r="T201" i="8"/>
  <c r="T197" i="8"/>
  <c r="T194" i="8"/>
  <c r="T191" i="8"/>
  <c r="T189" i="8"/>
  <c r="T186" i="8"/>
  <c r="T183" i="8"/>
  <c r="T180" i="8"/>
  <c r="T177" i="8"/>
  <c r="T173" i="8"/>
  <c r="T170" i="8"/>
  <c r="T167" i="8"/>
  <c r="T164" i="8"/>
  <c r="T161" i="8"/>
  <c r="T159" i="8"/>
  <c r="T157" i="8"/>
  <c r="T155" i="8"/>
  <c r="T154" i="8"/>
  <c r="T152" i="8"/>
  <c r="T148" i="8"/>
  <c r="T145" i="8"/>
  <c r="T136" i="8"/>
  <c r="T133" i="8"/>
  <c r="T130" i="8"/>
  <c r="T127" i="8"/>
  <c r="T124" i="8"/>
  <c r="T121" i="8"/>
  <c r="T118" i="8"/>
  <c r="T113" i="8"/>
  <c r="T111" i="8"/>
  <c r="T108" i="8"/>
  <c r="T105" i="8"/>
  <c r="T102" i="8"/>
  <c r="T98" i="8"/>
  <c r="T95" i="8"/>
  <c r="T92" i="8"/>
  <c r="T89" i="8"/>
  <c r="T85" i="8"/>
  <c r="T84" i="8"/>
  <c r="T83"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250" i="8"/>
  <c r="T245" i="8"/>
  <c r="T242" i="8"/>
  <c r="T240" i="8"/>
  <c r="T237" i="8"/>
  <c r="T234" i="8"/>
  <c r="T231" i="8"/>
  <c r="T226" i="8"/>
  <c r="T224" i="8"/>
  <c r="T223" i="8"/>
  <c r="T221" i="8"/>
  <c r="T218" i="8"/>
  <c r="T215" i="8"/>
  <c r="T212" i="8"/>
  <c r="T209" i="8"/>
  <c r="T202" i="8"/>
  <c r="T199" i="8"/>
  <c r="T196" i="8"/>
  <c r="T193" i="8"/>
  <c r="T190" i="8"/>
  <c r="T185" i="8"/>
  <c r="T182" i="8"/>
  <c r="T179" i="8"/>
  <c r="T176" i="8"/>
  <c r="T174" i="8"/>
  <c r="T172" i="8"/>
  <c r="T169" i="8"/>
  <c r="T166" i="8"/>
  <c r="T163" i="8"/>
  <c r="T160" i="8"/>
  <c r="T156" i="8"/>
  <c r="T153" i="8"/>
  <c r="T150" i="8"/>
  <c r="T147" i="8"/>
  <c r="T144" i="8"/>
  <c r="T142" i="8"/>
  <c r="T140" i="8"/>
  <c r="T137" i="8"/>
  <c r="T134" i="8"/>
  <c r="T131" i="8"/>
  <c r="T126" i="8"/>
  <c r="T123" i="8"/>
  <c r="T120" i="8"/>
  <c r="T117" i="8"/>
  <c r="T114" i="8"/>
  <c r="T110" i="8"/>
  <c r="T107" i="8"/>
  <c r="T104" i="8"/>
  <c r="T101" i="8"/>
  <c r="T99" i="8"/>
  <c r="T94" i="8"/>
  <c r="T91" i="8"/>
  <c r="T88" i="8"/>
  <c r="T86" i="8"/>
  <c r="T82" i="8"/>
  <c r="T249" i="8"/>
  <c r="T246" i="8"/>
  <c r="T243" i="8"/>
  <c r="T239" i="8"/>
  <c r="T235" i="8"/>
  <c r="T232" i="8"/>
  <c r="T229" i="8"/>
  <c r="T228" i="8"/>
  <c r="T225" i="8"/>
  <c r="T220" i="8"/>
  <c r="T217" i="8"/>
  <c r="T214" i="8"/>
  <c r="T211" i="8"/>
  <c r="T208" i="8"/>
  <c r="T205" i="8"/>
  <c r="T204" i="8"/>
  <c r="T200" i="8"/>
  <c r="T198" i="8"/>
  <c r="T195" i="8"/>
  <c r="T192" i="8"/>
  <c r="T188" i="8"/>
  <c r="T187" i="8"/>
  <c r="T184" i="8"/>
  <c r="T181" i="8"/>
  <c r="T178" i="8"/>
  <c r="T175" i="8"/>
  <c r="T171" i="8"/>
  <c r="T168" i="8"/>
  <c r="T165" i="8"/>
  <c r="T162" i="8"/>
  <c r="T158" i="8"/>
  <c r="T151" i="8"/>
  <c r="T149" i="8"/>
  <c r="T146" i="8"/>
  <c r="T143" i="8"/>
  <c r="T141" i="8"/>
  <c r="T139" i="8"/>
  <c r="T138" i="8"/>
  <c r="T135" i="8"/>
  <c r="T132" i="8"/>
  <c r="T129" i="8"/>
  <c r="T128" i="8"/>
  <c r="T125" i="8"/>
  <c r="T122" i="8"/>
  <c r="T119" i="8"/>
  <c r="T116" i="8"/>
  <c r="T115" i="8"/>
  <c r="T112" i="8"/>
  <c r="T109" i="8"/>
  <c r="T106" i="8"/>
  <c r="T103" i="8"/>
  <c r="T100" i="8"/>
  <c r="T97" i="8"/>
  <c r="T96" i="8"/>
  <c r="T93" i="8"/>
  <c r="T90" i="8"/>
  <c r="T87" i="8"/>
  <c r="D2" i="6"/>
  <c r="D3" i="6"/>
  <c r="D4"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B19" i="6"/>
  <c r="C19" i="6"/>
  <c r="D19" i="6"/>
  <c r="B20" i="6"/>
  <c r="C20" i="6"/>
  <c r="D20" i="6"/>
  <c r="B21" i="6"/>
  <c r="C21" i="6"/>
  <c r="D21" i="6"/>
  <c r="B22" i="6"/>
  <c r="C22" i="6"/>
  <c r="D22" i="6"/>
  <c r="B23" i="6"/>
  <c r="C23" i="6"/>
  <c r="D23" i="6"/>
  <c r="B24" i="6"/>
  <c r="C24" i="6"/>
  <c r="D24" i="6"/>
  <c r="B25" i="6"/>
  <c r="C25" i="6"/>
  <c r="D25" i="6"/>
  <c r="B26" i="6"/>
  <c r="C26" i="6"/>
  <c r="D26" i="6"/>
  <c r="B1" i="6"/>
  <c r="C1" i="6"/>
  <c r="D1" i="6"/>
  <c r="B2" i="7"/>
  <c r="C2" i="7"/>
  <c r="B3" i="7"/>
  <c r="C3" i="7"/>
  <c r="B4" i="7"/>
  <c r="C4" i="7"/>
  <c r="B5" i="7"/>
  <c r="C5" i="7"/>
  <c r="B6" i="7"/>
  <c r="C6" i="7"/>
  <c r="W7" i="7"/>
  <c r="B7" i="7"/>
  <c r="V7" i="7"/>
  <c r="C7" i="7"/>
  <c r="W8" i="7"/>
  <c r="B8" i="7"/>
  <c r="V8" i="7"/>
  <c r="C8" i="7"/>
  <c r="W9" i="7"/>
  <c r="B9" i="7"/>
  <c r="V9" i="7"/>
  <c r="C9" i="7"/>
  <c r="W10" i="7"/>
  <c r="B10" i="7"/>
  <c r="V10" i="7"/>
  <c r="C10" i="7"/>
  <c r="W11" i="7"/>
  <c r="B11" i="7"/>
  <c r="V11" i="7"/>
  <c r="C11" i="7"/>
  <c r="W12" i="7"/>
  <c r="B12" i="7"/>
  <c r="V12" i="7"/>
  <c r="C12" i="7"/>
  <c r="W13" i="7"/>
  <c r="B13" i="7"/>
  <c r="V13" i="7"/>
  <c r="C13" i="7"/>
  <c r="W14" i="7"/>
  <c r="B14" i="7"/>
  <c r="V14" i="7"/>
  <c r="C14" i="7"/>
  <c r="W15" i="7"/>
  <c r="B15" i="7"/>
  <c r="V15" i="7"/>
  <c r="C15" i="7"/>
  <c r="W16" i="7"/>
  <c r="B16" i="7"/>
  <c r="V16" i="7"/>
  <c r="C16" i="7"/>
  <c r="W17" i="7"/>
  <c r="B17" i="7"/>
  <c r="V17" i="7"/>
  <c r="C17" i="7"/>
  <c r="W18" i="7"/>
  <c r="B18" i="7"/>
  <c r="V18" i="7"/>
  <c r="C18" i="7"/>
  <c r="W19" i="7"/>
  <c r="B19" i="7"/>
  <c r="V19" i="7"/>
  <c r="C19" i="7"/>
  <c r="W20" i="7"/>
  <c r="B20" i="7"/>
  <c r="V20" i="7"/>
  <c r="C20" i="7"/>
  <c r="W21" i="7"/>
  <c r="B21" i="7"/>
  <c r="V21" i="7"/>
  <c r="C21" i="7"/>
  <c r="W22" i="7"/>
  <c r="B22" i="7"/>
  <c r="V22" i="7"/>
  <c r="C22" i="7"/>
  <c r="W23" i="7"/>
  <c r="B23" i="7"/>
  <c r="V23" i="7"/>
  <c r="C23" i="7"/>
  <c r="W24" i="7"/>
  <c r="B24" i="7"/>
  <c r="V24" i="7"/>
  <c r="C24" i="7"/>
  <c r="W25" i="7"/>
  <c r="B25" i="7"/>
  <c r="V25" i="7"/>
  <c r="C25" i="7"/>
  <c r="W26" i="7"/>
  <c r="B26" i="7"/>
  <c r="V26" i="7"/>
  <c r="C26" i="7"/>
  <c r="W27" i="7"/>
  <c r="B27" i="7"/>
  <c r="V27" i="7"/>
  <c r="C27" i="7"/>
  <c r="W28" i="7"/>
  <c r="B28" i="7"/>
  <c r="V28" i="7"/>
  <c r="C28" i="7"/>
  <c r="W29" i="7"/>
  <c r="B29" i="7"/>
  <c r="V29" i="7"/>
  <c r="C29" i="7"/>
  <c r="W30" i="7"/>
  <c r="B30" i="7"/>
  <c r="V30" i="7"/>
  <c r="C30" i="7"/>
  <c r="W31" i="7"/>
  <c r="B31" i="7"/>
  <c r="V31" i="7"/>
  <c r="C31" i="7"/>
  <c r="W32" i="7"/>
  <c r="B32" i="7"/>
  <c r="V32" i="7"/>
  <c r="C32" i="7"/>
  <c r="W33" i="7"/>
  <c r="B33" i="7"/>
  <c r="V33" i="7"/>
  <c r="C33" i="7"/>
  <c r="W34" i="7"/>
  <c r="B34" i="7"/>
  <c r="V34" i="7"/>
  <c r="C34" i="7"/>
  <c r="W35" i="7"/>
  <c r="B35" i="7"/>
  <c r="V35" i="7"/>
  <c r="C35" i="7"/>
  <c r="W36" i="7"/>
  <c r="B36" i="7"/>
  <c r="V36" i="7"/>
  <c r="C36" i="7"/>
  <c r="W37" i="7"/>
  <c r="B37" i="7"/>
  <c r="V37" i="7"/>
  <c r="C37" i="7"/>
  <c r="W38" i="7"/>
  <c r="B38" i="7"/>
  <c r="V38" i="7"/>
  <c r="C38" i="7"/>
  <c r="W39" i="7"/>
  <c r="B39" i="7"/>
  <c r="V39" i="7"/>
  <c r="C39" i="7"/>
  <c r="W40" i="7"/>
  <c r="B40" i="7"/>
  <c r="V40" i="7"/>
  <c r="C40" i="7"/>
  <c r="W41" i="7"/>
  <c r="B41" i="7"/>
  <c r="V41" i="7"/>
  <c r="C41" i="7"/>
  <c r="W42" i="7"/>
  <c r="B42" i="7"/>
  <c r="V42" i="7"/>
  <c r="C42" i="7"/>
  <c r="W43" i="7"/>
  <c r="B43" i="7"/>
  <c r="V43" i="7"/>
  <c r="C43" i="7"/>
  <c r="W44" i="7"/>
  <c r="B44" i="7"/>
  <c r="V44" i="7"/>
  <c r="C44" i="7"/>
  <c r="W45" i="7"/>
  <c r="B45" i="7"/>
  <c r="V45" i="7"/>
  <c r="C45" i="7"/>
  <c r="W46" i="7"/>
  <c r="B46" i="7"/>
  <c r="V46" i="7"/>
  <c r="C46" i="7"/>
  <c r="W47" i="7"/>
  <c r="B47" i="7"/>
  <c r="V47" i="7"/>
  <c r="C47" i="7"/>
  <c r="W48" i="7"/>
  <c r="B48" i="7"/>
  <c r="V48" i="7"/>
  <c r="C48" i="7"/>
  <c r="W49" i="7"/>
  <c r="B49" i="7"/>
  <c r="V49" i="7"/>
  <c r="C49" i="7"/>
  <c r="W50" i="7"/>
  <c r="B50" i="7"/>
  <c r="V50" i="7"/>
  <c r="C50" i="7"/>
  <c r="W51" i="7"/>
  <c r="B51" i="7"/>
  <c r="V51" i="7"/>
  <c r="C51" i="7"/>
  <c r="W52" i="7"/>
  <c r="B52" i="7"/>
  <c r="V52" i="7"/>
  <c r="C52" i="7"/>
  <c r="W53" i="7"/>
  <c r="B53" i="7"/>
  <c r="V53" i="7"/>
  <c r="C53" i="7"/>
  <c r="W54" i="7"/>
  <c r="B54" i="7"/>
  <c r="V54" i="7"/>
  <c r="C54" i="7"/>
  <c r="W55" i="7"/>
  <c r="B55" i="7"/>
  <c r="V55" i="7"/>
  <c r="C55" i="7"/>
  <c r="W56" i="7"/>
  <c r="B56" i="7"/>
  <c r="V56" i="7"/>
  <c r="C56" i="7"/>
  <c r="W57" i="7"/>
  <c r="B57" i="7"/>
  <c r="V57" i="7"/>
  <c r="C57" i="7"/>
  <c r="W58" i="7"/>
  <c r="B58" i="7"/>
  <c r="V58" i="7"/>
  <c r="C58" i="7"/>
  <c r="W59" i="7"/>
  <c r="B59" i="7"/>
  <c r="V59" i="7"/>
  <c r="C59" i="7"/>
  <c r="W60" i="7"/>
  <c r="B60" i="7"/>
  <c r="V60" i="7"/>
  <c r="C60" i="7"/>
  <c r="W61" i="7"/>
  <c r="B61" i="7"/>
  <c r="V61" i="7"/>
  <c r="C61" i="7"/>
  <c r="W62" i="7"/>
  <c r="B62" i="7"/>
  <c r="V62" i="7"/>
  <c r="C62" i="7"/>
  <c r="W63" i="7"/>
  <c r="B63" i="7"/>
  <c r="V63" i="7"/>
  <c r="C63" i="7"/>
  <c r="W64" i="7"/>
  <c r="B64" i="7"/>
  <c r="V64" i="7"/>
  <c r="C64" i="7"/>
  <c r="W65" i="7"/>
  <c r="B65" i="7"/>
  <c r="V65" i="7"/>
  <c r="C65" i="7"/>
  <c r="W66" i="7"/>
  <c r="B66" i="7"/>
  <c r="V66" i="7"/>
  <c r="C66" i="7"/>
  <c r="W67" i="7"/>
  <c r="B67" i="7"/>
  <c r="V67" i="7"/>
  <c r="C67" i="7"/>
  <c r="W68" i="7"/>
  <c r="B68" i="7"/>
  <c r="V68" i="7"/>
  <c r="C68" i="7"/>
  <c r="W69" i="7"/>
  <c r="B69" i="7"/>
  <c r="V69" i="7"/>
  <c r="C69" i="7"/>
  <c r="W70" i="7"/>
  <c r="B70" i="7"/>
  <c r="V70" i="7"/>
  <c r="C70" i="7"/>
  <c r="W71" i="7"/>
  <c r="B71" i="7"/>
  <c r="V71" i="7"/>
  <c r="C71" i="7"/>
  <c r="W72" i="7"/>
  <c r="B72" i="7"/>
  <c r="V72" i="7"/>
  <c r="C72" i="7"/>
  <c r="W73" i="7"/>
  <c r="B73" i="7"/>
  <c r="V73" i="7"/>
  <c r="C73" i="7"/>
  <c r="W74" i="7"/>
  <c r="B74" i="7"/>
  <c r="V74" i="7"/>
  <c r="C74" i="7"/>
  <c r="W75" i="7"/>
  <c r="B75" i="7"/>
  <c r="V75" i="7"/>
  <c r="C75" i="7"/>
  <c r="W76" i="7"/>
  <c r="B76" i="7"/>
  <c r="V76" i="7"/>
  <c r="C76" i="7"/>
  <c r="W77" i="7"/>
  <c r="B77" i="7"/>
  <c r="V77" i="7"/>
  <c r="C77" i="7"/>
  <c r="W78" i="7"/>
  <c r="B78" i="7"/>
  <c r="V78" i="7"/>
  <c r="C78" i="7"/>
  <c r="W79" i="7"/>
  <c r="B79" i="7"/>
  <c r="V79" i="7"/>
  <c r="C79" i="7"/>
  <c r="W80" i="7"/>
  <c r="B80" i="7"/>
  <c r="V80" i="7"/>
  <c r="C80" i="7"/>
  <c r="W81" i="7"/>
  <c r="B81" i="7"/>
  <c r="V81" i="7"/>
  <c r="C81" i="7"/>
  <c r="W82" i="7"/>
  <c r="B82" i="7"/>
  <c r="V82" i="7"/>
  <c r="C82" i="7"/>
  <c r="W83" i="7"/>
  <c r="B83" i="7"/>
  <c r="V83" i="7"/>
  <c r="C83" i="7"/>
  <c r="W84" i="7"/>
  <c r="B84" i="7"/>
  <c r="V84" i="7"/>
  <c r="C84" i="7"/>
  <c r="W85" i="7"/>
  <c r="B85" i="7"/>
  <c r="V85" i="7"/>
  <c r="C85" i="7"/>
  <c r="W86" i="7"/>
  <c r="B86" i="7"/>
  <c r="V86" i="7"/>
  <c r="C86" i="7"/>
  <c r="W87" i="7"/>
  <c r="B87" i="7"/>
  <c r="V87" i="7"/>
  <c r="C87" i="7"/>
  <c r="W88" i="7"/>
  <c r="B88" i="7"/>
  <c r="V88" i="7"/>
  <c r="C88" i="7"/>
  <c r="W89" i="7"/>
  <c r="B89" i="7"/>
  <c r="V89" i="7"/>
  <c r="C89" i="7"/>
  <c r="W90" i="7"/>
  <c r="B90" i="7"/>
  <c r="V90" i="7"/>
  <c r="C90" i="7"/>
  <c r="W91" i="7"/>
  <c r="B91" i="7"/>
  <c r="V91" i="7"/>
  <c r="C91" i="7"/>
  <c r="W92" i="7"/>
  <c r="B92" i="7"/>
  <c r="V92" i="7"/>
  <c r="C92" i="7"/>
  <c r="W93" i="7"/>
  <c r="B93" i="7"/>
  <c r="V93" i="7"/>
  <c r="C93" i="7"/>
  <c r="W94" i="7"/>
  <c r="B94" i="7"/>
  <c r="V94" i="7"/>
  <c r="C94" i="7"/>
  <c r="W95" i="7"/>
  <c r="B95" i="7"/>
  <c r="V95" i="7"/>
  <c r="C95" i="7"/>
  <c r="W96" i="7"/>
  <c r="B96" i="7"/>
  <c r="V96" i="7"/>
  <c r="C96" i="7"/>
  <c r="W97" i="7"/>
  <c r="B97" i="7"/>
  <c r="V97" i="7"/>
  <c r="C97" i="7"/>
  <c r="W98" i="7"/>
  <c r="B98" i="7"/>
  <c r="V98" i="7"/>
  <c r="C98" i="7"/>
  <c r="W99" i="7"/>
  <c r="B99" i="7"/>
  <c r="V99" i="7"/>
  <c r="C99" i="7"/>
  <c r="W100" i="7"/>
  <c r="B100" i="7"/>
  <c r="V100" i="7"/>
  <c r="C100" i="7"/>
  <c r="W101" i="7"/>
  <c r="B101" i="7"/>
  <c r="V101" i="7"/>
  <c r="C101" i="7"/>
  <c r="B1" i="7"/>
  <c r="C1" i="7"/>
  <c r="V6" i="7"/>
  <c r="W6" i="7"/>
  <c r="V5" i="7"/>
  <c r="W5" i="7"/>
  <c r="V3" i="7"/>
  <c r="W3" i="7"/>
  <c r="V4" i="7"/>
  <c r="W4" i="7"/>
  <c r="V2" i="7"/>
  <c r="T69" i="7"/>
  <c r="T65" i="7"/>
  <c r="T61" i="7"/>
  <c r="T57" i="7"/>
  <c r="T53" i="7"/>
  <c r="T49" i="7"/>
  <c r="T45" i="7"/>
  <c r="T41" i="7"/>
  <c r="T37" i="7"/>
  <c r="T33" i="7"/>
  <c r="T29" i="7"/>
  <c r="T25" i="7"/>
  <c r="T21" i="7"/>
  <c r="T17" i="7"/>
  <c r="T13" i="7"/>
  <c r="T9" i="7"/>
  <c r="T98" i="7"/>
  <c r="T94" i="7"/>
  <c r="T90" i="7"/>
  <c r="T86" i="7"/>
  <c r="T82" i="7"/>
  <c r="T78" i="7"/>
  <c r="T74" i="7"/>
  <c r="T70" i="7"/>
  <c r="T66" i="7"/>
  <c r="T62" i="7"/>
  <c r="T58" i="7"/>
  <c r="T54" i="7"/>
  <c r="T50" i="7"/>
  <c r="T46" i="7"/>
  <c r="T42" i="7"/>
  <c r="T38" i="7"/>
  <c r="T34" i="7"/>
  <c r="T30" i="7"/>
  <c r="T26" i="7"/>
  <c r="T22" i="7"/>
  <c r="T18" i="7"/>
  <c r="T14" i="7"/>
  <c r="T10" i="7"/>
  <c r="T89" i="7"/>
  <c r="T85" i="7"/>
  <c r="T81" i="7"/>
  <c r="T77" i="7"/>
  <c r="T73" i="7"/>
  <c r="T95" i="7"/>
  <c r="T87" i="7"/>
  <c r="T101" i="7"/>
  <c r="T97" i="7"/>
  <c r="T93" i="7"/>
  <c r="T99" i="7"/>
  <c r="T91" i="7"/>
  <c r="T83" i="7"/>
  <c r="T79" i="7"/>
  <c r="T75" i="7"/>
  <c r="T71" i="7"/>
  <c r="T67" i="7"/>
  <c r="T63" i="7"/>
  <c r="T59" i="7"/>
  <c r="T55" i="7"/>
  <c r="T51" i="7"/>
  <c r="T47" i="7"/>
  <c r="T43" i="7"/>
  <c r="T39" i="7"/>
  <c r="T35" i="7"/>
  <c r="T31" i="7"/>
  <c r="T27" i="7"/>
  <c r="T23" i="7"/>
  <c r="T19" i="7"/>
  <c r="T15" i="7"/>
  <c r="T11" i="7"/>
  <c r="T7" i="7"/>
  <c r="T100" i="7"/>
  <c r="T96" i="7"/>
  <c r="T92" i="7"/>
  <c r="T88" i="7"/>
  <c r="T84" i="7"/>
  <c r="T80" i="7"/>
  <c r="T76" i="7"/>
  <c r="T72" i="7"/>
  <c r="T68" i="7"/>
  <c r="T64" i="7"/>
  <c r="T60" i="7"/>
  <c r="T56" i="7"/>
  <c r="T52" i="7"/>
  <c r="T48" i="7"/>
  <c r="T44" i="7"/>
  <c r="T40" i="7"/>
  <c r="T36" i="7"/>
  <c r="T32" i="7"/>
  <c r="T28" i="7"/>
  <c r="T24" i="7"/>
  <c r="T20" i="7"/>
  <c r="T16" i="7"/>
  <c r="T12" i="7"/>
  <c r="T8" i="7"/>
  <c r="T26" i="6"/>
  <c r="T25" i="6"/>
  <c r="T24" i="6"/>
  <c r="T23" i="6"/>
  <c r="T22" i="6"/>
  <c r="T21" i="6"/>
  <c r="T20" i="6"/>
  <c r="T19" i="6"/>
  <c r="T18" i="6"/>
  <c r="T17" i="6"/>
  <c r="T16" i="6"/>
  <c r="T15" i="6"/>
  <c r="T14" i="6"/>
  <c r="T13" i="6"/>
  <c r="T12" i="6"/>
  <c r="T11" i="6"/>
  <c r="T10" i="6"/>
  <c r="T9" i="6"/>
  <c r="T8" i="6"/>
  <c r="T7" i="6"/>
  <c r="T6" i="6"/>
  <c r="T5" i="6"/>
  <c r="W9" i="8"/>
  <c r="W7" i="8"/>
  <c r="W4" i="8"/>
  <c r="W2" i="8"/>
  <c r="W8" i="8"/>
  <c r="W2" i="7"/>
  <c r="W3" i="8"/>
  <c r="T5" i="8"/>
  <c r="U11" i="9"/>
  <c r="T9" i="8"/>
  <c r="U17" i="9"/>
  <c r="T3" i="8"/>
  <c r="U8" i="9"/>
  <c r="T7" i="8"/>
  <c r="U14" i="9"/>
  <c r="W6" i="8"/>
  <c r="T6" i="8"/>
  <c r="U13" i="9"/>
  <c r="T4" i="8"/>
  <c r="U9" i="9"/>
  <c r="W5" i="8"/>
  <c r="T8" i="8"/>
  <c r="U19" i="9"/>
  <c r="T2" i="8"/>
  <c r="U10" i="9"/>
  <c r="U16" i="9"/>
  <c r="U18" i="9"/>
  <c r="U15" i="9"/>
  <c r="U7" i="9"/>
  <c r="U6" i="9"/>
  <c r="T17" i="9"/>
  <c r="U12" i="9"/>
  <c r="T6" i="9"/>
  <c r="T7" i="9"/>
  <c r="U5" i="9"/>
  <c r="U3" i="9"/>
  <c r="U2" i="9"/>
  <c r="U4" i="9"/>
  <c r="T18" i="9"/>
  <c r="T20" i="9"/>
  <c r="T3" i="9"/>
  <c r="T4" i="9"/>
  <c r="T10" i="9"/>
  <c r="T19" i="9"/>
  <c r="T2" i="9"/>
  <c r="T9" i="9"/>
  <c r="T11" i="9"/>
  <c r="T13" i="9"/>
  <c r="T15" i="9"/>
  <c r="U20" i="9"/>
  <c r="T21" i="9"/>
  <c r="T8" i="9"/>
  <c r="U21" i="9"/>
  <c r="T5" i="9"/>
  <c r="T12" i="9"/>
  <c r="T14" i="9"/>
  <c r="T16" i="9"/>
  <c r="T6" i="7"/>
  <c r="V15" i="9"/>
  <c r="T4" i="7"/>
  <c r="V12" i="9"/>
  <c r="T2" i="7"/>
  <c r="V9" i="9"/>
  <c r="T3" i="7"/>
  <c r="V21" i="9"/>
  <c r="T5" i="7"/>
  <c r="V20" i="9"/>
  <c r="V14" i="9"/>
  <c r="V8" i="9"/>
  <c r="V6" i="9"/>
  <c r="V11" i="9"/>
  <c r="V16" i="9"/>
  <c r="V3" i="9"/>
  <c r="V10" i="9"/>
  <c r="V13" i="9"/>
  <c r="V19" i="9"/>
  <c r="V2" i="9"/>
  <c r="V7" i="9"/>
  <c r="V17" i="9"/>
  <c r="V18" i="9"/>
  <c r="V5" i="9"/>
  <c r="V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Magennis</author>
  </authors>
  <commentList>
    <comment ref="A1" authorId="0" shapeId="0" xr:uid="{6377FF8D-C07D-4555-AD93-127BEDB0271D}">
      <text>
        <r>
          <rPr>
            <b/>
            <sz val="9"/>
            <color indexed="81"/>
            <rFont val="Tahoma"/>
            <family val="2"/>
          </rPr>
          <t>Troy Magennis:</t>
        </r>
        <r>
          <rPr>
            <sz val="9"/>
            <color indexed="81"/>
            <rFont val="Tahoma"/>
            <family val="2"/>
          </rPr>
          <t xml:space="preserve">
Can be any text. Will become the label for this strategy node.</t>
        </r>
      </text>
    </comment>
    <comment ref="B1" authorId="0" shapeId="0" xr:uid="{6EAED70E-C1CD-4C88-A3F5-6F4A99AA59D6}">
      <text>
        <r>
          <rPr>
            <b/>
            <sz val="9"/>
            <color indexed="81"/>
            <rFont val="Tahoma"/>
            <family val="2"/>
          </rPr>
          <t>Troy Magennis:</t>
        </r>
        <r>
          <rPr>
            <sz val="9"/>
            <color indexed="81"/>
            <rFont val="Tahoma"/>
            <family val="2"/>
          </rPr>
          <t xml:space="preserve">
Set the priority of this strategy. If you want different priorities listed, amend the Priorities table in the settings tab.</t>
        </r>
      </text>
    </comment>
    <comment ref="C1" authorId="0" shapeId="0" xr:uid="{2645F166-29A3-442F-92FB-B2F9AAE730B9}">
      <text>
        <r>
          <rPr>
            <b/>
            <sz val="9"/>
            <color indexed="81"/>
            <rFont val="Tahoma"/>
            <family val="2"/>
          </rPr>
          <t>Troy Magennis:</t>
        </r>
        <r>
          <rPr>
            <sz val="9"/>
            <color indexed="81"/>
            <rFont val="Tahoma"/>
            <family val="2"/>
          </rPr>
          <t xml:space="preserve">
Priority drives node color by default. If you want specific colored nodes, override that color in this column for each row.</t>
        </r>
      </text>
    </comment>
    <comment ref="D1" authorId="0" shapeId="0" xr:uid="{5D5426EB-DEBA-48DC-BB59-609F40433DC4}">
      <text>
        <r>
          <rPr>
            <b/>
            <sz val="9"/>
            <color indexed="81"/>
            <rFont val="Tahoma"/>
            <family val="2"/>
          </rPr>
          <t>Troy Magennis:</t>
        </r>
        <r>
          <rPr>
            <sz val="9"/>
            <color indexed="81"/>
            <rFont val="Tahoma"/>
            <family val="2"/>
          </rPr>
          <t xml:space="preserve">
Currently unused, but might be added to the popup tooltip.</t>
        </r>
      </text>
    </comment>
  </commentList>
</comments>
</file>

<file path=xl/sharedStrings.xml><?xml version="1.0" encoding="utf-8"?>
<sst xmlns="http://schemas.openxmlformats.org/spreadsheetml/2006/main" count="397" uniqueCount="281">
  <si>
    <t>Strategy Title</t>
  </si>
  <si>
    <t>Description</t>
  </si>
  <si>
    <t>Priority</t>
  </si>
  <si>
    <t>Color</t>
  </si>
  <si>
    <t>Priorities</t>
  </si>
  <si>
    <t>Colors</t>
  </si>
  <si>
    <t>Highest</t>
  </si>
  <si>
    <t>High</t>
  </si>
  <si>
    <t>Medium</t>
  </si>
  <si>
    <t>Low</t>
  </si>
  <si>
    <t>Lowest</t>
  </si>
  <si>
    <t>Blue</t>
  </si>
  <si>
    <t>Red</t>
  </si>
  <si>
    <t>Green</t>
  </si>
  <si>
    <t>Orange</t>
  </si>
  <si>
    <t>Reduce Credit Card Fees</t>
  </si>
  <si>
    <t>Add New Payment Providers</t>
  </si>
  <si>
    <t>Security and Governance</t>
  </si>
  <si>
    <t>Increase customer options for supported cards, eg. AMEX</t>
  </si>
  <si>
    <t>Find providers with less fees</t>
  </si>
  <si>
    <t>Continue to do business</t>
  </si>
  <si>
    <t>Reduce Shipping Costs</t>
  </si>
  <si>
    <t>Find ways to reduce shipping costs and returns</t>
  </si>
  <si>
    <t>Title</t>
  </si>
  <si>
    <t>New VISA/MC Provider</t>
  </si>
  <si>
    <t>Support CVC Code on purchase</t>
  </si>
  <si>
    <t>We get a 1% reduced fee if we authorizes with the CVC</t>
  </si>
  <si>
    <t>PCI Audit Findings Implementation</t>
  </si>
  <si>
    <t>Tokenization of CC data</t>
  </si>
  <si>
    <t>Team</t>
  </si>
  <si>
    <t>Team Name</t>
  </si>
  <si>
    <t>Database</t>
  </si>
  <si>
    <t>Team UI 1</t>
  </si>
  <si>
    <t>Team UI 2</t>
  </si>
  <si>
    <t>Team Server Side</t>
  </si>
  <si>
    <t>Initiative</t>
  </si>
  <si>
    <t>Authorization API Call</t>
  </si>
  <si>
    <t>Swatch</t>
  </si>
  <si>
    <t>Colors from: https://www.w3schools.com/Colors/colors_names.asp</t>
  </si>
  <si>
    <t>Backend call to new providers API for authorization</t>
  </si>
  <si>
    <t>Backend call to new providers Chargeback</t>
  </si>
  <si>
    <t>Chargeback API Call</t>
  </si>
  <si>
    <t>Note: Will only automatically open in Windows (sorry Mac users)</t>
  </si>
  <si>
    <t>Destination HTML file generated at</t>
  </si>
  <si>
    <t>1. It uses one external reference library. Do you have internet access?</t>
  </si>
  <si>
    <t>Use Web Reference (suggested)</t>
  </si>
  <si>
    <t>(if you choose Use Local, you need to place the file: https://d3js.org/d3.v3.min.js in the same folder as this spreadsheet)</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</si>
  <si>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</si>
  <si>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</si>
  <si>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</si>
  <si>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</si>
  <si>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</si>
  <si>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</si>
  <si>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</si>
  <si>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</si>
  <si>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</si>
  <si>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</si>
  <si>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</si>
  <si>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</si>
  <si>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</si>
  <si>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</si>
  <si>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</si>
  <si>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</si>
  <si>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</si>
  <si>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</si>
  <si>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</si>
  <si>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</si>
  <si>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</si>
  <si>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</si>
  <si>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</si>
  <si>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</si>
  <si>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</si>
  <si>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</si>
  <si>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</si>
  <si>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</si>
  <si>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</si>
  <si>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</si>
  <si>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</si>
  <si>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</si>
  <si>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</si>
  <si>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</si>
  <si>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</si>
  <si>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</si>
  <si>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</si>
  <si>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</si>
  <si>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</si>
  <si>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</si>
  <si>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</si>
  <si>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</si>
  <si>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</si>
  <si>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</si>
  <si>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</si>
  <si>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</si>
  <si>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</si>
  <si>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</si>
  <si>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</si>
  <si>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</si>
  <si>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</si>
  <si>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</si>
  <si>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</si>
  <si>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</si>
  <si>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</si>
  <si>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</si>
  <si>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</si>
  <si>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</si>
  <si>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</si>
  <si>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</si>
  <si>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</si>
  <si>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</si>
  <si>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</si>
  <si>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</si>
  <si>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</si>
  <si>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</si>
  <si>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</si>
  <si>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</si>
  <si>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</si>
  <si>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</si>
  <si>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</si>
  <si>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</si>
  <si>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</si>
  <si>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</si>
  <si>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</si>
  <si>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</si>
  <si>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</si>
  <si>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</si>
  <si>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</si>
  <si>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</si>
  <si>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</si>
  <si>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</si>
  <si>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</si>
  <si>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</si>
  <si>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</si>
  <si>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</si>
  <si>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</si>
  <si>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</si>
  <si>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</si>
  <si>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</si>
  <si>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</si>
  <si>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</si>
  <si>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</si>
  <si>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</si>
  <si>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</si>
  <si>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</si>
  <si>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</si>
  <si>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</si>
  <si>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</si>
  <si>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</si>
  <si>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</si>
  <si>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</si>
  <si>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</si>
  <si>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</si>
  <si>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</si>
  <si>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</si>
  <si>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</si>
  <si>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</si>
  <si>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</si>
  <si>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</si>
  <si>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</si>
  <si>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</si>
  <si>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</si>
  <si>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</si>
  <si>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</si>
  <si>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</si>
  <si>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</si>
  <si>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</si>
  <si>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</si>
  <si>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</si>
  <si>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</si>
  <si>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</si>
  <si>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</si>
  <si>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</si>
  <si>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</si>
  <si>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</si>
  <si>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</si>
  <si>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</si>
  <si>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</si>
  <si>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</si>
  <si>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</si>
  <si>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</si>
  <si>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</si>
  <si>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</si>
  <si>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</si>
  <si>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</si>
  <si>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</si>
  <si>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</si>
  <si>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</si>
  <si>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</si>
  <si>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</si>
  <si>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</si>
  <si>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</si>
  <si>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</si>
  <si>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</si>
  <si>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</si>
  <si>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</si>
  <si>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</si>
  <si>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</si>
  <si>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</si>
  <si>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</si>
  <si>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</si>
  <si>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</si>
  <si>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Aggregate Multiple Orders</t>
  </si>
  <si>
    <t>Multiple orders to same address shipped as one package</t>
  </si>
  <si>
    <t>Bitcoin Support</t>
  </si>
  <si>
    <t>Update checkout pages</t>
  </si>
  <si>
    <t>Call new API</t>
  </si>
  <si>
    <t>Update refund pages</t>
  </si>
  <si>
    <t>AMEX Suport</t>
  </si>
  <si>
    <t>Approve/Decline API call</t>
  </si>
  <si>
    <t>Update checkout pages on submit</t>
  </si>
  <si>
    <t>Handle decline logic</t>
  </si>
  <si>
    <t>Mitigate database PCI issues</t>
  </si>
  <si>
    <t>Implement Tokenization API calls</t>
  </si>
  <si>
    <t>For all credit card entry</t>
  </si>
  <si>
    <t>Replace current card data with Tokens</t>
  </si>
  <si>
    <t>Open Source Library Upgrades</t>
  </si>
  <si>
    <t>UI Libraries</t>
  </si>
  <si>
    <t>Server side libraries</t>
  </si>
  <si>
    <t>Detect multiple orders to same address</t>
  </si>
  <si>
    <t>Collapse multiple orders into one packing slip</t>
  </si>
  <si>
    <t>Logistics</t>
  </si>
  <si>
    <t>Color Override</t>
  </si>
  <si>
    <t>Start Date</t>
  </si>
  <si>
    <t>Finish Date</t>
  </si>
  <si>
    <t>Progress</t>
  </si>
  <si>
    <t>Not Started</t>
  </si>
  <si>
    <t>Finished</t>
  </si>
  <si>
    <t>In Progress</t>
  </si>
  <si>
    <t>Team Allocated</t>
  </si>
  <si>
    <t>Percentage</t>
  </si>
  <si>
    <t>Allocation</t>
  </si>
  <si>
    <t>To Do</t>
  </si>
  <si>
    <t>Autogenerate the legend at the top of the page. It’s a hardcoded image at the moment.</t>
  </si>
  <si>
    <t>What should really be added to the node titles and popups. Improve the label content</t>
  </si>
  <si>
    <t xml:space="preserve">Add hyperlink support for Epics and Work. </t>
  </si>
  <si>
    <t>If a link target is blank, link it to a "default" node at each level.</t>
  </si>
  <si>
    <t>Add canvas size support to the settings and implement in HTML</t>
  </si>
  <si>
    <t>Add credits banner at the bottom</t>
  </si>
  <si>
    <t>Template: Change with care….  Use these placeholders {{NODES}}, {{LINKS}}</t>
  </si>
  <si>
    <t>Time travel. Show a slider that enables seeting the state as of any date in the range</t>
  </si>
  <si>
    <t>Add filtering for strategy or Iniative or team</t>
  </si>
  <si>
    <t>Avoid escape quotation marks in any node title</t>
  </si>
  <si>
    <t>Support different number formats</t>
  </si>
  <si>
    <t>Target Low Throughput/Velocity</t>
  </si>
  <si>
    <t>Target High Throughput/Velocity</t>
  </si>
  <si>
    <t>Reserve Capacity Percentage</t>
  </si>
  <si>
    <t>Convert allocation to team throughput/velocity into weeks or sprints</t>
  </si>
  <si>
    <t>Probability</t>
  </si>
  <si>
    <t>low</t>
  </si>
  <si>
    <t>high</t>
  </si>
  <si>
    <t>reserve</t>
  </si>
  <si>
    <t>Pace</t>
  </si>
  <si>
    <t>Mandatory</t>
  </si>
  <si>
    <t>Suggested</t>
  </si>
  <si>
    <t>Optional</t>
  </si>
  <si>
    <t>Input color legend</t>
  </si>
  <si>
    <t>Size (Stories/Points)</t>
  </si>
  <si>
    <t>Size or Pace</t>
  </si>
  <si>
    <t>Size shows how many</t>
  </si>
  <si>
    <t>Team Allocation Settings</t>
  </si>
  <si>
    <t>Otherwise, open manually. A file is created called PlanningSankey.html. Open that with your favorite browser</t>
  </si>
  <si>
    <t>(Click "Generate Sankey" above, and if the file doesn't automatically open, cut and paste this filename into your browser)</t>
  </si>
  <si>
    <t xml:space="preserve">Thisi is how risk adverse you need to be. Lower numbers will use closer to the fastest team  throughput/velocity, higher numbers will use closer to the slowest. </t>
  </si>
  <si>
    <t>What is this: teams have different size work items and complete them at different rates. Choose days,weeks, months or sprint to visualize size normalized using historical data for work item and team capacity sizes.</t>
  </si>
  <si>
    <t>Weeks</t>
  </si>
  <si>
    <t>URL</t>
  </si>
  <si>
    <t>done</t>
  </si>
  <si>
    <t>Allow epics to connect to multiple strategies</t>
  </si>
  <si>
    <t>Team Total Capacity (in units selected in the Generate Sankey worksheeet)</t>
  </si>
  <si>
    <t>And Strategy…</t>
  </si>
  <si>
    <t>And Strategy</t>
  </si>
  <si>
    <t>Strategy (most supported)</t>
  </si>
  <si>
    <t>strat id 2</t>
  </si>
  <si>
    <t>strat id 3</t>
  </si>
  <si>
    <t>value1</t>
  </si>
  <si>
    <t>value2</t>
  </si>
  <si>
    <t>value3</t>
  </si>
  <si>
    <t>total size</t>
  </si>
  <si>
    <t># strats</t>
  </si>
  <si>
    <t>width</t>
  </si>
  <si>
    <t>height</t>
  </si>
  <si>
    <t>Move to "cheapo cards" for checkout, but they are PCI compliant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</si>
</sst>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
      <sz val="9"/>
      <color indexed="81"/>
      <name val="Tahoma"/>
      <family val="2"/>
    </font>
    <font>
      <b/>
      <sz val="9"/>
      <color indexed="81"/>
      <name val="Tahoma"/>
      <family val="2"/>
    </font>
    <font>
      <sz val="8"/>
      <color theme="1"/>
      <name val="Calibri"/>
      <family val="2"/>
      <scheme val="minor"/>
    </font>
    <font>
      <u/>
      <sz val="11"/>
      <color theme="10"/>
      <name val="Calibri"/>
      <family val="2"/>
      <scheme val="minor"/>
    </font>
  </fonts>
  <fills count="145">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
      <patternFill patternType="solid">
        <fgColor rgb="FFFFE0C1"/>
        <bgColor indexed="64"/>
      </patternFill>
    </fill>
    <fill>
      <patternFill patternType="solid">
        <fgColor rgb="FFFFF9F3"/>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6">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xf numFmtId="0" fontId="13" fillId="0" borderId="0" applyNumberFormat="0" applyFill="0" applyBorder="0" applyAlignment="0" applyProtection="0"/>
  </cellStyleXfs>
  <cellXfs count="162">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0" fontId="2" fillId="0" borderId="0" xfId="0" applyFont="1" applyFill="1" applyBorder="1"/>
    <xf numFmtId="14" fontId="4" fillId="3" borderId="1" xfId="3" applyNumberFormat="1"/>
    <xf numFmtId="9" fontId="0" fillId="0" borderId="0" xfId="4" applyFont="1"/>
    <xf numFmtId="9" fontId="4" fillId="3" borderId="1" xfId="3" applyNumberFormat="1"/>
    <xf numFmtId="0" fontId="2" fillId="0" borderId="0" xfId="0" applyFont="1" applyAlignment="1">
      <alignment wrapText="1"/>
    </xf>
    <xf numFmtId="0" fontId="0" fillId="0" borderId="0" xfId="0" applyAlignment="1">
      <alignment wrapText="1"/>
    </xf>
    <xf numFmtId="9" fontId="1" fillId="2" borderId="1" xfId="4" applyFont="1" applyFill="1" applyBorder="1"/>
    <xf numFmtId="0" fontId="1" fillId="143" borderId="1" xfId="1" applyFill="1"/>
    <xf numFmtId="0" fontId="1" fillId="144" borderId="1" xfId="1" applyFill="1"/>
    <xf numFmtId="9" fontId="1" fillId="144" borderId="1" xfId="4" applyFont="1" applyFill="1" applyBorder="1"/>
    <xf numFmtId="14" fontId="2" fillId="0" borderId="0" xfId="0" applyNumberFormat="1" applyFont="1"/>
    <xf numFmtId="14" fontId="1" fillId="143" borderId="1" xfId="1" applyNumberFormat="1" applyFill="1"/>
    <xf numFmtId="14" fontId="0" fillId="0" borderId="0" xfId="0" applyNumberFormat="1"/>
    <xf numFmtId="2" fontId="4" fillId="3" borderId="1" xfId="3" applyNumberFormat="1"/>
    <xf numFmtId="0" fontId="12" fillId="0" borderId="0" xfId="0" applyFont="1" applyAlignment="1">
      <alignment wrapText="1"/>
    </xf>
    <xf numFmtId="0" fontId="13" fillId="144" borderId="1" xfId="5" applyFill="1" applyBorder="1"/>
  </cellXfs>
  <cellStyles count="6">
    <cellStyle name="Calculation" xfId="3" builtinId="22"/>
    <cellStyle name="Hyperlink" xfId="5" builtinId="8"/>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F9F3"/>
      <color rgb="FFFFE8D1"/>
      <color rgb="FFFFE0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228600</xdr:colOff>
      <xdr:row>2</xdr:row>
      <xdr:rowOff>76200</xdr:rowOff>
    </xdr:from>
    <xdr:to>
      <xdr:col>12</xdr:col>
      <xdr:colOff>22860</xdr:colOff>
      <xdr:row>16</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28600" y="457200"/>
          <a:ext cx="7109460" cy="2600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 is this</a:t>
          </a:r>
          <a:r>
            <a:rPr lang="en-US" sz="1100"/>
            <a:t>: This spreadsheet genates</a:t>
          </a:r>
          <a:r>
            <a:rPr lang="en-US" sz="1100" baseline="0"/>
            <a:t> a visualization of how strategies, options, work and teams connect.</a:t>
          </a:r>
        </a:p>
        <a:p>
          <a:endParaRPr lang="en-US" sz="1100" baseline="0"/>
        </a:p>
        <a:p>
          <a:r>
            <a:rPr lang="en-US" sz="1100">
              <a:solidFill>
                <a:schemeClr val="dk1"/>
              </a:solidFill>
              <a:effectLst/>
              <a:latin typeface="+mn-lt"/>
              <a:ea typeface="+mn-ea"/>
              <a:cs typeface="+mn-cs"/>
            </a:rPr>
            <a:t>Ideas, errors, requests? Email: troy.magennis@focusedobjective.com</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Work licensed under a </a:t>
          </a:r>
          <a:r>
            <a:rPr lang="en-US" sz="1100" u="sng">
              <a:solidFill>
                <a:schemeClr val="dk1"/>
              </a:solidFill>
              <a:effectLst/>
              <a:latin typeface="+mn-lt"/>
              <a:ea typeface="+mn-ea"/>
              <a:cs typeface="+mn-cs"/>
              <a:hlinkClick xmlns:r="http://schemas.openxmlformats.org/officeDocument/2006/relationships" r:id=""/>
            </a:rPr>
            <a:t>Creative Commons Attribution-NonCommercial-ShareAlike 4.0 International License</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Details</a:t>
          </a:r>
          <a:r>
            <a:rPr lang="en-US" sz="1100" baseline="0">
              <a:solidFill>
                <a:schemeClr val="dk1"/>
              </a:solidFill>
              <a:effectLst/>
              <a:latin typeface="+mn-lt"/>
              <a:ea typeface="+mn-ea"/>
              <a:cs typeface="+mn-cs"/>
            </a:rPr>
            <a:t> here: </a:t>
          </a:r>
          <a:r>
            <a:rPr lang="en-US" sz="1100">
              <a:solidFill>
                <a:schemeClr val="dk1"/>
              </a:solidFill>
              <a:effectLst/>
              <a:latin typeface="+mn-lt"/>
              <a:ea typeface="+mn-ea"/>
              <a:cs typeface="+mn-cs"/>
            </a:rPr>
            <a:t>http://creativecommons.org/licenses/by-nc-sa/4.0/ and </a:t>
          </a:r>
        </a:p>
        <a:p>
          <a:r>
            <a:rPr lang="en-US" sz="1100">
              <a:solidFill>
                <a:schemeClr val="dk1"/>
              </a:solidFill>
              <a:effectLst/>
              <a:latin typeface="+mn-lt"/>
              <a:ea typeface="+mn-ea"/>
              <a:cs typeface="+mn-cs"/>
            </a:rPr>
            <a:t>http://creativecommons.org/licenses/by-nc-sa/4.0/legalcode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Get more tools like this from:</a:t>
          </a:r>
          <a:r>
            <a:rPr lang="en-US" sz="1100" b="1" baseline="0">
              <a:solidFill>
                <a:schemeClr val="dk1"/>
              </a:solidFill>
              <a:effectLst/>
              <a:latin typeface="+mn-lt"/>
              <a:ea typeface="+mn-ea"/>
              <a:cs typeface="+mn-cs"/>
            </a:rPr>
            <a:t> http://bit.ly/SimResources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About us</a:t>
          </a:r>
          <a:r>
            <a:rPr lang="en-US" sz="1100">
              <a:solidFill>
                <a:schemeClr val="dk1"/>
              </a:solidFill>
              <a:effectLst/>
              <a:latin typeface="+mn-lt"/>
              <a:ea typeface="+mn-ea"/>
              <a:cs typeface="+mn-cs"/>
            </a:rPr>
            <a:t>: Focused Objective LLC offers tools, training  and expert advice on metrics,</a:t>
          </a:r>
          <a:r>
            <a:rPr lang="en-US" sz="1100" baseline="0">
              <a:solidFill>
                <a:schemeClr val="dk1"/>
              </a:solidFill>
              <a:effectLst/>
              <a:latin typeface="+mn-lt"/>
              <a:ea typeface="+mn-ea"/>
              <a:cs typeface="+mn-cs"/>
            </a:rPr>
            <a:t> risk and forecasting. We have more advanced tools to model Agile teams and projects that help analyze staffing options and risk, and a proven track record of positive results. We are always happy to discuss next steps and training opportunities should this tool prove useful. See our website: http://www.focusedobjective.com or email me at troy.magennis@focusedobjective.com.</a:t>
          </a:r>
          <a:endParaRPr lang="en-US" sz="1100">
            <a:solidFill>
              <a:schemeClr val="dk1"/>
            </a:solidFill>
            <a:effectLst/>
            <a:latin typeface="+mn-lt"/>
            <a:ea typeface="+mn-ea"/>
            <a:cs typeface="+mn-cs"/>
          </a:endParaRPr>
        </a:p>
        <a:p>
          <a:endParaRPr lang="en-US" sz="1100" baseline="0"/>
        </a:p>
      </xdr:txBody>
    </xdr:sp>
    <xdr:clientData/>
  </xdr:twoCellAnchor>
  <xdr:twoCellAnchor>
    <xdr:from>
      <xdr:col>12</xdr:col>
      <xdr:colOff>556261</xdr:colOff>
      <xdr:row>2</xdr:row>
      <xdr:rowOff>38098</xdr:rowOff>
    </xdr:from>
    <xdr:to>
      <xdr:col>21</xdr:col>
      <xdr:colOff>600075</xdr:colOff>
      <xdr:row>28</xdr:row>
      <xdr:rowOff>114299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71461" y="419098"/>
          <a:ext cx="5530214" cy="50292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dk1"/>
              </a:solidFill>
              <a:effectLst/>
              <a:latin typeface="+mn-lt"/>
              <a:ea typeface="+mn-ea"/>
              <a:cs typeface="+mn-cs"/>
            </a:rPr>
            <a:t>About me….</a:t>
          </a:r>
          <a:r>
            <a:rPr lang="en-US" sz="1800" b="1"/>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 develop and teach how to use data in software development and operations teams</a:t>
          </a:r>
          <a:r>
            <a:rPr lang="en-US" sz="1100" b="0" i="0" u="none" strike="noStrike" baseline="0">
              <a:solidFill>
                <a:schemeClr val="dk1"/>
              </a:solidFill>
              <a:effectLst/>
              <a:latin typeface="+mn-lt"/>
              <a:ea typeface="+mn-ea"/>
              <a:cs typeface="+mn-cs"/>
            </a:rPr>
            <a:t> for coaching or forecasting.</a:t>
          </a:r>
          <a:endParaRPr lang="en-US" sz="1100" b="0" i="0" u="none" strike="noStrike">
            <a:solidFill>
              <a:schemeClr val="dk1"/>
            </a:solidFill>
            <a:effectLst/>
            <a:latin typeface="+mn-lt"/>
            <a:ea typeface="+mn-ea"/>
            <a:cs typeface="+mn-cs"/>
          </a:endParaRPr>
        </a:p>
        <a:p>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Forecasting using Data </a:t>
          </a:r>
          <a:r>
            <a:rPr lang="en-US" sz="1100" b="0" i="0" u="none" strike="noStrike">
              <a:solidFill>
                <a:schemeClr val="dk1"/>
              </a:solidFill>
              <a:effectLst/>
              <a:latin typeface="+mn-lt"/>
              <a:ea typeface="+mn-ea"/>
              <a:cs typeface="+mn-cs"/>
            </a:rPr>
            <a:t>workshop. Teach how to use these spreadsheets with practical hands-on examples</a:t>
          </a:r>
          <a:r>
            <a:rPr lang="en-US" sz="1100" b="0" i="0" u="none" strike="noStrike" baseline="0">
              <a:solidFill>
                <a:schemeClr val="dk1"/>
              </a:solidFill>
              <a:effectLst/>
              <a:latin typeface="+mn-lt"/>
              <a:ea typeface="+mn-ea"/>
              <a:cs typeface="+mn-cs"/>
            </a:rPr>
            <a:t> based on your (and my) specific examples. Often run internally, sometimes publically.</a:t>
          </a:r>
        </a:p>
        <a:p>
          <a:pPr lvl="0"/>
          <a:endParaRPr lang="en-US"/>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Data Driven Coaching </a:t>
          </a:r>
          <a:r>
            <a:rPr lang="en-US" sz="1100" b="0" i="0" u="none" strike="noStrike">
              <a:solidFill>
                <a:schemeClr val="dk1"/>
              </a:solidFill>
              <a:effectLst/>
              <a:latin typeface="+mn-lt"/>
              <a:ea typeface="+mn-ea"/>
              <a:cs typeface="+mn-cs"/>
            </a:rPr>
            <a:t>workshop. Teach how to develop data driven approaches to improvement based on balancing multiple competing metrics. </a:t>
          </a:r>
          <a:r>
            <a:rPr lang="en-US"/>
            <a:t> </a:t>
          </a:r>
          <a:r>
            <a:rPr lang="en-US" sz="1100" b="0" i="0" baseline="0">
              <a:solidFill>
                <a:schemeClr val="dk1"/>
              </a:solidFill>
              <a:effectLst/>
              <a:latin typeface="+mn-lt"/>
              <a:ea typeface="+mn-ea"/>
              <a:cs typeface="+mn-cs"/>
            </a:rPr>
            <a:t>Often run internally, sometimes publically.</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 Custom Dashboards </a:t>
          </a:r>
          <a:r>
            <a:rPr lang="en-US" sz="1100" b="0" i="0" u="none" strike="noStrike">
              <a:solidFill>
                <a:schemeClr val="dk1"/>
              </a:solidFill>
              <a:effectLst/>
              <a:latin typeface="+mn-lt"/>
              <a:ea typeface="+mn-ea"/>
              <a:cs typeface="+mn-cs"/>
            </a:rPr>
            <a:t>or giving advice on your current dashboards.</a:t>
          </a:r>
          <a:r>
            <a:rPr lang="en-US" sz="1100" b="0" i="0" u="none" strike="noStrike" baseline="0">
              <a:solidFill>
                <a:schemeClr val="dk1"/>
              </a:solidFill>
              <a:effectLst/>
              <a:latin typeface="+mn-lt"/>
              <a:ea typeface="+mn-ea"/>
              <a:cs typeface="+mn-cs"/>
            </a:rPr>
            <a:t> Take the next step in customizing our spreadsheets or deploying more advanced versions in Tableau or Power BI.</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Quantitative consulting or advice </a:t>
          </a:r>
          <a:r>
            <a:rPr lang="en-US" sz="1100" b="0" i="0" u="none" strike="noStrike">
              <a:solidFill>
                <a:schemeClr val="dk1"/>
              </a:solidFill>
              <a:effectLst/>
              <a:latin typeface="+mn-lt"/>
              <a:ea typeface="+mn-ea"/>
              <a:cs typeface="+mn-cs"/>
            </a:rPr>
            <a:t>- give me a chance to answer something you need to know. I'll work with your teams in designing a prediction system or delivering a compelling visual demonstrting the issues.</a:t>
          </a:r>
          <a:r>
            <a:rPr lang="en-US"/>
            <a:t> </a:t>
          </a:r>
        </a:p>
        <a:p>
          <a:endParaRPr lang="en-US" sz="12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Interested in chatting? Email me at troy.magennis@focusedobjective.com </a:t>
          </a:r>
        </a:p>
        <a:p>
          <a:r>
            <a:rPr lang="en-US" sz="1400" b="0" i="0" u="none" strike="noStrike">
              <a:solidFill>
                <a:schemeClr val="dk1"/>
              </a:solidFill>
              <a:effectLst/>
              <a:latin typeface="+mn-lt"/>
              <a:ea typeface="+mn-ea"/>
              <a:cs typeface="+mn-cs"/>
            </a:rPr>
            <a:t>Interested in stalking? Follow me on twitter @t_magennis</a:t>
          </a:r>
          <a:r>
            <a:rPr lang="en-US" sz="1400" b="0"/>
            <a:t> </a:t>
          </a:r>
        </a:p>
        <a:p>
          <a:r>
            <a:rPr lang="en-US" sz="1200" b="0"/>
            <a:t>(best way to hear about new and improved spreadsheets like this)</a:t>
          </a:r>
          <a:endParaRPr lang="en-US" sz="1400" b="0"/>
        </a:p>
      </xdr:txBody>
    </xdr:sp>
    <xdr:clientData/>
  </xdr:twoCellAnchor>
  <xdr:twoCellAnchor editAs="oneCell">
    <xdr:from>
      <xdr:col>9</xdr:col>
      <xdr:colOff>381000</xdr:colOff>
      <xdr:row>8</xdr:row>
      <xdr:rowOff>171450</xdr:rowOff>
    </xdr:from>
    <xdr:to>
      <xdr:col>10</xdr:col>
      <xdr:colOff>555625</xdr:colOff>
      <xdr:row>10</xdr:row>
      <xdr:rowOff>102870</xdr:rowOff>
    </xdr:to>
    <xdr:pic>
      <xdr:nvPicPr>
        <xdr:cNvPr id="6" name="Picture 5" descr="Creative Commons Licens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1695450"/>
          <a:ext cx="784225" cy="312420"/>
        </a:xfrm>
        <a:prstGeom prst="rect">
          <a:avLst/>
        </a:prstGeom>
        <a:noFill/>
        <a:ln>
          <a:noFill/>
        </a:ln>
      </xdr:spPr>
    </xdr:pic>
    <xdr:clientData/>
  </xdr:twoCellAnchor>
  <xdr:twoCellAnchor editAs="oneCell">
    <xdr:from>
      <xdr:col>0</xdr:col>
      <xdr:colOff>390525</xdr:colOff>
      <xdr:row>19</xdr:row>
      <xdr:rowOff>132766</xdr:rowOff>
    </xdr:from>
    <xdr:to>
      <xdr:col>11</xdr:col>
      <xdr:colOff>542925</xdr:colOff>
      <xdr:row>50</xdr:row>
      <xdr:rowOff>104551</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3752266"/>
          <a:ext cx="6858000" cy="587728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xdr:spPr>
    </xdr:pic>
    <xdr:clientData/>
  </xdr:twoCellAnchor>
  <xdr:twoCellAnchor>
    <xdr:from>
      <xdr:col>8</xdr:col>
      <xdr:colOff>590549</xdr:colOff>
      <xdr:row>26</xdr:row>
      <xdr:rowOff>152400</xdr:rowOff>
    </xdr:from>
    <xdr:to>
      <xdr:col>11</xdr:col>
      <xdr:colOff>409574</xdr:colOff>
      <xdr:row>29</xdr:row>
      <xdr:rowOff>152400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5467349" y="5105400"/>
          <a:ext cx="1647825" cy="571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Animated dots means work has started.</a:t>
          </a:r>
        </a:p>
      </xdr:txBody>
    </xdr:sp>
    <xdr:clientData/>
  </xdr:twoCellAnchor>
  <xdr:twoCellAnchor>
    <xdr:from>
      <xdr:col>6</xdr:col>
      <xdr:colOff>66674</xdr:colOff>
      <xdr:row>46</xdr:row>
      <xdr:rowOff>76200</xdr:rowOff>
    </xdr:from>
    <xdr:to>
      <xdr:col>10</xdr:col>
      <xdr:colOff>380999</xdr:colOff>
      <xdr:row>49</xdr:row>
      <xdr:rowOff>171450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3724274" y="8839200"/>
          <a:ext cx="2752725" cy="666750"/>
        </a:xfrm>
        <a:prstGeom prst="wedgeRoundRectCallout">
          <a:avLst>
            <a:gd name="adj1" fmla="val 52550"/>
            <a:gd name="adj2" fmla="val -2178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This team has more work assigned than capacity. They will likely be a constraint</a:t>
          </a:r>
        </a:p>
      </xdr:txBody>
    </xdr:sp>
    <xdr:clientData/>
  </xdr:twoCellAnchor>
  <xdr:twoCellAnchor>
    <xdr:from>
      <xdr:col>0</xdr:col>
      <xdr:colOff>419101</xdr:colOff>
      <xdr:row>26</xdr:row>
      <xdr:rowOff>66674</xdr:rowOff>
    </xdr:from>
    <xdr:to>
      <xdr:col>4</xdr:col>
      <xdr:colOff>523875</xdr:colOff>
      <xdr:row>30</xdr:row>
      <xdr:rowOff>57149</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419101" y="5019674"/>
          <a:ext cx="2543174" cy="752475"/>
        </a:xfrm>
        <a:prstGeom prst="wedgeRoundRectCallout">
          <a:avLst>
            <a:gd name="adj1" fmla="val 21942"/>
            <a:gd name="adj2" fmla="val 87500"/>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Color indicates priority. Ideally</a:t>
          </a:r>
          <a:r>
            <a:rPr lang="en-US" sz="1100" baseline="0"/>
            <a:t> no low priority work started before these reds and oranges.</a:t>
          </a:r>
          <a:endParaRPr lang="en-US" sz="1100"/>
        </a:p>
      </xdr:txBody>
    </xdr:sp>
    <xdr:clientData/>
  </xdr:twoCellAnchor>
  <xdr:twoCellAnchor>
    <xdr:from>
      <xdr:col>0</xdr:col>
      <xdr:colOff>333375</xdr:colOff>
      <xdr:row>16</xdr:row>
      <xdr:rowOff>95249</xdr:rowOff>
    </xdr:from>
    <xdr:to>
      <xdr:col>4</xdr:col>
      <xdr:colOff>485775</xdr:colOff>
      <xdr:row>19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333375" y="3143249"/>
          <a:ext cx="2590800"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Do the RIGHT work</a:t>
          </a:r>
        </a:p>
      </xdr:txBody>
    </xdr:sp>
    <xdr:clientData/>
  </xdr:twoCellAnchor>
  <xdr:twoCellAnchor>
    <xdr:from>
      <xdr:col>4</xdr:col>
      <xdr:colOff>571500</xdr:colOff>
      <xdr:row>16</xdr:row>
      <xdr:rowOff>104774</xdr:rowOff>
    </xdr:from>
    <xdr:to>
      <xdr:col>8</xdr:col>
      <xdr:colOff>523875</xdr:colOff>
      <xdr:row>19</xdr:row>
      <xdr:rowOff>76200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3009900" y="3152774"/>
          <a:ext cx="2390775"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WHAT work is being done</a:t>
          </a:r>
        </a:p>
      </xdr:txBody>
    </xdr:sp>
    <xdr:clientData/>
  </xdr:twoCellAnchor>
  <xdr:twoCellAnchor>
    <xdr:from>
      <xdr:col>9</xdr:col>
      <xdr:colOff>47626</xdr:colOff>
      <xdr:row>16</xdr:row>
      <xdr:rowOff>114299</xdr:rowOff>
    </xdr:from>
    <xdr:to>
      <xdr:col>11</xdr:col>
      <xdr:colOff>581026</xdr:colOff>
      <xdr:row>19</xdr:row>
      <xdr:rowOff>85724</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5534026" y="3162299"/>
          <a:ext cx="17526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Avoid Overcommitting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409574</xdr:colOff>
      <xdr:row>1</xdr:row>
      <xdr:rowOff>180975</xdr:rowOff>
    </xdr:from>
    <xdr:to>
      <xdr:col>10</xdr:col>
      <xdr:colOff>276225</xdr:colOff>
      <xdr:row>15</xdr:row>
      <xdr:rowOff>9525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839324" y="37147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 Strategy and its priority.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Helping people see how their work aligns to larger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strategy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is important to</a:t>
          </a:r>
          <a:r>
            <a:rPr lang="en-US" sz="1100" baseline="0">
              <a:solidFill>
                <a:schemeClr val="dk1"/>
              </a:solidFill>
              <a:effectLst/>
              <a:latin typeface="+mn-lt"/>
              <a:ea typeface="+mn-ea"/>
              <a:cs typeface="+mn-cs"/>
            </a:rPr>
            <a:t> making sure people doing the work deliver the right intent</a:t>
          </a:r>
          <a:r>
            <a:rPr lang="en-US" sz="1100">
              <a:solidFill>
                <a:schemeClr val="dk1"/>
              </a:solidFill>
              <a:effectLst/>
              <a:latin typeface="+mn-lt"/>
              <a:ea typeface="+mn-ea"/>
              <a:cs typeface="+mn-cs"/>
            </a:rPr>
            <a:t>. To help them make better local prioritization decisions day to day, help everyone see the relative priority between strategies. This maimizes the chance they start the right work, in the right order.</a:t>
          </a:r>
        </a:p>
        <a:p>
          <a:endParaRPr lang="en-US" sz="1100"/>
        </a:p>
        <a:p>
          <a:r>
            <a:rPr lang="en-US" sz="1100"/>
            <a:t>You can alter the priorities listed in the Settings worksheet. By default, priority defines the node color for each strategy, but you can override that color specifically using the Color Override value.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409575</xdr:colOff>
      <xdr:row>1</xdr:row>
      <xdr:rowOff>85724</xdr:rowOff>
    </xdr:from>
    <xdr:to>
      <xdr:col>14</xdr:col>
      <xdr:colOff>466725</xdr:colOff>
      <xdr:row>14</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610600" y="466724"/>
          <a:ext cx="4933950" cy="24003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Know what teams you have and their total capacity for a "period of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link teams to work, we need to know the teams. This spreadsheet totals up the allocated work to each team and highlights teams that are approaching or exceeding their capacity.</a:t>
          </a:r>
          <a:r>
            <a:rPr lang="en-US" sz="1100" baseline="0">
              <a:solidFill>
                <a:schemeClr val="dk1"/>
              </a:solidFill>
              <a:effectLst/>
              <a:latin typeface="+mn-lt"/>
              <a:ea typeface="+mn-ea"/>
              <a:cs typeface="+mn-cs"/>
            </a:rPr>
            <a:t> The units for team capacity should be either total work item count for a fixed period, or total story points for a fixed period. It can be any unit really, but you have to use the same unit when defining the work item size.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By default, team node color will be allocation percentage. You cn define these limits and colors in the Settings worksheet. If you wnt a node to be a specific color, then you cn override it using the Color Override column.</a:t>
          </a:r>
          <a:endParaRPr lang="en-US" sz="110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247650</xdr:colOff>
      <xdr:row>1</xdr:row>
      <xdr:rowOff>161925</xdr:rowOff>
    </xdr:from>
    <xdr:to>
      <xdr:col>14</xdr:col>
      <xdr:colOff>114301</xdr:colOff>
      <xdr:row>14</xdr:row>
      <xdr:rowOff>180975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3134975" y="35242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a:t>
          </a:r>
          <a:r>
            <a:rPr lang="en-US" sz="1100" b="1" baseline="0">
              <a:solidFill>
                <a:schemeClr val="dk1"/>
              </a:solidFill>
              <a:effectLst/>
              <a:latin typeface="+mn-lt"/>
              <a:ea typeface="+mn-ea"/>
              <a:cs typeface="+mn-cs"/>
            </a:rPr>
            <a:t> Option Pool of MVP/Iniative/Epics and their priority; Drive finishing one of these before starting the next.</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t>List the options of collections of work that are deliverable. This</a:t>
          </a:r>
          <a:r>
            <a:rPr lang="en-US" sz="1100" baseline="0"/>
            <a:t> helps everyone see the target deliverable and how their work contributes. Often times every feature is started at one time and they all miss a delivery vehicle.</a:t>
          </a:r>
          <a:endParaRPr lang="en-US" sz="1100"/>
        </a:p>
        <a:p>
          <a:endParaRPr lang="en-US" sz="1100"/>
        </a:p>
        <a:p>
          <a:r>
            <a:rPr lang="en-US" sz="1100"/>
            <a:t>You can alter the priorities listed in the Settings worksheet. By default, priority defines the node color for each item, but you can override that color specifically using the Color Override value.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200025</xdr:colOff>
      <xdr:row>2</xdr:row>
      <xdr:rowOff>28575</xdr:rowOff>
    </xdr:from>
    <xdr:to>
      <xdr:col>15</xdr:col>
      <xdr:colOff>66676</xdr:colOff>
      <xdr:row>14</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44825" y="409575"/>
          <a:ext cx="3524251" cy="2266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List the work for</a:t>
          </a:r>
          <a:r>
            <a:rPr lang="en-US" sz="1100" b="1" baseline="0">
              <a:solidFill>
                <a:schemeClr val="dk1"/>
              </a:solidFill>
              <a:effectLst/>
              <a:latin typeface="+mn-lt"/>
              <a:ea typeface="+mn-ea"/>
              <a:cs typeface="+mn-cs"/>
            </a:rPr>
            <a:t> a team and an MVP/Initiative/Epic and see if it has started or is finished</a:t>
          </a:r>
          <a:r>
            <a:rPr lang="en-US" sz="1100" b="1">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t>This sheet defines the individual work items that need to be build in order to deliver an MVP/Initiative/Epic. </a:t>
          </a:r>
        </a:p>
        <a:p>
          <a:endParaRPr lang="en-US" sz="1100"/>
        </a:p>
        <a:p>
          <a:r>
            <a:rPr lang="en-US" sz="1100"/>
            <a:t>By default, work</a:t>
          </a:r>
          <a:r>
            <a:rPr lang="en-US" sz="1100" baseline="0"/>
            <a:t> state </a:t>
          </a:r>
          <a:r>
            <a:rPr lang="en-US" sz="1100"/>
            <a:t>defines the node color for each item, but you can override that color specifically using the Color Override value. Work state is computed</a:t>
          </a:r>
          <a:r>
            <a:rPr lang="en-US" sz="1100" baseline="0"/>
            <a:t> using the start and finish dates. No start date = Not started; Start date but no finish date = In Progress; Finish date = finished.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28745629"/>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99" y="3514726"/>
          <a:ext cx="13192125" cy="128745629"/>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 type="text/javascript"</a:t>
          </a:r>
        </a:p>
        <a:p>
          <a:r>
            <a:rPr lang="en-US" sz="1100"/>
            <a:t>            src="https://cdnjs.cloudflare.com/ajax/libs/jquery/3.3.1/jquery.js"&gt;&lt;/script&gt;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r>
            <a:rPr lang="en-US" sz="1100"/>
            <a: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r>
            <a:rPr lang="en-US" sz="1100"/>
            <a:t>    &lt;/style&gt;</a:t>
          </a:r>
        </a:p>
        <a:p>
          <a:endParaRPr lang="en-US" sz="1100"/>
        </a:p>
        <a:p>
          <a:r>
            <a:rPr lang="en-US" sz="1100"/>
            <a:t>    &lt;script type="text/javascript"&gt;</a:t>
          </a:r>
        </a:p>
        <a:p>
          <a:endParaRPr lang="en-US" sz="1100"/>
        </a:p>
        <a:p>
          <a:r>
            <a:rPr lang="en-US" sz="1100"/>
            <a:t>        var sankeyData = {</a:t>
          </a:r>
        </a:p>
        <a:p>
          <a:r>
            <a:rPr lang="en-US" sz="1100"/>
            <a:t>            </a:t>
          </a:r>
        </a:p>
        <a:p>
          <a:r>
            <a:rPr lang="en-US" sz="1100"/>
            <a:t>{{OPTIONS}},</a:t>
          </a:r>
        </a:p>
        <a:p>
          <a:endParaRPr lang="en-US" sz="1100"/>
        </a:p>
        <a:p>
          <a:r>
            <a:rPr lang="en-US" sz="1100"/>
            <a:t>{{NODES}},</a:t>
          </a:r>
        </a:p>
        <a:p>
          <a:endParaRPr lang="en-US" sz="1100"/>
        </a:p>
        <a:p>
          <a:r>
            <a:rPr lang="en-US" sz="1100"/>
            <a:t>{{LINKS}}</a:t>
          </a:r>
        </a:p>
        <a:p>
          <a:endParaRPr lang="en-US" sz="1100"/>
        </a:p>
        <a:p>
          <a:r>
            <a:rPr lang="en-US" sz="1100"/>
            <a:t>        };</a:t>
          </a:r>
        </a:p>
        <a:p>
          <a:endParaRPr lang="en-US" sz="1100"/>
        </a:p>
        <a:p>
          <a:endParaRPr lang="en-US" sz="1100"/>
        </a:p>
        <a:p>
          <a:r>
            <a:rPr lang="en-US" sz="1100"/>
            <a:t>        const minDate = sankeyData.nodes.reduce(function (minDate, node) {</a:t>
          </a:r>
        </a:p>
        <a:p>
          <a:r>
            <a:rPr lang="en-US" sz="1100"/>
            <a:t>            if (minDate &gt; new Date(node.startDate)) {</a:t>
          </a:r>
        </a:p>
        <a:p>
          <a:r>
            <a:rPr lang="en-US" sz="1100"/>
            <a:t>                return new Date(node.startDate);</a:t>
          </a:r>
        </a:p>
        <a:p>
          <a:r>
            <a:rPr lang="en-US" sz="1100"/>
            <a:t>            }</a:t>
          </a:r>
        </a:p>
        <a:p>
          <a:endParaRPr lang="en-US" sz="1100"/>
        </a:p>
        <a:p>
          <a:r>
            <a:rPr lang="en-US" sz="1100"/>
            <a:t>            return minDate;</a:t>
          </a:r>
        </a:p>
        <a:p>
          <a:r>
            <a:rPr lang="en-US" sz="1100"/>
            <a:t>        }, new Date());</a:t>
          </a:r>
        </a:p>
        <a:p>
          <a:endParaRPr lang="en-US" sz="1100"/>
        </a:p>
        <a:p>
          <a:r>
            <a:rPr lang="en-US" sz="1100"/>
            <a:t>        const maxDate = sankeyData.nodes.reduce(function (maxDate, node) {</a:t>
          </a:r>
        </a:p>
        <a:p>
          <a:r>
            <a:rPr lang="en-US" sz="1100"/>
            <a:t>            if (maxDate &lt; new Date(node.startDate)) {</a:t>
          </a:r>
        </a:p>
        <a:p>
          <a:r>
            <a:rPr lang="en-US" sz="1100"/>
            <a:t>                return new Date(node.startDate);</a:t>
          </a:r>
        </a:p>
        <a:p>
          <a:r>
            <a:rPr lang="en-US" sz="1100"/>
            <a:t>            }</a:t>
          </a:r>
        </a:p>
        <a:p>
          <a:endParaRPr lang="en-US" sz="1100"/>
        </a:p>
        <a:p>
          <a:r>
            <a:rPr lang="en-US" sz="1100"/>
            <a:t>            return maxDate;</a:t>
          </a:r>
        </a:p>
        <a:p>
          <a:r>
            <a:rPr lang="en-US" sz="1100"/>
            <a:t>        }, minDate);</a:t>
          </a:r>
        </a:p>
        <a:p>
          <a:endParaRPr lang="en-US" sz="1100"/>
        </a:p>
        <a:p>
          <a:r>
            <a:rPr lang="en-US" sz="1100"/>
            <a:t>        window.onload = function () {</a:t>
          </a:r>
        </a:p>
        <a:p>
          <a:endParaRPr lang="en-US" sz="1100"/>
        </a:p>
        <a:p>
          <a:r>
            <a:rPr lang="en-US" sz="1100"/>
            <a:t>            // intervals is number of calendar days between the lowest and highest date</a:t>
          </a:r>
        </a:p>
        <a:p>
          <a:r>
            <a:rPr lang="en-US" sz="1100"/>
            <a:t>            const intervals = (maxDate - minDate) / (1000 * 60 * 60 * 24);</a:t>
          </a:r>
        </a:p>
        <a:p>
          <a:endParaRPr lang="en-US" sz="1100"/>
        </a:p>
        <a:p>
          <a:r>
            <a:rPr lang="en-US" sz="1100"/>
            <a:t>            document.getElementById("filterByDate").setAttribute("max", intervals);</a:t>
          </a:r>
        </a:p>
        <a:p>
          <a:r>
            <a:rPr lang="en-US" sz="1100"/>
            <a:t>            document.getElementById("filterByDate").setAttribute("value", intervals);</a:t>
          </a:r>
        </a:p>
        <a:p>
          <a:endParaRPr lang="en-US" sz="1100"/>
        </a:p>
        <a:p>
          <a:r>
            <a:rPr lang="en-US" sz="1100"/>
            <a:t>            document.getElementById("minDateLabel").textContent = minDate.toDateString();</a:t>
          </a:r>
        </a:p>
        <a:p>
          <a:r>
            <a:rPr lang="en-US" sz="1100"/>
            <a:t>            document.getElementById("maxDateLabel").textContent = maxDate.toDateString();</a:t>
          </a:r>
        </a:p>
        <a:p>
          <a:r>
            <a:rPr lang="en-US" sz="1100"/>
            <a:t>            </a:t>
          </a:r>
        </a:p>
        <a:p>
          <a:r>
            <a:rPr lang="en-US" sz="1100"/>
            <a:t>            // draw</a:t>
          </a:r>
        </a:p>
        <a:p>
          <a:r>
            <a:rPr lang="en-US" sz="1100"/>
            <a:t>            updateDateLabel();</a:t>
          </a:r>
        </a:p>
        <a:p>
          <a:r>
            <a:rPr lang="en-US" sz="1100"/>
            <a:t>        };</a:t>
          </a:r>
        </a:p>
        <a:p>
          <a:endParaRPr lang="en-US" sz="1100"/>
        </a:p>
        <a:p>
          <a:r>
            <a:rPr lang="en-US" sz="1100"/>
            <a:t>        Date.prototype.addDays = function(days) {</a:t>
          </a:r>
        </a:p>
        <a:p>
          <a:r>
            <a:rPr lang="en-US" sz="1100"/>
            <a:t>            var date = new Date(this.valueOf());</a:t>
          </a:r>
        </a:p>
        <a:p>
          <a:r>
            <a:rPr lang="en-US" sz="1100"/>
            <a:t>            date.setDate(date.getDate() + days);</a:t>
          </a:r>
        </a:p>
        <a:p>
          <a:r>
            <a:rPr lang="en-US" sz="1100"/>
            <a:t>            return date;</a:t>
          </a:r>
        </a:p>
        <a:p>
          <a:r>
            <a:rPr lang="en-US" sz="1100"/>
            <a:t>        }</a:t>
          </a:r>
        </a:p>
        <a:p>
          <a:endParaRPr lang="en-US" sz="1100"/>
        </a:p>
        <a:p>
          <a:r>
            <a:rPr lang="en-US" sz="1100"/>
            <a:t>        function updateDateLabel() {</a:t>
          </a:r>
        </a:p>
        <a:p>
          <a:r>
            <a:rPr lang="en-US" sz="1100"/>
            <a:t>            const dateLabelElement = document.getElementById("filterByDateValue");</a:t>
          </a:r>
        </a:p>
        <a:p>
          <a:r>
            <a:rPr lang="en-US" sz="1100"/>
            <a:t>            const dateLabel = document.getElementById("filterByDate").value;</a:t>
          </a:r>
        </a:p>
        <a:p>
          <a:r>
            <a:rPr lang="en-US" sz="1100"/>
            <a:t>            dateLabelElement.innerHTML = " (showing as of date: " + minDate.addDays(parseInt(dateLabel)).toDateString() + ")";</a:t>
          </a:r>
        </a:p>
        <a:p>
          <a:endParaRPr lang="en-US" sz="1100"/>
        </a:p>
        <a:p>
          <a:r>
            <a:rPr lang="en-US" sz="1100"/>
            <a:t>            drawSankey(minDate.addDays(parseInt(dateLabel)), sankeyData);</a:t>
          </a:r>
        </a:p>
        <a:p>
          <a:r>
            <a:rPr lang="en-US" sz="1100"/>
            <a:t>        }</a:t>
          </a:r>
        </a:p>
        <a:p>
          <a:endParaRPr lang="en-US" sz="1100"/>
        </a:p>
        <a:p>
          <a:endParaRPr lang="en-US" sz="1100"/>
        </a:p>
        <a:p>
          <a:r>
            <a:rPr lang="en-US" sz="1100"/>
            <a:t>        function workItemStatus(dateValue, startDate, finishDate) {</a:t>
          </a:r>
        </a:p>
        <a:p>
          <a:r>
            <a:rPr lang="en-US" sz="1100"/>
            <a:t>            if (startDate == "") {</a:t>
          </a:r>
        </a:p>
        <a:p>
          <a:r>
            <a:rPr lang="en-US" sz="1100"/>
            <a:t>                // easy case, no start date ever</a:t>
          </a:r>
        </a:p>
        <a:p>
          <a:r>
            <a:rPr lang="en-US" sz="1100"/>
            <a:t>                return "Not Started"</a:t>
          </a:r>
        </a:p>
        <a:p>
          <a:r>
            <a:rPr lang="en-US" sz="1100"/>
            <a:t>            }</a:t>
          </a:r>
        </a:p>
        <a:p>
          <a:r>
            <a:rPr lang="en-US" sz="1100"/>
            <a:t>            else</a:t>
          </a:r>
        </a:p>
        <a:p>
          <a:r>
            <a:rPr lang="en-US" sz="1100"/>
            <a:t>            {</a:t>
          </a:r>
        </a:p>
        <a:p>
          <a:r>
            <a:rPr lang="en-US" sz="1100"/>
            <a:t>                var startDateAsDate = new Date(startDate);</a:t>
          </a:r>
        </a:p>
        <a:p>
          <a:r>
            <a:rPr lang="en-US" sz="1100"/>
            <a:t>                if (dateValue &lt; startDateAsDate) {</a:t>
          </a:r>
        </a:p>
        <a:p>
          <a:r>
            <a:rPr lang="en-US" sz="1100"/>
            <a:t>                    // has a start date, but AFTER the passed in date</a:t>
          </a:r>
        </a:p>
        <a:p>
          <a:r>
            <a:rPr lang="en-US" sz="1100"/>
            <a:t>                    return "Not Started";</a:t>
          </a:r>
        </a:p>
        <a:p>
          <a:r>
            <a:rPr lang="en-US" sz="1100"/>
            <a:t>                }</a:t>
          </a:r>
        </a:p>
        <a:p>
          <a:r>
            <a:rPr lang="en-US" sz="1100"/>
            <a:t>                else</a:t>
          </a:r>
        </a:p>
        <a:p>
          <a:r>
            <a:rPr lang="en-US" sz="1100"/>
            <a:t>                {</a:t>
          </a:r>
        </a:p>
        <a:p>
          <a:r>
            <a:rPr lang="en-US" sz="1100"/>
            <a:t>                    if (finishDate == "") {</a:t>
          </a:r>
        </a:p>
        <a:p>
          <a:r>
            <a:rPr lang="en-US" sz="1100"/>
            <a:t>                        // ease case, never finished</a:t>
          </a:r>
        </a:p>
        <a:p>
          <a:r>
            <a:rPr lang="en-US" sz="1100"/>
            <a:t>                        return "In Progress";</a:t>
          </a:r>
        </a:p>
        <a:p>
          <a:r>
            <a:rPr lang="en-US" sz="1100"/>
            <a:t>                    }</a:t>
          </a:r>
        </a:p>
        <a:p>
          <a:r>
            <a:rPr lang="en-US" sz="1100"/>
            <a:t>                    else</a:t>
          </a:r>
        </a:p>
        <a:p>
          <a:r>
            <a:rPr lang="en-US" sz="1100"/>
            <a:t>                    {</a:t>
          </a:r>
        </a:p>
        <a:p>
          <a:r>
            <a:rPr lang="en-US" sz="1100"/>
            <a:t>                        var finishDateAsDate = new Date(finishDate);</a:t>
          </a:r>
        </a:p>
        <a:p>
          <a:endParaRPr lang="en-US" sz="1100"/>
        </a:p>
        <a:p>
          <a:r>
            <a:rPr lang="en-US" sz="1100"/>
            <a:t>                        // could be finished already</a:t>
          </a:r>
        </a:p>
        <a:p>
          <a:r>
            <a:rPr lang="en-US" sz="1100"/>
            <a:t>                        if (dateValue &gt; finishDateAsDate)</a:t>
          </a:r>
        </a:p>
        <a:p>
          <a:r>
            <a:rPr lang="en-US" sz="1100"/>
            <a:t>                            return "Finished";</a:t>
          </a:r>
        </a:p>
        <a:p>
          <a:r>
            <a:rPr lang="en-US" sz="1100"/>
            <a:t>                        else</a:t>
          </a:r>
        </a:p>
        <a:p>
          <a:r>
            <a:rPr lang="en-US" sz="1100"/>
            <a:t>                            return "In Progress";</a:t>
          </a:r>
        </a:p>
        <a:p>
          <a:r>
            <a:rPr lang="en-US" sz="1100"/>
            <a:t>                    }</a:t>
          </a:r>
        </a:p>
        <a:p>
          <a:r>
            <a:rPr lang="en-US" sz="1100"/>
            <a:t>                }</a:t>
          </a:r>
        </a:p>
        <a:p>
          <a:r>
            <a:rPr lang="en-US" sz="1100"/>
            <a:t>            }</a:t>
          </a:r>
        </a:p>
        <a:p>
          <a:endParaRPr lang="en-US" sz="1100"/>
        </a:p>
        <a:p>
          <a:r>
            <a:rPr lang="en-US" sz="1100"/>
            <a:t>            // only remaining case</a:t>
          </a:r>
        </a:p>
        <a:p>
          <a:r>
            <a:rPr lang="en-US" sz="1100"/>
            <a:t>            return "Finished";</a:t>
          </a:r>
        </a:p>
        <a:p>
          <a:r>
            <a:rPr lang="en-US" sz="1100"/>
            <a:t>        }</a:t>
          </a:r>
        </a:p>
        <a:p>
          <a:endParaRPr lang="en-US" sz="1100"/>
        </a:p>
        <a:p>
          <a:r>
            <a:rPr lang="en-US" sz="1100"/>
            <a:t>        function drawSankey(timeTravelDate, sankeyData) {</a:t>
          </a:r>
        </a:p>
        <a:p>
          <a:endParaRPr lang="en-US" sz="1100"/>
        </a:p>
        <a:p>
          <a:r>
            <a:rPr lang="en-US" sz="1100"/>
            <a:t>            // cleanup from last draw</a:t>
          </a:r>
        </a:p>
        <a:p>
          <a:r>
            <a:rPr lang="en-US" sz="1100"/>
            <a:t>            if (d3.select("#chart") != null) {</a:t>
          </a:r>
        </a:p>
        <a:p>
          <a:r>
            <a:rPr lang="en-US" sz="1100"/>
            <a:t>                d3.select("svg").remove();</a:t>
          </a:r>
        </a:p>
        <a:p>
          <a:r>
            <a:rPr lang="en-US" sz="1100"/>
            <a:t>                sankey = null;</a:t>
          </a:r>
        </a:p>
        <a:p>
          <a:r>
            <a:rPr lang="en-US" sz="1100"/>
            <a:t>            }</a:t>
          </a:r>
        </a:p>
        <a:p>
          <a:endParaRPr lang="en-US" sz="1100"/>
        </a:p>
        <a:p>
          <a:r>
            <a:rPr lang="en-US" sz="1100"/>
            <a:t>            // empty particles</a:t>
          </a:r>
        </a:p>
        <a:p>
          <a:r>
            <a:rPr lang="en-US" sz="1100"/>
            <a:t>            t = null;</a:t>
          </a:r>
        </a:p>
        <a:p>
          <a:r>
            <a:rPr lang="en-US" sz="1100"/>
            <a:t>            var particles = [];</a:t>
          </a:r>
        </a:p>
        <a:p>
          <a:endParaRPr lang="en-US" sz="1100"/>
        </a:p>
        <a:p>
          <a:r>
            <a:rPr lang="en-US" sz="1100"/>
            <a:t>            sankeyData.links</a:t>
          </a:r>
        </a:p>
        <a:p>
          <a:r>
            <a:rPr lang="en-US" sz="1100"/>
            <a:t>            .forEach(function (link) {</a:t>
          </a:r>
        </a:p>
        <a:p>
          <a:r>
            <a:rPr lang="en-US" sz="1100"/>
            <a:t>                delete link.freq;</a:t>
          </a:r>
        </a:p>
        <a:p>
          <a:r>
            <a:rPr lang="en-US" sz="1100"/>
            <a:t>                delete link.particleSize;</a:t>
          </a:r>
        </a:p>
        <a:p>
          <a:r>
            <a:rPr lang="en-US" sz="1100"/>
            <a:t>                delete link.particlColor;</a:t>
          </a:r>
        </a:p>
        <a:p>
          <a:r>
            <a:rPr lang="en-US" sz="1100"/>
            <a:t>            })</a:t>
          </a:r>
        </a:p>
        <a:p>
          <a:endParaRPr lang="en-US" sz="1100"/>
        </a:p>
        <a:p>
          <a:endParaRPr lang="en-US" sz="1100"/>
        </a:p>
        <a:p>
          <a:r>
            <a:rPr lang="en-US" sz="1100"/>
            <a:t>            // pass selected date into the sankey generator, compute in-progress flags</a:t>
          </a:r>
        </a:p>
        <a:p>
          <a:r>
            <a:rPr lang="en-US" sz="1100"/>
            <a:t>            sankeyData.links.forEach((link) =&gt; {</a:t>
          </a:r>
        </a:p>
        <a:p>
          <a:r>
            <a:rPr lang="en-US" sz="1100"/>
            <a:t>                if (link.type != "strategy-initiative")</a:t>
          </a:r>
        </a:p>
        <a:p>
          <a:r>
            <a:rPr lang="en-US" sz="1100"/>
            <a:t>                    link.progress = workItemStatus(timeTravelDate, link.startDate, link.finishDate);</a:t>
          </a:r>
        </a:p>
        <a:p>
          <a:r>
            <a:rPr lang="en-US" sz="1100"/>
            <a:t>            });</a:t>
          </a:r>
        </a:p>
        <a:p>
          <a:endParaRPr lang="en-US" sz="1100"/>
        </a:p>
        <a:p>
          <a:r>
            <a:rPr lang="en-US" sz="1100"/>
            <a:t>            sankeyData.nodes.forEach((node) =&gt; {</a:t>
          </a:r>
        </a:p>
        <a:p>
          <a:r>
            <a:rPr lang="en-US" sz="1100"/>
            <a:t>                if (node.type == "work")</a:t>
          </a:r>
        </a:p>
        <a:p>
          <a:r>
            <a:rPr lang="en-US" sz="1100"/>
            <a:t>                    node.progress = workItemStatus(timeTravelDate, node.startDate, node.finishDate);</a:t>
          </a:r>
        </a:p>
        <a:p>
          <a:r>
            <a:rPr lang="en-US" sz="1100"/>
            <a:t>            });</a:t>
          </a:r>
        </a:p>
        <a:p>
          <a:endParaRPr lang="en-US" sz="1100"/>
        </a:p>
        <a:p>
          <a:endParaRPr lang="en-US" sz="1100"/>
        </a:p>
        <a:p>
          <a:r>
            <a:rPr lang="en-US" sz="1100"/>
            <a:t>            // update the status color of the work item node based on progress flag.</a:t>
          </a:r>
        </a:p>
        <a:p>
          <a:r>
            <a:rPr lang="en-US" sz="1100"/>
            <a:t>            sankeyData.nodes</a:t>
          </a:r>
        </a:p>
        <a:p>
          <a:r>
            <a:rPr lang="en-US" sz="1100"/>
            <a:t>            .filter((node) =&gt; {</a:t>
          </a:r>
        </a:p>
        <a:p>
          <a:r>
            <a:rPr lang="en-US" sz="1100"/>
            <a:t>                return node.type == "work";</a:t>
          </a:r>
        </a:p>
        <a:p>
          <a:r>
            <a:rPr lang="en-US" sz="1100"/>
            <a:t>            })</a:t>
          </a:r>
        </a:p>
        <a:p>
          <a:r>
            <a:rPr lang="en-US" sz="1100"/>
            <a:t>            .forEach((node) =&gt; {</a:t>
          </a:r>
        </a:p>
        <a:p>
          <a:r>
            <a:rPr lang="en-US" sz="1100"/>
            <a:t>                //color overridden</a:t>
          </a:r>
        </a:p>
        <a:p>
          <a:r>
            <a:rPr lang="en-US" sz="1100"/>
            <a:t>                if (node.colorOverride != "") {</a:t>
          </a:r>
        </a:p>
        <a:p>
          <a:r>
            <a:rPr lang="en-US" sz="1100"/>
            <a:t>                    node.color = colorOverride;</a:t>
          </a:r>
        </a:p>
        <a:p>
          <a:r>
            <a:rPr lang="en-US" sz="1100"/>
            <a:t>                }</a:t>
          </a:r>
        </a:p>
        <a:p>
          <a:r>
            <a:rPr lang="en-US" sz="1100"/>
            <a:t>                else {</a:t>
          </a:r>
        </a:p>
        <a:p>
          <a:r>
            <a:rPr lang="en-US" sz="1100"/>
            <a:t>                    // color based on progress as of the time travel "date"</a:t>
          </a:r>
        </a:p>
        <a:p>
          <a:r>
            <a:rPr lang="en-US" sz="1100"/>
            <a:t>                    if (node.progress == "Not Started")</a:t>
          </a:r>
        </a:p>
        <a:p>
          <a:r>
            <a:rPr lang="en-US" sz="1100"/>
            <a:t>                        node.color = sankeyData.options["notStartedColor"];</a:t>
          </a:r>
        </a:p>
        <a:p>
          <a:r>
            <a:rPr lang="en-US" sz="1100"/>
            <a:t>                    else</a:t>
          </a:r>
        </a:p>
        <a:p>
          <a:r>
            <a:rPr lang="en-US" sz="1100"/>
            <a:t>                        if ((node.progress == "In Progress"))</a:t>
          </a:r>
        </a:p>
        <a:p>
          <a:r>
            <a:rPr lang="en-US" sz="1100"/>
            <a:t>                            node.color = sankeyData.options["inProgressColor"];</a:t>
          </a:r>
        </a:p>
        <a:p>
          <a:r>
            <a:rPr lang="en-US" sz="1100"/>
            <a:t>                        else</a:t>
          </a:r>
        </a:p>
        <a:p>
          <a:r>
            <a:rPr lang="en-US" sz="1100"/>
            <a:t>                            node.color = sankeyData.options["finishedColor"];</a:t>
          </a:r>
        </a:p>
        <a:p>
          <a:r>
            <a:rPr lang="en-US" sz="1100"/>
            <a:t>                }</a:t>
          </a:r>
        </a:p>
        <a:p>
          <a:r>
            <a:rPr lang="en-US" sz="1100"/>
            <a:t>            });</a:t>
          </a:r>
        </a:p>
        <a:p>
          <a:endParaRPr lang="en-US" sz="1100"/>
        </a:p>
        <a:p>
          <a:endParaRPr lang="en-US" sz="1100"/>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endParaRPr lang="en-US" sz="1100"/>
        </a:p>
        <a:p>
          <a:endParaRPr lang="en-US" sz="1100"/>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d3.format(",.1f"),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 format(d.value) + " " + d.unit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a:t>
          </a:r>
          <a:r>
            <a:rPr lang="en-US" sz="1100" baseline="0"/>
            <a:t> </a:t>
          </a:r>
          <a:r>
            <a:rPr lang="en-US" sz="1100"/>
            <a:t>+ " (" + format(d.value) + " " + d.unit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r>
            <a:rPr lang="en-US" sz="1100"/>
            <a:t>    // particle animation starts here</a:t>
          </a:r>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.filter(function(d) {</a:t>
          </a:r>
        </a:p>
        <a:p>
          <a:r>
            <a:rPr lang="en-US" sz="1100"/>
            <a:t>      return d.progress == "In Progress"</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    &lt;/script&gt;</a:t>
          </a:r>
        </a:p>
        <a:p>
          <a:endParaRPr lang="en-US" sz="1100"/>
        </a:p>
        <a:p>
          <a:r>
            <a:rPr lang="en-US" sz="1100"/>
            <a:t>&lt;/head&gt;</a:t>
          </a:r>
        </a:p>
        <a:p>
          <a:r>
            <a:rPr lang="en-US" sz="1100"/>
            <a:t>&lt;body&gt;</a:t>
          </a:r>
        </a:p>
        <a:p>
          <a:r>
            <a:rPr lang="en-US" sz="1100"/>
            <a:t>    &lt;!DOCTYPE html&gt;</a:t>
          </a:r>
        </a:p>
        <a:p>
          <a:r>
            <a:rPr lang="en-US" sz="1100"/>
            <a:t>    &lt;meta charset="utf-8"&gt;</a:t>
          </a:r>
        </a:p>
        <a:p>
          <a:r>
            <a:rPr lang="en-US" sz="1100"/>
            <a:t>    &lt;title&gt;Planning Sankey Diagram&lt;/title&gt;</a:t>
          </a:r>
        </a:p>
        <a:p>
          <a:endParaRPr lang="en-US" sz="1100"/>
        </a:p>
        <a:p>
          <a:endParaRPr lang="en-US" sz="1100"/>
        </a:p>
        <a:p>
          <a:r>
            <a:rPr lang="en-US" sz="1100"/>
            <a:t>    &lt;body&gt;</a:t>
          </a:r>
        </a:p>
        <a:p>
          <a:endParaRPr lang="en-US" sz="1100"/>
        </a:p>
        <a:p>
          <a:r>
            <a:rPr lang="en-US" sz="1100"/>
            <a:t>        &lt;h3&gt;Planning Sankey Diagram&lt;/h3&gt;</a:t>
          </a:r>
        </a:p>
        <a:p>
          <a:endParaRPr lang="en-US" sz="1100"/>
        </a:p>
        <a:p>
          <a:r>
            <a:rPr lang="en-US" sz="1100"/>
            <a:t>        &lt;p&gt;</a:t>
          </a:r>
        </a:p>
        <a:p>
          <a:r>
            <a:rPr lang="en-US" sz="1100"/>
            <a:t>            &lt;label&gt;Time travel : drag slider to see status for</a:t>
          </a:r>
          <a:r>
            <a:rPr lang="en-US" sz="1100" baseline="0"/>
            <a:t> any date. </a:t>
          </a:r>
          <a:r>
            <a:rPr lang="en-US" sz="1100"/>
            <a:t>&lt;/label&gt;&lt;label id="filterByDateValue"&gt;&lt;/label&gt;</a:t>
          </a:r>
        </a:p>
        <a:p>
          <a:r>
            <a:rPr lang="en-US" sz="1100"/>
            <a:t>        &lt;/p&gt;</a:t>
          </a:r>
        </a:p>
        <a:p>
          <a:r>
            <a:rPr lang="en-US" sz="1100"/>
            <a:t>        &lt;p&gt;</a:t>
          </a:r>
        </a:p>
        <a:p>
          <a:r>
            <a:rPr lang="en-US" sz="1100"/>
            <a:t>            &lt;label id="minDateLabel"&gt;&lt;/label&gt;&amp;nbsp;</a:t>
          </a:r>
          <a:r>
            <a:rPr lang="en-US" sz="1100">
              <a:solidFill>
                <a:schemeClr val="dk1"/>
              </a:solidFill>
              <a:effectLst/>
              <a:latin typeface="+mn-lt"/>
              <a:ea typeface="+mn-ea"/>
              <a:cs typeface="+mn-cs"/>
            </a:rPr>
            <a:t>&amp;nbsp;</a:t>
          </a:r>
          <a:endParaRPr lang="en-US" sz="1100"/>
        </a:p>
        <a:p>
          <a:r>
            <a:rPr lang="en-US" sz="1100"/>
            <a:t>            &lt;input id="filterByDate" type="range" min="0" step="1" onchange="updateDateLabel();"  &gt;</a:t>
          </a:r>
          <a:r>
            <a:rPr lang="en-US" sz="1100">
              <a:solidFill>
                <a:schemeClr val="dk1"/>
              </a:solidFill>
              <a:effectLst/>
              <a:latin typeface="+mn-lt"/>
              <a:ea typeface="+mn-ea"/>
              <a:cs typeface="+mn-cs"/>
            </a:rPr>
            <a:t>&amp;nbsp;&amp;nbsp;</a:t>
          </a:r>
          <a:endParaRPr lang="en-US" sz="1100"/>
        </a:p>
        <a:p>
          <a:r>
            <a:rPr lang="en-US" sz="1100"/>
            <a:t>            &lt;label id="maxDateLabel"&gt;&lt;/label&gt;</a:t>
          </a:r>
        </a:p>
        <a:p>
          <a:r>
            <a:rPr lang="en-US" sz="1100"/>
            <a:t>        &lt;/p&gt;</a:t>
          </a:r>
        </a:p>
        <a:p>
          <a:endParaRPr lang="en-US" sz="1100"/>
        </a:p>
        <a:p>
          <a:endParaRPr lang="en-US" sz="1100"/>
        </a:p>
        <a:p>
          <a:r>
            <a:rPr lang="en-US" sz="1100"/>
            <a:t>        &lt;img src="https://s8.postimg.cc/lgjgbwzhx/sankeylegend.png" /&gt;&lt;br /&gt;</a:t>
          </a:r>
        </a:p>
        <a:p>
          <a:r>
            <a:rPr lang="en-US" sz="1100"/>
            <a:t>        &lt;canvas width="1000" height="1000"&gt;&lt;/canvas&gt;</a:t>
          </a:r>
        </a:p>
        <a:p>
          <a:r>
            <a:rPr lang="en-US" sz="1100"/>
            <a:t>        &lt;div id="chart"&gt;&lt;/div&gt;</a:t>
          </a:r>
        </a:p>
        <a:p>
          <a:r>
            <a:rPr lang="en-US" sz="1100"/>
            <a:t>        &lt;div&gt;</a:t>
          </a:r>
        </a:p>
        <a:p>
          <a:r>
            <a:rPr lang="en-US" sz="1100"/>
            <a:t>            Hover for more detail. Click to jump to external link.</a:t>
          </a:r>
        </a:p>
        <a:p>
          <a:r>
            <a:rPr lang="en-US" sz="1100"/>
            <a:t>        &lt;/div&gt;</a:t>
          </a:r>
        </a:p>
        <a:p>
          <a:r>
            <a:rPr lang="en-US" sz="1100"/>
            <a:t>    &lt;/body&gt;</a:t>
          </a:r>
        </a:p>
        <a:p>
          <a:endParaRPr lang="en-US" sz="1100"/>
        </a:p>
        <a:p>
          <a:endParaRPr lang="en-US" sz="1100"/>
        </a:p>
        <a:p>
          <a:r>
            <a:rPr lang="en-US" sz="1100"/>
            <a:t>    &lt;script&gt;</a:t>
          </a:r>
        </a:p>
        <a:p>
          <a:r>
            <a:rPr lang="en-US" sz="1100"/>
            <a:t>    &lt;/script&gt;</a:t>
          </a:r>
        </a:p>
        <a:p>
          <a:r>
            <a:rPr lang="en-US" sz="1100"/>
            <a:t>&lt;/body&gt;</a:t>
          </a:r>
        </a:p>
        <a:p>
          <a:r>
            <a:rPr lang="en-US" sz="1100"/>
            <a:t>&lt;/html&gt;</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118D-6480-40B3-A8E0-784ED0A60EC7}">
  <sheetPr codeName="Sheet11"/>
  <dimension ref="A1"/>
  <sheetViews>
    <sheetView showGridLines="0" zoomScale="120" zoomScaleNormal="120" workbookViewId="0">
      <selection activeCell="O43" sqref="O4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G26"/>
  <sheetViews>
    <sheetView showGridLines="0" workbookViewId="0">
      <pane ySplit="1" topLeftCell="A2" activePane="bottomLeft" state="frozen"/>
      <selection pane="bottomLeft" activeCell="A31" sqref="A31"/>
    </sheetView>
  </sheetViews>
  <sheetFormatPr defaultRowHeight="15" x14ac:dyDescent="0.25"/>
  <cols>
    <col min="1" max="1" width="31.7109375" customWidth="1"/>
    <col min="2" max="2" width="18.7109375" customWidth="1"/>
    <col min="3" max="3" width="18.5703125" customWidth="1"/>
    <col min="4" max="4" width="72.42578125" customWidth="1"/>
  </cols>
  <sheetData>
    <row r="1" spans="1:4" x14ac:dyDescent="0.25">
      <c r="A1" s="1" t="s">
        <v>0</v>
      </c>
      <c r="B1" s="1" t="s">
        <v>2</v>
      </c>
      <c r="C1" s="1" t="s">
        <v>220</v>
      </c>
      <c r="D1" s="1" t="s">
        <v>1</v>
      </c>
    </row>
    <row r="2" spans="1:4" x14ac:dyDescent="0.25">
      <c r="A2" s="2" t="s">
        <v>15</v>
      </c>
      <c r="B2" s="153" t="s">
        <v>6</v>
      </c>
      <c r="C2" s="154"/>
      <c r="D2" s="154" t="s">
        <v>19</v>
      </c>
    </row>
    <row r="3" spans="1:4" x14ac:dyDescent="0.25">
      <c r="A3" s="2" t="s">
        <v>17</v>
      </c>
      <c r="B3" s="153" t="s">
        <v>6</v>
      </c>
      <c r="C3" s="154"/>
      <c r="D3" s="154" t="s">
        <v>20</v>
      </c>
    </row>
    <row r="4" spans="1:4" x14ac:dyDescent="0.25">
      <c r="A4" s="2" t="s">
        <v>21</v>
      </c>
      <c r="B4" s="153" t="s">
        <v>8</v>
      </c>
      <c r="C4" s="154"/>
      <c r="D4" s="154" t="s">
        <v>22</v>
      </c>
    </row>
    <row r="5" spans="1:4" x14ac:dyDescent="0.25">
      <c r="A5" s="2" t="s">
        <v>16</v>
      </c>
      <c r="B5" s="153" t="s">
        <v>7</v>
      </c>
      <c r="C5" s="154"/>
      <c r="D5" s="154" t="s">
        <v>18</v>
      </c>
    </row>
    <row r="6" spans="1:4" x14ac:dyDescent="0.25">
      <c r="A6" s="2"/>
      <c r="B6" s="153"/>
      <c r="C6" s="154"/>
      <c r="D6" s="154"/>
    </row>
    <row r="7" spans="1:4" x14ac:dyDescent="0.25">
      <c r="A7" s="2"/>
      <c r="B7" s="153"/>
      <c r="C7" s="154"/>
      <c r="D7" s="154"/>
    </row>
    <row r="8" spans="1:4" x14ac:dyDescent="0.25">
      <c r="A8" s="2"/>
      <c r="B8" s="153"/>
      <c r="C8" s="154"/>
      <c r="D8" s="154"/>
    </row>
    <row r="9" spans="1:4" x14ac:dyDescent="0.25">
      <c r="A9" s="2"/>
      <c r="B9" s="153"/>
      <c r="C9" s="154"/>
      <c r="D9" s="154"/>
    </row>
    <row r="10" spans="1:4" x14ac:dyDescent="0.25">
      <c r="A10" s="2"/>
      <c r="B10" s="153"/>
      <c r="C10" s="154"/>
      <c r="D10" s="154"/>
    </row>
    <row r="11" spans="1:4" x14ac:dyDescent="0.25">
      <c r="A11" s="2"/>
      <c r="B11" s="153"/>
      <c r="C11" s="154"/>
      <c r="D11" s="154"/>
    </row>
    <row r="12" spans="1:4" x14ac:dyDescent="0.25">
      <c r="A12" s="2"/>
      <c r="B12" s="153"/>
      <c r="C12" s="154"/>
      <c r="D12" s="154"/>
    </row>
    <row r="13" spans="1:4" x14ac:dyDescent="0.25">
      <c r="A13" s="2"/>
      <c r="B13" s="153"/>
      <c r="C13" s="154"/>
      <c r="D13" s="154"/>
    </row>
    <row r="14" spans="1:4" x14ac:dyDescent="0.25">
      <c r="A14" s="2"/>
      <c r="B14" s="153"/>
      <c r="C14" s="154"/>
      <c r="D14" s="154"/>
    </row>
    <row r="15" spans="1:4" x14ac:dyDescent="0.25">
      <c r="A15" s="2"/>
      <c r="B15" s="153"/>
      <c r="C15" s="154"/>
      <c r="D15" s="154"/>
    </row>
    <row r="16" spans="1:4" x14ac:dyDescent="0.25">
      <c r="A16" s="2"/>
      <c r="B16" s="153"/>
      <c r="C16" s="154"/>
      <c r="D16" s="154"/>
    </row>
    <row r="17" spans="1:7" x14ac:dyDescent="0.25">
      <c r="A17" s="2"/>
      <c r="B17" s="153"/>
      <c r="C17" s="154"/>
      <c r="D17" s="154"/>
    </row>
    <row r="18" spans="1:7" x14ac:dyDescent="0.25">
      <c r="A18" s="2"/>
      <c r="B18" s="153"/>
      <c r="C18" s="154"/>
      <c r="D18" s="154"/>
    </row>
    <row r="19" spans="1:7" x14ac:dyDescent="0.25">
      <c r="A19" s="2"/>
      <c r="B19" s="153"/>
      <c r="C19" s="154"/>
      <c r="D19" s="154"/>
    </row>
    <row r="20" spans="1:7" x14ac:dyDescent="0.25">
      <c r="A20" s="2"/>
      <c r="B20" s="153"/>
      <c r="C20" s="154"/>
      <c r="D20" s="154"/>
    </row>
    <row r="21" spans="1:7" x14ac:dyDescent="0.25">
      <c r="A21" s="2"/>
      <c r="B21" s="153"/>
      <c r="C21" s="154"/>
      <c r="D21" s="154"/>
    </row>
    <row r="22" spans="1:7" x14ac:dyDescent="0.25">
      <c r="A22" s="2"/>
      <c r="B22" s="153"/>
      <c r="C22" s="154"/>
      <c r="D22" s="154"/>
    </row>
    <row r="23" spans="1:7" x14ac:dyDescent="0.25">
      <c r="A23" s="2"/>
      <c r="B23" s="153"/>
      <c r="C23" s="154"/>
      <c r="D23" s="154"/>
      <c r="F23" s="1" t="s">
        <v>254</v>
      </c>
    </row>
    <row r="24" spans="1:7" x14ac:dyDescent="0.25">
      <c r="A24" s="2"/>
      <c r="B24" s="153"/>
      <c r="C24" s="154"/>
      <c r="D24" s="154"/>
      <c r="F24" s="2"/>
      <c r="G24" t="s">
        <v>251</v>
      </c>
    </row>
    <row r="25" spans="1:7" x14ac:dyDescent="0.25">
      <c r="A25" s="2"/>
      <c r="B25" s="153"/>
      <c r="C25" s="154"/>
      <c r="D25" s="154"/>
      <c r="F25" s="153"/>
      <c r="G25" t="s">
        <v>252</v>
      </c>
    </row>
    <row r="26" spans="1:7" x14ac:dyDescent="0.25">
      <c r="A26" s="2"/>
      <c r="B26" s="153"/>
      <c r="C26" s="154"/>
      <c r="D26" s="154"/>
      <c r="F26" s="154"/>
      <c r="G26" t="s">
        <v>253</v>
      </c>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I101"/>
  <sheetViews>
    <sheetView showGridLines="0" workbookViewId="0">
      <pane ySplit="1" topLeftCell="A2" activePane="bottomLeft" state="frozen"/>
      <selection pane="bottomLeft" activeCell="J26" sqref="J26"/>
    </sheetView>
  </sheetViews>
  <sheetFormatPr defaultRowHeight="15" x14ac:dyDescent="0.25"/>
  <cols>
    <col min="1" max="1" width="29.5703125" customWidth="1"/>
    <col min="2" max="2" width="26.5703125" customWidth="1"/>
    <col min="3" max="3" width="14.85546875" customWidth="1"/>
    <col min="4" max="4" width="20.28515625" customWidth="1"/>
    <col min="5" max="5" width="20" customWidth="1"/>
    <col min="6" max="6" width="16.7109375" customWidth="1"/>
  </cols>
  <sheetData>
    <row r="1" spans="1:6" s="151" customFormat="1" ht="45" customHeight="1" x14ac:dyDescent="0.25">
      <c r="A1" s="150" t="s">
        <v>30</v>
      </c>
      <c r="B1" s="150" t="s">
        <v>267</v>
      </c>
      <c r="C1" s="150" t="s">
        <v>220</v>
      </c>
      <c r="D1" s="150" t="s">
        <v>242</v>
      </c>
      <c r="E1" s="150" t="s">
        <v>243</v>
      </c>
      <c r="F1" s="150" t="s">
        <v>244</v>
      </c>
    </row>
    <row r="2" spans="1:6" x14ac:dyDescent="0.25">
      <c r="A2" s="2" t="s">
        <v>31</v>
      </c>
      <c r="B2" s="153">
        <v>6</v>
      </c>
      <c r="C2" s="154"/>
      <c r="D2" s="154">
        <v>1</v>
      </c>
      <c r="E2" s="154">
        <v>6</v>
      </c>
      <c r="F2" s="155">
        <v>0</v>
      </c>
    </row>
    <row r="3" spans="1:6" x14ac:dyDescent="0.25">
      <c r="A3" s="2" t="s">
        <v>32</v>
      </c>
      <c r="B3" s="153">
        <v>6</v>
      </c>
      <c r="C3" s="154"/>
      <c r="D3" s="154">
        <v>2</v>
      </c>
      <c r="E3" s="154">
        <v>6</v>
      </c>
      <c r="F3" s="155">
        <v>0</v>
      </c>
    </row>
    <row r="4" spans="1:6" x14ac:dyDescent="0.25">
      <c r="A4" s="2" t="s">
        <v>33</v>
      </c>
      <c r="B4" s="153">
        <v>6</v>
      </c>
      <c r="C4" s="154"/>
      <c r="D4" s="154">
        <v>4</v>
      </c>
      <c r="E4" s="154">
        <v>6</v>
      </c>
      <c r="F4" s="155">
        <v>0.2</v>
      </c>
    </row>
    <row r="5" spans="1:6" x14ac:dyDescent="0.25">
      <c r="A5" s="2" t="s">
        <v>34</v>
      </c>
      <c r="B5" s="153">
        <v>6</v>
      </c>
      <c r="C5" s="154"/>
      <c r="D5" s="154">
        <v>10</v>
      </c>
      <c r="E5" s="154">
        <v>20</v>
      </c>
      <c r="F5" s="155">
        <v>0.2</v>
      </c>
    </row>
    <row r="6" spans="1:6" x14ac:dyDescent="0.25">
      <c r="A6" s="2" t="s">
        <v>219</v>
      </c>
      <c r="B6" s="153">
        <v>6</v>
      </c>
      <c r="C6" s="154"/>
      <c r="D6" s="154">
        <v>2</v>
      </c>
      <c r="E6" s="154">
        <v>2</v>
      </c>
      <c r="F6" s="155">
        <v>0</v>
      </c>
    </row>
    <row r="7" spans="1:6" x14ac:dyDescent="0.25">
      <c r="A7" s="2"/>
      <c r="B7" s="153"/>
      <c r="C7" s="154"/>
      <c r="D7" s="154"/>
      <c r="E7" s="154"/>
      <c r="F7" s="155"/>
    </row>
    <row r="8" spans="1:6" x14ac:dyDescent="0.25">
      <c r="A8" s="2"/>
      <c r="B8" s="153"/>
      <c r="C8" s="154"/>
      <c r="D8" s="154"/>
      <c r="E8" s="154"/>
      <c r="F8" s="155"/>
    </row>
    <row r="9" spans="1:6" x14ac:dyDescent="0.25">
      <c r="A9" s="2"/>
      <c r="B9" s="153"/>
      <c r="C9" s="154"/>
      <c r="D9" s="154"/>
      <c r="E9" s="154"/>
      <c r="F9" s="155"/>
    </row>
    <row r="10" spans="1:6" x14ac:dyDescent="0.25">
      <c r="A10" s="2"/>
      <c r="B10" s="153"/>
      <c r="C10" s="154"/>
      <c r="D10" s="154"/>
      <c r="E10" s="154"/>
      <c r="F10" s="155"/>
    </row>
    <row r="11" spans="1:6" x14ac:dyDescent="0.25">
      <c r="A11" s="2"/>
      <c r="B11" s="153"/>
      <c r="C11" s="154"/>
      <c r="D11" s="154"/>
      <c r="E11" s="154"/>
      <c r="F11" s="155"/>
    </row>
    <row r="12" spans="1:6" x14ac:dyDescent="0.25">
      <c r="A12" s="2"/>
      <c r="B12" s="153"/>
      <c r="C12" s="154"/>
      <c r="D12" s="154"/>
      <c r="E12" s="154"/>
      <c r="F12" s="155"/>
    </row>
    <row r="13" spans="1:6" x14ac:dyDescent="0.25">
      <c r="A13" s="2"/>
      <c r="B13" s="153"/>
      <c r="C13" s="154"/>
      <c r="D13" s="154"/>
      <c r="E13" s="154"/>
      <c r="F13" s="155"/>
    </row>
    <row r="14" spans="1:6" x14ac:dyDescent="0.25">
      <c r="A14" s="2"/>
      <c r="B14" s="153"/>
      <c r="C14" s="154"/>
      <c r="D14" s="154"/>
      <c r="E14" s="154"/>
      <c r="F14" s="155"/>
    </row>
    <row r="15" spans="1:6" x14ac:dyDescent="0.25">
      <c r="A15" s="2"/>
      <c r="B15" s="153"/>
      <c r="C15" s="154"/>
      <c r="D15" s="154"/>
      <c r="E15" s="154"/>
      <c r="F15" s="155"/>
    </row>
    <row r="16" spans="1:6" x14ac:dyDescent="0.25">
      <c r="A16" s="2"/>
      <c r="B16" s="153"/>
      <c r="C16" s="154"/>
      <c r="D16" s="154"/>
      <c r="E16" s="154"/>
      <c r="F16" s="155"/>
    </row>
    <row r="17" spans="1:9" x14ac:dyDescent="0.25">
      <c r="A17" s="2"/>
      <c r="B17" s="153"/>
      <c r="C17" s="154"/>
      <c r="D17" s="154"/>
      <c r="E17" s="154"/>
      <c r="F17" s="155"/>
    </row>
    <row r="18" spans="1:9" x14ac:dyDescent="0.25">
      <c r="A18" s="2"/>
      <c r="B18" s="153"/>
      <c r="C18" s="154"/>
      <c r="D18" s="154"/>
      <c r="E18" s="154"/>
      <c r="F18" s="155"/>
      <c r="H18" s="1" t="s">
        <v>254</v>
      </c>
    </row>
    <row r="19" spans="1:9" x14ac:dyDescent="0.25">
      <c r="A19" s="2"/>
      <c r="B19" s="153"/>
      <c r="C19" s="154"/>
      <c r="D19" s="154"/>
      <c r="E19" s="154"/>
      <c r="F19" s="155"/>
      <c r="H19" s="2"/>
      <c r="I19" t="s">
        <v>251</v>
      </c>
    </row>
    <row r="20" spans="1:9" x14ac:dyDescent="0.25">
      <c r="A20" s="2"/>
      <c r="B20" s="153"/>
      <c r="C20" s="154"/>
      <c r="D20" s="154"/>
      <c r="E20" s="154"/>
      <c r="F20" s="155"/>
      <c r="H20" s="153"/>
      <c r="I20" t="s">
        <v>252</v>
      </c>
    </row>
    <row r="21" spans="1:9" x14ac:dyDescent="0.25">
      <c r="A21" s="2"/>
      <c r="B21" s="153"/>
      <c r="C21" s="154"/>
      <c r="D21" s="154"/>
      <c r="E21" s="154"/>
      <c r="F21" s="155"/>
      <c r="H21" s="154"/>
      <c r="I21" t="s">
        <v>253</v>
      </c>
    </row>
    <row r="22" spans="1:9" x14ac:dyDescent="0.25">
      <c r="A22" s="2"/>
      <c r="B22" s="153"/>
      <c r="C22" s="154"/>
      <c r="D22" s="154"/>
      <c r="E22" s="154"/>
      <c r="F22" s="155"/>
    </row>
    <row r="23" spans="1:9" x14ac:dyDescent="0.25">
      <c r="A23" s="2"/>
      <c r="B23" s="153"/>
      <c r="C23" s="154"/>
      <c r="D23" s="154"/>
      <c r="E23" s="154"/>
      <c r="F23" s="155"/>
    </row>
    <row r="24" spans="1:9" x14ac:dyDescent="0.25">
      <c r="A24" s="2"/>
      <c r="B24" s="153"/>
      <c r="C24" s="154"/>
      <c r="D24" s="154"/>
      <c r="E24" s="154"/>
      <c r="F24" s="155"/>
    </row>
    <row r="25" spans="1:9" x14ac:dyDescent="0.25">
      <c r="A25" s="2"/>
      <c r="B25" s="153"/>
      <c r="C25" s="154"/>
      <c r="D25" s="154"/>
      <c r="E25" s="154"/>
      <c r="F25" s="155"/>
    </row>
    <row r="26" spans="1:9" x14ac:dyDescent="0.25">
      <c r="A26" s="2"/>
      <c r="B26" s="153"/>
      <c r="C26" s="154"/>
      <c r="D26" s="154"/>
      <c r="E26" s="154"/>
      <c r="F26" s="155"/>
    </row>
    <row r="27" spans="1:9" x14ac:dyDescent="0.25">
      <c r="A27" s="2"/>
      <c r="B27" s="153"/>
      <c r="C27" s="154"/>
      <c r="D27" s="154"/>
      <c r="E27" s="154"/>
      <c r="F27" s="155"/>
    </row>
    <row r="28" spans="1:9" x14ac:dyDescent="0.25">
      <c r="A28" s="2"/>
      <c r="B28" s="153"/>
      <c r="C28" s="154"/>
      <c r="D28" s="154"/>
      <c r="E28" s="154"/>
      <c r="F28" s="155"/>
    </row>
    <row r="29" spans="1:9" x14ac:dyDescent="0.25">
      <c r="A29" s="2"/>
      <c r="B29" s="153"/>
      <c r="C29" s="154"/>
      <c r="D29" s="154"/>
      <c r="E29" s="154"/>
      <c r="F29" s="155"/>
    </row>
    <row r="30" spans="1:9" x14ac:dyDescent="0.25">
      <c r="A30" s="2"/>
      <c r="B30" s="153"/>
      <c r="C30" s="154"/>
      <c r="D30" s="154"/>
      <c r="E30" s="154"/>
      <c r="F30" s="155"/>
    </row>
    <row r="31" spans="1:9" x14ac:dyDescent="0.25">
      <c r="A31" s="2"/>
      <c r="B31" s="153"/>
      <c r="C31" s="154"/>
      <c r="D31" s="154"/>
      <c r="E31" s="154"/>
      <c r="F31" s="155"/>
    </row>
    <row r="32" spans="1:9" x14ac:dyDescent="0.25">
      <c r="A32" s="2"/>
      <c r="B32" s="153"/>
      <c r="C32" s="154"/>
      <c r="D32" s="154"/>
      <c r="E32" s="154"/>
      <c r="F32" s="155"/>
    </row>
    <row r="33" spans="1:6" x14ac:dyDescent="0.25">
      <c r="A33" s="2"/>
      <c r="B33" s="153"/>
      <c r="C33" s="154"/>
      <c r="D33" s="154"/>
      <c r="E33" s="154"/>
      <c r="F33" s="155"/>
    </row>
    <row r="34" spans="1:6" x14ac:dyDescent="0.25">
      <c r="A34" s="2"/>
      <c r="B34" s="153"/>
      <c r="C34" s="154"/>
      <c r="D34" s="154"/>
      <c r="E34" s="154"/>
      <c r="F34" s="155"/>
    </row>
    <row r="35" spans="1:6" x14ac:dyDescent="0.25">
      <c r="A35" s="2"/>
      <c r="B35" s="153"/>
      <c r="C35" s="154"/>
      <c r="D35" s="154"/>
      <c r="E35" s="154"/>
      <c r="F35" s="155"/>
    </row>
    <row r="36" spans="1:6" x14ac:dyDescent="0.25">
      <c r="A36" s="2"/>
      <c r="B36" s="153"/>
      <c r="C36" s="154"/>
      <c r="D36" s="154"/>
      <c r="E36" s="154"/>
      <c r="F36" s="155"/>
    </row>
    <row r="37" spans="1:6" x14ac:dyDescent="0.25">
      <c r="A37" s="2"/>
      <c r="B37" s="153"/>
      <c r="C37" s="154"/>
      <c r="D37" s="154"/>
      <c r="E37" s="154"/>
      <c r="F37" s="155"/>
    </row>
    <row r="38" spans="1:6" x14ac:dyDescent="0.25">
      <c r="A38" s="2"/>
      <c r="B38" s="153"/>
      <c r="C38" s="154"/>
      <c r="D38" s="154"/>
      <c r="E38" s="154"/>
      <c r="F38" s="155"/>
    </row>
    <row r="39" spans="1:6" x14ac:dyDescent="0.25">
      <c r="A39" s="2"/>
      <c r="B39" s="153"/>
      <c r="C39" s="154"/>
      <c r="D39" s="154"/>
      <c r="E39" s="154"/>
      <c r="F39" s="155"/>
    </row>
    <row r="40" spans="1:6" x14ac:dyDescent="0.25">
      <c r="A40" s="2"/>
      <c r="B40" s="153"/>
      <c r="C40" s="154"/>
      <c r="D40" s="154"/>
      <c r="E40" s="154"/>
      <c r="F40" s="155"/>
    </row>
    <row r="41" spans="1:6" x14ac:dyDescent="0.25">
      <c r="A41" s="2"/>
      <c r="B41" s="153"/>
      <c r="C41" s="154"/>
      <c r="D41" s="154"/>
      <c r="E41" s="154"/>
      <c r="F41" s="155"/>
    </row>
    <row r="42" spans="1:6" x14ac:dyDescent="0.25">
      <c r="A42" s="2"/>
      <c r="B42" s="153"/>
      <c r="C42" s="154"/>
      <c r="D42" s="154"/>
      <c r="E42" s="154"/>
      <c r="F42" s="155"/>
    </row>
    <row r="43" spans="1:6" x14ac:dyDescent="0.25">
      <c r="A43" s="2"/>
      <c r="B43" s="153"/>
      <c r="C43" s="154"/>
      <c r="D43" s="154"/>
      <c r="E43" s="154"/>
      <c r="F43" s="155"/>
    </row>
    <row r="44" spans="1:6" x14ac:dyDescent="0.25">
      <c r="A44" s="2"/>
      <c r="B44" s="153"/>
      <c r="C44" s="154"/>
      <c r="D44" s="154"/>
      <c r="E44" s="154"/>
      <c r="F44" s="155"/>
    </row>
    <row r="45" spans="1:6" x14ac:dyDescent="0.25">
      <c r="A45" s="2"/>
      <c r="B45" s="153"/>
      <c r="C45" s="154"/>
      <c r="D45" s="154"/>
      <c r="E45" s="154"/>
      <c r="F45" s="155"/>
    </row>
    <row r="46" spans="1:6" x14ac:dyDescent="0.25">
      <c r="A46" s="2"/>
      <c r="B46" s="153"/>
      <c r="C46" s="154"/>
      <c r="D46" s="154"/>
      <c r="E46" s="154"/>
      <c r="F46" s="155"/>
    </row>
    <row r="47" spans="1:6" x14ac:dyDescent="0.25">
      <c r="A47" s="2"/>
      <c r="B47" s="153"/>
      <c r="C47" s="154"/>
      <c r="D47" s="154"/>
      <c r="E47" s="154"/>
      <c r="F47" s="155"/>
    </row>
    <row r="48" spans="1:6" x14ac:dyDescent="0.25">
      <c r="A48" s="2"/>
      <c r="B48" s="153"/>
      <c r="C48" s="154"/>
      <c r="D48" s="154"/>
      <c r="E48" s="154"/>
      <c r="F48" s="155"/>
    </row>
    <row r="49" spans="1:6" x14ac:dyDescent="0.25">
      <c r="A49" s="2"/>
      <c r="B49" s="153"/>
      <c r="C49" s="154"/>
      <c r="D49" s="154"/>
      <c r="E49" s="154"/>
      <c r="F49" s="155"/>
    </row>
    <row r="50" spans="1:6" x14ac:dyDescent="0.25">
      <c r="A50" s="2"/>
      <c r="B50" s="153"/>
      <c r="C50" s="154"/>
      <c r="D50" s="154"/>
      <c r="E50" s="154"/>
      <c r="F50" s="155"/>
    </row>
    <row r="51" spans="1:6" x14ac:dyDescent="0.25">
      <c r="A51" s="2"/>
      <c r="B51" s="153"/>
      <c r="C51" s="154"/>
      <c r="D51" s="154"/>
      <c r="E51" s="154"/>
      <c r="F51" s="155"/>
    </row>
    <row r="52" spans="1:6" x14ac:dyDescent="0.25">
      <c r="A52" s="2"/>
      <c r="B52" s="153"/>
      <c r="C52" s="154"/>
      <c r="D52" s="154"/>
      <c r="E52" s="154"/>
      <c r="F52" s="155"/>
    </row>
    <row r="53" spans="1:6" x14ac:dyDescent="0.25">
      <c r="A53" s="2"/>
      <c r="B53" s="153"/>
      <c r="C53" s="154"/>
      <c r="D53" s="154"/>
      <c r="E53" s="154"/>
      <c r="F53" s="155"/>
    </row>
    <row r="54" spans="1:6" x14ac:dyDescent="0.25">
      <c r="A54" s="2"/>
      <c r="B54" s="153"/>
      <c r="C54" s="154"/>
      <c r="D54" s="154"/>
      <c r="E54" s="154"/>
      <c r="F54" s="155"/>
    </row>
    <row r="55" spans="1:6" x14ac:dyDescent="0.25">
      <c r="A55" s="2"/>
      <c r="B55" s="153"/>
      <c r="C55" s="154"/>
      <c r="D55" s="154"/>
      <c r="E55" s="154"/>
      <c r="F55" s="155"/>
    </row>
    <row r="56" spans="1:6" x14ac:dyDescent="0.25">
      <c r="A56" s="2"/>
      <c r="B56" s="153"/>
      <c r="C56" s="154"/>
      <c r="D56" s="154"/>
      <c r="E56" s="154"/>
      <c r="F56" s="155"/>
    </row>
    <row r="57" spans="1:6" x14ac:dyDescent="0.25">
      <c r="A57" s="2"/>
      <c r="B57" s="153"/>
      <c r="C57" s="154"/>
      <c r="D57" s="154"/>
      <c r="E57" s="154"/>
      <c r="F57" s="155"/>
    </row>
    <row r="58" spans="1:6" x14ac:dyDescent="0.25">
      <c r="A58" s="2"/>
      <c r="B58" s="153"/>
      <c r="C58" s="154"/>
      <c r="D58" s="154"/>
      <c r="E58" s="154"/>
      <c r="F58" s="155"/>
    </row>
    <row r="59" spans="1:6" x14ac:dyDescent="0.25">
      <c r="A59" s="2"/>
      <c r="B59" s="153"/>
      <c r="C59" s="154"/>
      <c r="D59" s="154"/>
      <c r="E59" s="154"/>
      <c r="F59" s="155"/>
    </row>
    <row r="60" spans="1:6" x14ac:dyDescent="0.25">
      <c r="A60" s="2"/>
      <c r="B60" s="153"/>
      <c r="C60" s="154"/>
      <c r="D60" s="154"/>
      <c r="E60" s="154"/>
      <c r="F60" s="155"/>
    </row>
    <row r="61" spans="1:6" x14ac:dyDescent="0.25">
      <c r="A61" s="2"/>
      <c r="B61" s="153"/>
      <c r="C61" s="154"/>
      <c r="D61" s="154"/>
      <c r="E61" s="154"/>
      <c r="F61" s="155"/>
    </row>
    <row r="62" spans="1:6" x14ac:dyDescent="0.25">
      <c r="A62" s="2"/>
      <c r="B62" s="153"/>
      <c r="C62" s="154"/>
      <c r="D62" s="154"/>
      <c r="E62" s="154"/>
      <c r="F62" s="155"/>
    </row>
    <row r="63" spans="1:6" x14ac:dyDescent="0.25">
      <c r="A63" s="2"/>
      <c r="B63" s="153"/>
      <c r="C63" s="154"/>
      <c r="D63" s="154"/>
      <c r="E63" s="154"/>
      <c r="F63" s="155"/>
    </row>
    <row r="64" spans="1:6" x14ac:dyDescent="0.25">
      <c r="A64" s="2"/>
      <c r="B64" s="153"/>
      <c r="C64" s="154"/>
      <c r="D64" s="154"/>
      <c r="E64" s="154"/>
      <c r="F64" s="155"/>
    </row>
    <row r="65" spans="1:6" x14ac:dyDescent="0.25">
      <c r="A65" s="2"/>
      <c r="B65" s="153"/>
      <c r="C65" s="154"/>
      <c r="D65" s="154"/>
      <c r="E65" s="154"/>
      <c r="F65" s="155"/>
    </row>
    <row r="66" spans="1:6" x14ac:dyDescent="0.25">
      <c r="A66" s="2"/>
      <c r="B66" s="153"/>
      <c r="C66" s="154"/>
      <c r="D66" s="154"/>
      <c r="E66" s="154"/>
      <c r="F66" s="155"/>
    </row>
    <row r="67" spans="1:6" x14ac:dyDescent="0.25">
      <c r="A67" s="2"/>
      <c r="B67" s="153"/>
      <c r="C67" s="154"/>
      <c r="D67" s="154"/>
      <c r="E67" s="154"/>
      <c r="F67" s="155"/>
    </row>
    <row r="68" spans="1:6" x14ac:dyDescent="0.25">
      <c r="A68" s="2"/>
      <c r="B68" s="153"/>
      <c r="C68" s="154"/>
      <c r="D68" s="154"/>
      <c r="E68" s="154"/>
      <c r="F68" s="155"/>
    </row>
    <row r="69" spans="1:6" x14ac:dyDescent="0.25">
      <c r="A69" s="2"/>
      <c r="B69" s="153"/>
      <c r="C69" s="154"/>
      <c r="D69" s="154"/>
      <c r="E69" s="154"/>
      <c r="F69" s="155"/>
    </row>
    <row r="70" spans="1:6" x14ac:dyDescent="0.25">
      <c r="A70" s="2"/>
      <c r="B70" s="153"/>
      <c r="C70" s="154"/>
      <c r="D70" s="154"/>
      <c r="E70" s="154"/>
      <c r="F70" s="155"/>
    </row>
    <row r="71" spans="1:6" x14ac:dyDescent="0.25">
      <c r="A71" s="2"/>
      <c r="B71" s="153"/>
      <c r="C71" s="154"/>
      <c r="D71" s="154"/>
      <c r="E71" s="154"/>
      <c r="F71" s="155"/>
    </row>
    <row r="72" spans="1:6" x14ac:dyDescent="0.25">
      <c r="A72" s="2"/>
      <c r="B72" s="153"/>
      <c r="C72" s="154"/>
      <c r="D72" s="154"/>
      <c r="E72" s="154"/>
      <c r="F72" s="155"/>
    </row>
    <row r="73" spans="1:6" x14ac:dyDescent="0.25">
      <c r="A73" s="2"/>
      <c r="B73" s="153"/>
      <c r="C73" s="154"/>
      <c r="D73" s="154"/>
      <c r="E73" s="154"/>
      <c r="F73" s="155"/>
    </row>
    <row r="74" spans="1:6" x14ac:dyDescent="0.25">
      <c r="A74" s="2"/>
      <c r="B74" s="153"/>
      <c r="C74" s="154"/>
      <c r="D74" s="154"/>
      <c r="E74" s="154"/>
      <c r="F74" s="155"/>
    </row>
    <row r="75" spans="1:6" x14ac:dyDescent="0.25">
      <c r="A75" s="2"/>
      <c r="B75" s="153"/>
      <c r="C75" s="154"/>
      <c r="D75" s="154"/>
      <c r="E75" s="154"/>
      <c r="F75" s="155"/>
    </row>
    <row r="76" spans="1:6" x14ac:dyDescent="0.25">
      <c r="A76" s="2"/>
      <c r="B76" s="153"/>
      <c r="C76" s="154"/>
      <c r="D76" s="154"/>
      <c r="E76" s="154"/>
      <c r="F76" s="155"/>
    </row>
    <row r="77" spans="1:6" x14ac:dyDescent="0.25">
      <c r="A77" s="2"/>
      <c r="B77" s="153"/>
      <c r="C77" s="154"/>
      <c r="D77" s="154"/>
      <c r="E77" s="154"/>
      <c r="F77" s="155"/>
    </row>
    <row r="78" spans="1:6" x14ac:dyDescent="0.25">
      <c r="A78" s="2"/>
      <c r="B78" s="153"/>
      <c r="C78" s="154"/>
      <c r="D78" s="154"/>
      <c r="E78" s="154"/>
      <c r="F78" s="155"/>
    </row>
    <row r="79" spans="1:6" x14ac:dyDescent="0.25">
      <c r="A79" s="2"/>
      <c r="B79" s="153"/>
      <c r="C79" s="154"/>
      <c r="D79" s="154"/>
      <c r="E79" s="154"/>
      <c r="F79" s="155"/>
    </row>
    <row r="80" spans="1:6" x14ac:dyDescent="0.25">
      <c r="A80" s="2"/>
      <c r="B80" s="153"/>
      <c r="C80" s="154"/>
      <c r="D80" s="154"/>
      <c r="E80" s="154"/>
      <c r="F80" s="155"/>
    </row>
    <row r="81" spans="1:6" x14ac:dyDescent="0.25">
      <c r="A81" s="2"/>
      <c r="B81" s="153"/>
      <c r="C81" s="154"/>
      <c r="D81" s="154"/>
      <c r="E81" s="154"/>
      <c r="F81" s="155"/>
    </row>
    <row r="82" spans="1:6" x14ac:dyDescent="0.25">
      <c r="A82" s="2"/>
      <c r="B82" s="153"/>
      <c r="C82" s="154"/>
      <c r="D82" s="154"/>
      <c r="E82" s="154"/>
      <c r="F82" s="155"/>
    </row>
    <row r="83" spans="1:6" x14ac:dyDescent="0.25">
      <c r="A83" s="2"/>
      <c r="B83" s="153"/>
      <c r="C83" s="154"/>
      <c r="D83" s="154"/>
      <c r="E83" s="154"/>
      <c r="F83" s="155"/>
    </row>
    <row r="84" spans="1:6" x14ac:dyDescent="0.25">
      <c r="A84" s="2"/>
      <c r="B84" s="153"/>
      <c r="C84" s="154"/>
      <c r="D84" s="154"/>
      <c r="E84" s="154"/>
      <c r="F84" s="155"/>
    </row>
    <row r="85" spans="1:6" x14ac:dyDescent="0.25">
      <c r="A85" s="2"/>
      <c r="B85" s="153"/>
      <c r="C85" s="154"/>
      <c r="D85" s="154"/>
      <c r="E85" s="154"/>
      <c r="F85" s="155"/>
    </row>
    <row r="86" spans="1:6" x14ac:dyDescent="0.25">
      <c r="A86" s="2"/>
      <c r="B86" s="153"/>
      <c r="C86" s="154"/>
      <c r="D86" s="154"/>
      <c r="E86" s="154"/>
      <c r="F86" s="155"/>
    </row>
    <row r="87" spans="1:6" x14ac:dyDescent="0.25">
      <c r="A87" s="2"/>
      <c r="B87" s="153"/>
      <c r="C87" s="154"/>
      <c r="D87" s="154"/>
      <c r="E87" s="154"/>
      <c r="F87" s="155"/>
    </row>
    <row r="88" spans="1:6" x14ac:dyDescent="0.25">
      <c r="A88" s="2"/>
      <c r="B88" s="153"/>
      <c r="C88" s="154"/>
      <c r="D88" s="154"/>
      <c r="E88" s="154"/>
      <c r="F88" s="155"/>
    </row>
    <row r="89" spans="1:6" x14ac:dyDescent="0.25">
      <c r="A89" s="2"/>
      <c r="B89" s="153"/>
      <c r="C89" s="154"/>
      <c r="D89" s="154"/>
      <c r="E89" s="154"/>
      <c r="F89" s="155"/>
    </row>
    <row r="90" spans="1:6" x14ac:dyDescent="0.25">
      <c r="A90" s="2"/>
      <c r="B90" s="153"/>
      <c r="C90" s="154"/>
      <c r="D90" s="154"/>
      <c r="E90" s="154"/>
      <c r="F90" s="155"/>
    </row>
    <row r="91" spans="1:6" x14ac:dyDescent="0.25">
      <c r="A91" s="2"/>
      <c r="B91" s="153"/>
      <c r="C91" s="154"/>
      <c r="D91" s="154"/>
      <c r="E91" s="154"/>
      <c r="F91" s="155"/>
    </row>
    <row r="92" spans="1:6" x14ac:dyDescent="0.25">
      <c r="A92" s="2"/>
      <c r="B92" s="153"/>
      <c r="C92" s="154"/>
      <c r="D92" s="154"/>
      <c r="E92" s="154"/>
      <c r="F92" s="155"/>
    </row>
    <row r="93" spans="1:6" x14ac:dyDescent="0.25">
      <c r="A93" s="2"/>
      <c r="B93" s="153"/>
      <c r="C93" s="154"/>
      <c r="D93" s="154"/>
      <c r="E93" s="154"/>
      <c r="F93" s="155"/>
    </row>
    <row r="94" spans="1:6" x14ac:dyDescent="0.25">
      <c r="A94" s="2"/>
      <c r="B94" s="153"/>
      <c r="C94" s="154"/>
      <c r="D94" s="154"/>
      <c r="E94" s="154"/>
      <c r="F94" s="155"/>
    </row>
    <row r="95" spans="1:6" x14ac:dyDescent="0.25">
      <c r="A95" s="2"/>
      <c r="B95" s="153"/>
      <c r="C95" s="154"/>
      <c r="D95" s="154"/>
      <c r="E95" s="154"/>
      <c r="F95" s="155"/>
    </row>
    <row r="96" spans="1:6" x14ac:dyDescent="0.25">
      <c r="A96" s="2"/>
      <c r="B96" s="153"/>
      <c r="C96" s="154"/>
      <c r="D96" s="154"/>
      <c r="E96" s="154"/>
      <c r="F96" s="155"/>
    </row>
    <row r="97" spans="1:6" x14ac:dyDescent="0.25">
      <c r="A97" s="2"/>
      <c r="B97" s="153"/>
      <c r="C97" s="154"/>
      <c r="D97" s="154"/>
      <c r="E97" s="154"/>
      <c r="F97" s="155"/>
    </row>
    <row r="98" spans="1:6" x14ac:dyDescent="0.25">
      <c r="A98" s="2"/>
      <c r="B98" s="153"/>
      <c r="C98" s="154"/>
      <c r="D98" s="154"/>
      <c r="E98" s="154"/>
      <c r="F98" s="155"/>
    </row>
    <row r="99" spans="1:6" x14ac:dyDescent="0.25">
      <c r="A99" s="2"/>
      <c r="B99" s="153"/>
      <c r="C99" s="154"/>
      <c r="D99" s="154"/>
      <c r="E99" s="154"/>
      <c r="F99" s="155"/>
    </row>
    <row r="100" spans="1:6" x14ac:dyDescent="0.25">
      <c r="A100" s="2"/>
      <c r="B100" s="153"/>
      <c r="C100" s="154"/>
      <c r="D100" s="154"/>
      <c r="E100" s="154"/>
      <c r="F100" s="155"/>
    </row>
    <row r="101" spans="1:6" x14ac:dyDescent="0.25">
      <c r="A101" s="2"/>
      <c r="B101" s="153"/>
      <c r="C101" s="154"/>
      <c r="D101" s="154"/>
      <c r="E101" s="154"/>
      <c r="F101" s="155"/>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K251"/>
  <sheetViews>
    <sheetView showGridLines="0" workbookViewId="0">
      <pane ySplit="1" topLeftCell="A2" activePane="bottomLeft" state="frozen"/>
      <selection pane="bottomLeft" activeCell="C13" sqref="C13"/>
    </sheetView>
  </sheetViews>
  <sheetFormatPr defaultRowHeight="15" x14ac:dyDescent="0.25"/>
  <cols>
    <col min="1" max="1" width="32.5703125" customWidth="1"/>
    <col min="2" max="2" width="29.140625" customWidth="1"/>
    <col min="3" max="3" width="24" customWidth="1"/>
    <col min="4" max="4" width="26" customWidth="1"/>
    <col min="5" max="5" width="13.140625" customWidth="1"/>
    <col min="6" max="6" width="15.42578125" customWidth="1"/>
    <col min="7" max="7" width="60.28515625" customWidth="1"/>
    <col min="8" max="8" width="19.140625" customWidth="1"/>
  </cols>
  <sheetData>
    <row r="1" spans="1:8" x14ac:dyDescent="0.25">
      <c r="A1" s="1" t="s">
        <v>23</v>
      </c>
      <c r="B1" s="1" t="s">
        <v>270</v>
      </c>
      <c r="C1" s="1" t="s">
        <v>268</v>
      </c>
      <c r="D1" s="1" t="s">
        <v>269</v>
      </c>
      <c r="E1" s="1" t="s">
        <v>2</v>
      </c>
      <c r="F1" s="1" t="s">
        <v>220</v>
      </c>
      <c r="G1" s="1" t="s">
        <v>1</v>
      </c>
      <c r="H1" s="1" t="s">
        <v>264</v>
      </c>
    </row>
    <row r="2" spans="1:8" x14ac:dyDescent="0.25">
      <c r="A2" s="2" t="s">
        <v>24</v>
      </c>
      <c r="B2" s="2" t="s">
        <v>15</v>
      </c>
      <c r="C2" s="2" t="s">
        <v>17</v>
      </c>
      <c r="D2" s="2"/>
      <c r="E2" s="153" t="s">
        <v>7</v>
      </c>
      <c r="F2" s="154"/>
      <c r="G2" s="154" t="s">
        <v>280</v>
      </c>
      <c r="H2" s="154"/>
    </row>
    <row r="3" spans="1:8" x14ac:dyDescent="0.25">
      <c r="A3" s="2" t="s">
        <v>25</v>
      </c>
      <c r="B3" s="2" t="s">
        <v>15</v>
      </c>
      <c r="C3" s="2"/>
      <c r="D3" s="2"/>
      <c r="E3" s="153" t="s">
        <v>6</v>
      </c>
      <c r="F3" s="154"/>
      <c r="G3" s="154" t="s">
        <v>26</v>
      </c>
      <c r="H3" s="154"/>
    </row>
    <row r="4" spans="1:8" x14ac:dyDescent="0.25">
      <c r="A4" s="2" t="s">
        <v>27</v>
      </c>
      <c r="B4" s="2" t="s">
        <v>17</v>
      </c>
      <c r="C4" s="2"/>
      <c r="D4" s="2"/>
      <c r="E4" s="153" t="s">
        <v>6</v>
      </c>
      <c r="F4" s="154"/>
      <c r="G4" s="154"/>
      <c r="H4" s="154"/>
    </row>
    <row r="5" spans="1:8" x14ac:dyDescent="0.25">
      <c r="A5" s="2" t="s">
        <v>28</v>
      </c>
      <c r="B5" s="2" t="s">
        <v>17</v>
      </c>
      <c r="C5" s="2"/>
      <c r="D5" s="2"/>
      <c r="E5" s="153" t="s">
        <v>7</v>
      </c>
      <c r="F5" s="154"/>
      <c r="G5" s="154"/>
      <c r="H5" s="154"/>
    </row>
    <row r="6" spans="1:8" x14ac:dyDescent="0.25">
      <c r="A6" s="2" t="s">
        <v>214</v>
      </c>
      <c r="B6" s="2" t="s">
        <v>17</v>
      </c>
      <c r="C6" s="2"/>
      <c r="D6" s="2"/>
      <c r="E6" s="153" t="s">
        <v>7</v>
      </c>
      <c r="F6" s="154"/>
      <c r="G6" s="154"/>
      <c r="H6" s="154"/>
    </row>
    <row r="7" spans="1:8" x14ac:dyDescent="0.25">
      <c r="A7" s="2" t="s">
        <v>200</v>
      </c>
      <c r="B7" s="2" t="s">
        <v>21</v>
      </c>
      <c r="C7" s="2"/>
      <c r="D7" s="2"/>
      <c r="E7" s="153" t="s">
        <v>7</v>
      </c>
      <c r="F7" s="154"/>
      <c r="G7" s="154" t="s">
        <v>201</v>
      </c>
      <c r="H7" s="154"/>
    </row>
    <row r="8" spans="1:8" x14ac:dyDescent="0.25">
      <c r="A8" s="2" t="s">
        <v>202</v>
      </c>
      <c r="B8" s="2" t="s">
        <v>16</v>
      </c>
      <c r="C8" s="2"/>
      <c r="D8" s="2"/>
      <c r="E8" s="153" t="s">
        <v>9</v>
      </c>
      <c r="F8" s="154"/>
      <c r="G8" s="154"/>
      <c r="H8" s="154"/>
    </row>
    <row r="9" spans="1:8" x14ac:dyDescent="0.25">
      <c r="A9" s="2" t="s">
        <v>206</v>
      </c>
      <c r="B9" s="2" t="s">
        <v>16</v>
      </c>
      <c r="C9" s="2" t="s">
        <v>17</v>
      </c>
      <c r="D9" s="2"/>
      <c r="E9" s="153" t="s">
        <v>8</v>
      </c>
      <c r="F9" s="154"/>
      <c r="G9" s="154"/>
      <c r="H9" s="154"/>
    </row>
    <row r="10" spans="1:8" x14ac:dyDescent="0.25">
      <c r="A10" s="2"/>
      <c r="B10" s="2"/>
      <c r="C10" s="2"/>
      <c r="D10" s="2"/>
      <c r="E10" s="153"/>
      <c r="F10" s="154"/>
      <c r="G10" s="154"/>
      <c r="H10" s="154"/>
    </row>
    <row r="11" spans="1:8" x14ac:dyDescent="0.25">
      <c r="A11" s="2"/>
      <c r="B11" s="2"/>
      <c r="C11" s="2"/>
      <c r="D11" s="2"/>
      <c r="E11" s="153"/>
      <c r="F11" s="154"/>
      <c r="G11" s="154"/>
      <c r="H11" s="154"/>
    </row>
    <row r="12" spans="1:8" x14ac:dyDescent="0.25">
      <c r="A12" s="2"/>
      <c r="B12" s="2"/>
      <c r="C12" s="2"/>
      <c r="D12" s="2"/>
      <c r="E12" s="153"/>
      <c r="F12" s="154"/>
      <c r="G12" s="154"/>
      <c r="H12" s="154"/>
    </row>
    <row r="13" spans="1:8" x14ac:dyDescent="0.25">
      <c r="A13" s="2"/>
      <c r="B13" s="2"/>
      <c r="C13" s="2"/>
      <c r="D13" s="2"/>
      <c r="E13" s="153"/>
      <c r="F13" s="154"/>
      <c r="G13" s="154"/>
      <c r="H13" s="154"/>
    </row>
    <row r="14" spans="1:8" x14ac:dyDescent="0.25">
      <c r="A14" s="2"/>
      <c r="B14" s="2"/>
      <c r="C14" s="2"/>
      <c r="D14" s="2"/>
      <c r="E14" s="153"/>
      <c r="F14" s="154"/>
      <c r="G14" s="154"/>
      <c r="H14" s="154"/>
    </row>
    <row r="15" spans="1:8" x14ac:dyDescent="0.25">
      <c r="A15" s="2"/>
      <c r="B15" s="2"/>
      <c r="C15" s="2"/>
      <c r="D15" s="2"/>
      <c r="E15" s="153"/>
      <c r="F15" s="154"/>
      <c r="G15" s="154"/>
      <c r="H15" s="154"/>
    </row>
    <row r="16" spans="1:8" x14ac:dyDescent="0.25">
      <c r="A16" s="2"/>
      <c r="B16" s="2"/>
      <c r="C16" s="2"/>
      <c r="D16" s="2"/>
      <c r="E16" s="153"/>
      <c r="F16" s="154"/>
      <c r="G16" s="154"/>
      <c r="H16" s="154"/>
    </row>
    <row r="17" spans="1:11" x14ac:dyDescent="0.25">
      <c r="A17" s="2"/>
      <c r="B17" s="2"/>
      <c r="C17" s="2"/>
      <c r="D17" s="2"/>
      <c r="E17" s="153"/>
      <c r="F17" s="154"/>
      <c r="G17" s="154"/>
      <c r="H17" s="154"/>
    </row>
    <row r="18" spans="1:11" x14ac:dyDescent="0.25">
      <c r="A18" s="2"/>
      <c r="B18" s="2"/>
      <c r="C18" s="2"/>
      <c r="D18" s="2"/>
      <c r="E18" s="153"/>
      <c r="F18" s="154"/>
      <c r="G18" s="154"/>
      <c r="H18" s="154"/>
    </row>
    <row r="19" spans="1:11" x14ac:dyDescent="0.25">
      <c r="A19" s="2"/>
      <c r="B19" s="2"/>
      <c r="C19" s="2"/>
      <c r="D19" s="2"/>
      <c r="E19" s="153"/>
      <c r="F19" s="154"/>
      <c r="G19" s="154"/>
      <c r="H19" s="154"/>
      <c r="J19" s="1" t="s">
        <v>254</v>
      </c>
    </row>
    <row r="20" spans="1:11" x14ac:dyDescent="0.25">
      <c r="A20" s="2"/>
      <c r="B20" s="2"/>
      <c r="C20" s="2"/>
      <c r="D20" s="2"/>
      <c r="E20" s="153"/>
      <c r="F20" s="154"/>
      <c r="G20" s="154"/>
      <c r="H20" s="154"/>
      <c r="J20" s="2"/>
      <c r="K20" t="s">
        <v>251</v>
      </c>
    </row>
    <row r="21" spans="1:11" x14ac:dyDescent="0.25">
      <c r="A21" s="2"/>
      <c r="B21" s="2"/>
      <c r="C21" s="2"/>
      <c r="D21" s="2"/>
      <c r="E21" s="153"/>
      <c r="F21" s="154"/>
      <c r="G21" s="154"/>
      <c r="H21" s="154"/>
      <c r="J21" s="153"/>
      <c r="K21" t="s">
        <v>252</v>
      </c>
    </row>
    <row r="22" spans="1:11" x14ac:dyDescent="0.25">
      <c r="A22" s="2"/>
      <c r="B22" s="2"/>
      <c r="C22" s="2"/>
      <c r="D22" s="2"/>
      <c r="E22" s="153"/>
      <c r="F22" s="154"/>
      <c r="G22" s="154"/>
      <c r="H22" s="154"/>
      <c r="J22" s="154"/>
      <c r="K22" t="s">
        <v>253</v>
      </c>
    </row>
    <row r="23" spans="1:11" x14ac:dyDescent="0.25">
      <c r="A23" s="2"/>
      <c r="B23" s="2"/>
      <c r="C23" s="2"/>
      <c r="D23" s="2"/>
      <c r="E23" s="153"/>
      <c r="F23" s="154"/>
      <c r="G23" s="154"/>
      <c r="H23" s="154"/>
    </row>
    <row r="24" spans="1:11" x14ac:dyDescent="0.25">
      <c r="A24" s="2"/>
      <c r="B24" s="2"/>
      <c r="C24" s="2"/>
      <c r="D24" s="2"/>
      <c r="E24" s="153"/>
      <c r="F24" s="154"/>
      <c r="G24" s="154"/>
      <c r="H24" s="154"/>
    </row>
    <row r="25" spans="1:11" x14ac:dyDescent="0.25">
      <c r="A25" s="2"/>
      <c r="B25" s="2"/>
      <c r="C25" s="2"/>
      <c r="D25" s="2"/>
      <c r="E25" s="153"/>
      <c r="F25" s="154"/>
      <c r="G25" s="154"/>
      <c r="H25" s="154"/>
    </row>
    <row r="26" spans="1:11" x14ac:dyDescent="0.25">
      <c r="A26" s="2"/>
      <c r="B26" s="2"/>
      <c r="C26" s="2"/>
      <c r="D26" s="2"/>
      <c r="E26" s="153"/>
      <c r="F26" s="154"/>
      <c r="G26" s="154"/>
      <c r="H26" s="154"/>
    </row>
    <row r="27" spans="1:11" x14ac:dyDescent="0.25">
      <c r="A27" s="2"/>
      <c r="B27" s="2"/>
      <c r="C27" s="2"/>
      <c r="D27" s="2"/>
      <c r="E27" s="153"/>
      <c r="F27" s="154"/>
      <c r="G27" s="154"/>
      <c r="H27" s="154"/>
    </row>
    <row r="28" spans="1:11" x14ac:dyDescent="0.25">
      <c r="A28" s="2"/>
      <c r="B28" s="2"/>
      <c r="C28" s="2"/>
      <c r="D28" s="2"/>
      <c r="E28" s="153"/>
      <c r="F28" s="154"/>
      <c r="G28" s="154"/>
      <c r="H28" s="154"/>
    </row>
    <row r="29" spans="1:11" x14ac:dyDescent="0.25">
      <c r="A29" s="2"/>
      <c r="B29" s="2"/>
      <c r="C29" s="2"/>
      <c r="D29" s="2"/>
      <c r="E29" s="153"/>
      <c r="F29" s="154"/>
      <c r="G29" s="154"/>
      <c r="H29" s="154"/>
    </row>
    <row r="30" spans="1:11" x14ac:dyDescent="0.25">
      <c r="A30" s="2"/>
      <c r="B30" s="2"/>
      <c r="C30" s="2"/>
      <c r="D30" s="2"/>
      <c r="E30" s="153"/>
      <c r="F30" s="154"/>
      <c r="G30" s="154"/>
      <c r="H30" s="154"/>
    </row>
    <row r="31" spans="1:11" x14ac:dyDescent="0.25">
      <c r="A31" s="2"/>
      <c r="B31" s="2"/>
      <c r="C31" s="2"/>
      <c r="D31" s="2"/>
      <c r="E31" s="153"/>
      <c r="F31" s="154"/>
      <c r="G31" s="154"/>
      <c r="H31" s="154"/>
    </row>
    <row r="32" spans="1:11" x14ac:dyDescent="0.25">
      <c r="A32" s="2"/>
      <c r="B32" s="2"/>
      <c r="C32" s="2"/>
      <c r="D32" s="2"/>
      <c r="E32" s="153"/>
      <c r="F32" s="154"/>
      <c r="G32" s="154"/>
      <c r="H32" s="154"/>
    </row>
    <row r="33" spans="1:8" x14ac:dyDescent="0.25">
      <c r="A33" s="2"/>
      <c r="B33" s="2"/>
      <c r="C33" s="2"/>
      <c r="D33" s="2"/>
      <c r="E33" s="153"/>
      <c r="F33" s="154"/>
      <c r="G33" s="154"/>
      <c r="H33" s="154"/>
    </row>
    <row r="34" spans="1:8" x14ac:dyDescent="0.25">
      <c r="A34" s="2"/>
      <c r="B34" s="2"/>
      <c r="C34" s="2"/>
      <c r="D34" s="2"/>
      <c r="E34" s="153"/>
      <c r="F34" s="154"/>
      <c r="G34" s="154"/>
      <c r="H34" s="154"/>
    </row>
    <row r="35" spans="1:8" x14ac:dyDescent="0.25">
      <c r="A35" s="2"/>
      <c r="B35" s="2"/>
      <c r="C35" s="2"/>
      <c r="D35" s="2"/>
      <c r="E35" s="153"/>
      <c r="F35" s="154"/>
      <c r="G35" s="154"/>
      <c r="H35" s="154"/>
    </row>
    <row r="36" spans="1:8" x14ac:dyDescent="0.25">
      <c r="A36" s="2"/>
      <c r="B36" s="2"/>
      <c r="C36" s="2"/>
      <c r="D36" s="2"/>
      <c r="E36" s="153"/>
      <c r="F36" s="154"/>
      <c r="G36" s="154"/>
      <c r="H36" s="154"/>
    </row>
    <row r="37" spans="1:8" x14ac:dyDescent="0.25">
      <c r="A37" s="2"/>
      <c r="B37" s="2"/>
      <c r="C37" s="2"/>
      <c r="D37" s="2"/>
      <c r="E37" s="153"/>
      <c r="F37" s="154"/>
      <c r="G37" s="154"/>
      <c r="H37" s="154"/>
    </row>
    <row r="38" spans="1:8" x14ac:dyDescent="0.25">
      <c r="A38" s="2"/>
      <c r="B38" s="2"/>
      <c r="C38" s="2"/>
      <c r="D38" s="2"/>
      <c r="E38" s="153"/>
      <c r="F38" s="154"/>
      <c r="G38" s="154"/>
      <c r="H38" s="154"/>
    </row>
    <row r="39" spans="1:8" x14ac:dyDescent="0.25">
      <c r="A39" s="2"/>
      <c r="B39" s="2"/>
      <c r="C39" s="2"/>
      <c r="D39" s="2"/>
      <c r="E39" s="153"/>
      <c r="F39" s="154"/>
      <c r="G39" s="154"/>
      <c r="H39" s="154"/>
    </row>
    <row r="40" spans="1:8" x14ac:dyDescent="0.25">
      <c r="A40" s="2"/>
      <c r="B40" s="2"/>
      <c r="C40" s="2"/>
      <c r="D40" s="2"/>
      <c r="E40" s="153"/>
      <c r="F40" s="154"/>
      <c r="G40" s="154"/>
      <c r="H40" s="154"/>
    </row>
    <row r="41" spans="1:8" x14ac:dyDescent="0.25">
      <c r="A41" s="2"/>
      <c r="B41" s="2"/>
      <c r="C41" s="2"/>
      <c r="D41" s="2"/>
      <c r="E41" s="153"/>
      <c r="F41" s="154"/>
      <c r="G41" s="154"/>
      <c r="H41" s="154"/>
    </row>
    <row r="42" spans="1:8" x14ac:dyDescent="0.25">
      <c r="A42" s="2"/>
      <c r="B42" s="2"/>
      <c r="C42" s="2"/>
      <c r="D42" s="2"/>
      <c r="E42" s="153"/>
      <c r="F42" s="154"/>
      <c r="G42" s="154"/>
      <c r="H42" s="154"/>
    </row>
    <row r="43" spans="1:8" x14ac:dyDescent="0.25">
      <c r="A43" s="2"/>
      <c r="B43" s="2"/>
      <c r="C43" s="2"/>
      <c r="D43" s="2"/>
      <c r="E43" s="153"/>
      <c r="F43" s="154"/>
      <c r="G43" s="154"/>
      <c r="H43" s="154"/>
    </row>
    <row r="44" spans="1:8" x14ac:dyDescent="0.25">
      <c r="A44" s="2"/>
      <c r="B44" s="2"/>
      <c r="C44" s="2"/>
      <c r="D44" s="2"/>
      <c r="E44" s="153"/>
      <c r="F44" s="154"/>
      <c r="G44" s="154"/>
      <c r="H44" s="154"/>
    </row>
    <row r="45" spans="1:8" x14ac:dyDescent="0.25">
      <c r="A45" s="2"/>
      <c r="B45" s="2"/>
      <c r="C45" s="2"/>
      <c r="D45" s="2"/>
      <c r="E45" s="153"/>
      <c r="F45" s="154"/>
      <c r="G45" s="154"/>
      <c r="H45" s="154"/>
    </row>
    <row r="46" spans="1:8" x14ac:dyDescent="0.25">
      <c r="A46" s="2"/>
      <c r="B46" s="2"/>
      <c r="C46" s="2"/>
      <c r="D46" s="2"/>
      <c r="E46" s="153"/>
      <c r="F46" s="154"/>
      <c r="G46" s="154"/>
      <c r="H46" s="154"/>
    </row>
    <row r="47" spans="1:8" x14ac:dyDescent="0.25">
      <c r="A47" s="2"/>
      <c r="B47" s="2"/>
      <c r="C47" s="2"/>
      <c r="D47" s="2"/>
      <c r="E47" s="153"/>
      <c r="F47" s="154"/>
      <c r="G47" s="154"/>
      <c r="H47" s="154"/>
    </row>
    <row r="48" spans="1:8" x14ac:dyDescent="0.25">
      <c r="A48" s="2"/>
      <c r="B48" s="2"/>
      <c r="C48" s="2"/>
      <c r="D48" s="2"/>
      <c r="E48" s="153"/>
      <c r="F48" s="154"/>
      <c r="G48" s="154"/>
      <c r="H48" s="154"/>
    </row>
    <row r="49" spans="1:8" x14ac:dyDescent="0.25">
      <c r="A49" s="2"/>
      <c r="B49" s="2"/>
      <c r="C49" s="2"/>
      <c r="D49" s="2"/>
      <c r="E49" s="153"/>
      <c r="F49" s="154"/>
      <c r="G49" s="154"/>
      <c r="H49" s="154"/>
    </row>
    <row r="50" spans="1:8" x14ac:dyDescent="0.25">
      <c r="A50" s="2"/>
      <c r="B50" s="2"/>
      <c r="C50" s="2"/>
      <c r="D50" s="2"/>
      <c r="E50" s="153"/>
      <c r="F50" s="154"/>
      <c r="G50" s="154"/>
      <c r="H50" s="154"/>
    </row>
    <row r="51" spans="1:8" x14ac:dyDescent="0.25">
      <c r="A51" s="2"/>
      <c r="B51" s="2"/>
      <c r="C51" s="2"/>
      <c r="D51" s="2"/>
      <c r="E51" s="153"/>
      <c r="F51" s="154"/>
      <c r="G51" s="154"/>
      <c r="H51" s="154"/>
    </row>
    <row r="52" spans="1:8" x14ac:dyDescent="0.25">
      <c r="A52" s="2"/>
      <c r="B52" s="2"/>
      <c r="C52" s="2"/>
      <c r="D52" s="2"/>
      <c r="E52" s="153"/>
      <c r="F52" s="154"/>
      <c r="G52" s="154"/>
      <c r="H52" s="154"/>
    </row>
    <row r="53" spans="1:8" x14ac:dyDescent="0.25">
      <c r="A53" s="2"/>
      <c r="B53" s="2"/>
      <c r="C53" s="2"/>
      <c r="D53" s="2"/>
      <c r="E53" s="153"/>
      <c r="F53" s="154"/>
      <c r="G53" s="154"/>
      <c r="H53" s="154"/>
    </row>
    <row r="54" spans="1:8" x14ac:dyDescent="0.25">
      <c r="A54" s="2"/>
      <c r="B54" s="2"/>
      <c r="C54" s="2"/>
      <c r="D54" s="2"/>
      <c r="E54" s="153"/>
      <c r="F54" s="154"/>
      <c r="G54" s="154"/>
      <c r="H54" s="154"/>
    </row>
    <row r="55" spans="1:8" x14ac:dyDescent="0.25">
      <c r="A55" s="2"/>
      <c r="B55" s="2"/>
      <c r="C55" s="2"/>
      <c r="D55" s="2"/>
      <c r="E55" s="153"/>
      <c r="F55" s="154"/>
      <c r="G55" s="154"/>
      <c r="H55" s="154"/>
    </row>
    <row r="56" spans="1:8" x14ac:dyDescent="0.25">
      <c r="A56" s="2"/>
      <c r="B56" s="2"/>
      <c r="C56" s="2"/>
      <c r="D56" s="2"/>
      <c r="E56" s="153"/>
      <c r="F56" s="154"/>
      <c r="G56" s="154"/>
      <c r="H56" s="154"/>
    </row>
    <row r="57" spans="1:8" x14ac:dyDescent="0.25">
      <c r="A57" s="2"/>
      <c r="B57" s="2"/>
      <c r="C57" s="2"/>
      <c r="D57" s="2"/>
      <c r="E57" s="153"/>
      <c r="F57" s="154"/>
      <c r="G57" s="154"/>
      <c r="H57" s="154"/>
    </row>
    <row r="58" spans="1:8" x14ac:dyDescent="0.25">
      <c r="A58" s="2"/>
      <c r="B58" s="2"/>
      <c r="C58" s="2"/>
      <c r="D58" s="2"/>
      <c r="E58" s="153"/>
      <c r="F58" s="154"/>
      <c r="G58" s="154"/>
      <c r="H58" s="154"/>
    </row>
    <row r="59" spans="1:8" x14ac:dyDescent="0.25">
      <c r="A59" s="2"/>
      <c r="B59" s="2"/>
      <c r="C59" s="2"/>
      <c r="D59" s="2"/>
      <c r="E59" s="153"/>
      <c r="F59" s="154"/>
      <c r="G59" s="154"/>
      <c r="H59" s="154"/>
    </row>
    <row r="60" spans="1:8" x14ac:dyDescent="0.25">
      <c r="A60" s="2"/>
      <c r="B60" s="2"/>
      <c r="C60" s="2"/>
      <c r="D60" s="2"/>
      <c r="E60" s="153"/>
      <c r="F60" s="154"/>
      <c r="G60" s="154"/>
      <c r="H60" s="154"/>
    </row>
    <row r="61" spans="1:8" x14ac:dyDescent="0.25">
      <c r="A61" s="2"/>
      <c r="B61" s="2"/>
      <c r="C61" s="2"/>
      <c r="D61" s="2"/>
      <c r="E61" s="153"/>
      <c r="F61" s="154"/>
      <c r="G61" s="154"/>
      <c r="H61" s="154"/>
    </row>
    <row r="62" spans="1:8" x14ac:dyDescent="0.25">
      <c r="A62" s="2"/>
      <c r="B62" s="2"/>
      <c r="C62" s="2"/>
      <c r="D62" s="2"/>
      <c r="E62" s="153"/>
      <c r="F62" s="154"/>
      <c r="G62" s="154"/>
      <c r="H62" s="154"/>
    </row>
    <row r="63" spans="1:8" x14ac:dyDescent="0.25">
      <c r="A63" s="2"/>
      <c r="B63" s="2"/>
      <c r="C63" s="2"/>
      <c r="D63" s="2"/>
      <c r="E63" s="153"/>
      <c r="F63" s="154"/>
      <c r="G63" s="154"/>
      <c r="H63" s="154"/>
    </row>
    <row r="64" spans="1:8" x14ac:dyDescent="0.25">
      <c r="A64" s="2"/>
      <c r="B64" s="2"/>
      <c r="C64" s="2"/>
      <c r="D64" s="2"/>
      <c r="E64" s="153"/>
      <c r="F64" s="154"/>
      <c r="G64" s="154"/>
      <c r="H64" s="154"/>
    </row>
    <row r="65" spans="1:8" x14ac:dyDescent="0.25">
      <c r="A65" s="2"/>
      <c r="B65" s="2"/>
      <c r="C65" s="2"/>
      <c r="D65" s="2"/>
      <c r="E65" s="153"/>
      <c r="F65" s="154"/>
      <c r="G65" s="154"/>
      <c r="H65" s="154"/>
    </row>
    <row r="66" spans="1:8" x14ac:dyDescent="0.25">
      <c r="A66" s="2"/>
      <c r="B66" s="2"/>
      <c r="C66" s="2"/>
      <c r="D66" s="2"/>
      <c r="E66" s="153"/>
      <c r="F66" s="154"/>
      <c r="G66" s="154"/>
      <c r="H66" s="154"/>
    </row>
    <row r="67" spans="1:8" x14ac:dyDescent="0.25">
      <c r="A67" s="2"/>
      <c r="B67" s="2"/>
      <c r="C67" s="2"/>
      <c r="D67" s="2"/>
      <c r="E67" s="153"/>
      <c r="F67" s="154"/>
      <c r="G67" s="154"/>
      <c r="H67" s="154"/>
    </row>
    <row r="68" spans="1:8" x14ac:dyDescent="0.25">
      <c r="A68" s="2"/>
      <c r="B68" s="2"/>
      <c r="C68" s="2"/>
      <c r="D68" s="2"/>
      <c r="E68" s="153"/>
      <c r="F68" s="154"/>
      <c r="G68" s="154"/>
      <c r="H68" s="154"/>
    </row>
    <row r="69" spans="1:8" x14ac:dyDescent="0.25">
      <c r="A69" s="2"/>
      <c r="B69" s="2"/>
      <c r="C69" s="2"/>
      <c r="D69" s="2"/>
      <c r="E69" s="153"/>
      <c r="F69" s="154"/>
      <c r="G69" s="154"/>
      <c r="H69" s="154"/>
    </row>
    <row r="70" spans="1:8" x14ac:dyDescent="0.25">
      <c r="A70" s="2"/>
      <c r="B70" s="2"/>
      <c r="C70" s="2"/>
      <c r="D70" s="2"/>
      <c r="E70" s="153"/>
      <c r="F70" s="154"/>
      <c r="G70" s="154"/>
      <c r="H70" s="154"/>
    </row>
    <row r="71" spans="1:8" x14ac:dyDescent="0.25">
      <c r="A71" s="2"/>
      <c r="B71" s="2"/>
      <c r="C71" s="2"/>
      <c r="D71" s="2"/>
      <c r="E71" s="153"/>
      <c r="F71" s="154"/>
      <c r="G71" s="154"/>
      <c r="H71" s="154"/>
    </row>
    <row r="72" spans="1:8" x14ac:dyDescent="0.25">
      <c r="A72" s="2"/>
      <c r="B72" s="2"/>
      <c r="C72" s="2"/>
      <c r="D72" s="2"/>
      <c r="E72" s="153"/>
      <c r="F72" s="154"/>
      <c r="G72" s="154"/>
      <c r="H72" s="154"/>
    </row>
    <row r="73" spans="1:8" x14ac:dyDescent="0.25">
      <c r="A73" s="2"/>
      <c r="B73" s="2"/>
      <c r="C73" s="2"/>
      <c r="D73" s="2"/>
      <c r="E73" s="153"/>
      <c r="F73" s="154"/>
      <c r="G73" s="154"/>
      <c r="H73" s="154"/>
    </row>
    <row r="74" spans="1:8" x14ac:dyDescent="0.25">
      <c r="A74" s="2"/>
      <c r="B74" s="2"/>
      <c r="C74" s="2"/>
      <c r="D74" s="2"/>
      <c r="E74" s="153"/>
      <c r="F74" s="154"/>
      <c r="G74" s="154"/>
      <c r="H74" s="154"/>
    </row>
    <row r="75" spans="1:8" x14ac:dyDescent="0.25">
      <c r="A75" s="2"/>
      <c r="B75" s="2"/>
      <c r="C75" s="2"/>
      <c r="D75" s="2"/>
      <c r="E75" s="153"/>
      <c r="F75" s="154"/>
      <c r="G75" s="154"/>
      <c r="H75" s="154"/>
    </row>
    <row r="76" spans="1:8" x14ac:dyDescent="0.25">
      <c r="A76" s="2"/>
      <c r="B76" s="2"/>
      <c r="C76" s="2"/>
      <c r="D76" s="2"/>
      <c r="E76" s="153"/>
      <c r="F76" s="154"/>
      <c r="G76" s="154"/>
      <c r="H76" s="154"/>
    </row>
    <row r="77" spans="1:8" x14ac:dyDescent="0.25">
      <c r="A77" s="2"/>
      <c r="B77" s="2"/>
      <c r="C77" s="2"/>
      <c r="D77" s="2"/>
      <c r="E77" s="153"/>
      <c r="F77" s="154"/>
      <c r="G77" s="154"/>
      <c r="H77" s="154"/>
    </row>
    <row r="78" spans="1:8" x14ac:dyDescent="0.25">
      <c r="A78" s="2"/>
      <c r="B78" s="2"/>
      <c r="C78" s="2"/>
      <c r="D78" s="2"/>
      <c r="E78" s="153"/>
      <c r="F78" s="154"/>
      <c r="G78" s="154"/>
      <c r="H78" s="154"/>
    </row>
    <row r="79" spans="1:8" x14ac:dyDescent="0.25">
      <c r="A79" s="2"/>
      <c r="B79" s="2"/>
      <c r="C79" s="2"/>
      <c r="D79" s="2"/>
      <c r="E79" s="153"/>
      <c r="F79" s="154"/>
      <c r="G79" s="154"/>
      <c r="H79" s="154"/>
    </row>
    <row r="80" spans="1:8" x14ac:dyDescent="0.25">
      <c r="A80" s="2"/>
      <c r="B80" s="2"/>
      <c r="C80" s="2"/>
      <c r="D80" s="2"/>
      <c r="E80" s="153"/>
      <c r="F80" s="154"/>
      <c r="G80" s="154"/>
      <c r="H80" s="154"/>
    </row>
    <row r="81" spans="1:8" x14ac:dyDescent="0.25">
      <c r="A81" s="2"/>
      <c r="B81" s="2"/>
      <c r="C81" s="2"/>
      <c r="D81" s="2"/>
      <c r="E81" s="153"/>
      <c r="F81" s="154"/>
      <c r="G81" s="154"/>
      <c r="H81" s="154"/>
    </row>
    <row r="82" spans="1:8" x14ac:dyDescent="0.25">
      <c r="A82" s="2"/>
      <c r="B82" s="2"/>
      <c r="C82" s="2"/>
      <c r="D82" s="2"/>
      <c r="E82" s="153"/>
      <c r="F82" s="154"/>
      <c r="G82" s="154"/>
      <c r="H82" s="154"/>
    </row>
    <row r="83" spans="1:8" x14ac:dyDescent="0.25">
      <c r="A83" s="2"/>
      <c r="B83" s="2"/>
      <c r="C83" s="2"/>
      <c r="D83" s="2"/>
      <c r="E83" s="153"/>
      <c r="F83" s="154"/>
      <c r="G83" s="154"/>
      <c r="H83" s="154"/>
    </row>
    <row r="84" spans="1:8" x14ac:dyDescent="0.25">
      <c r="A84" s="2"/>
      <c r="B84" s="2"/>
      <c r="C84" s="2"/>
      <c r="D84" s="2"/>
      <c r="E84" s="153"/>
      <c r="F84" s="154"/>
      <c r="G84" s="154"/>
      <c r="H84" s="154"/>
    </row>
    <row r="85" spans="1:8" x14ac:dyDescent="0.25">
      <c r="A85" s="2"/>
      <c r="B85" s="2"/>
      <c r="C85" s="2"/>
      <c r="D85" s="2"/>
      <c r="E85" s="153"/>
      <c r="F85" s="154"/>
      <c r="G85" s="154"/>
      <c r="H85" s="154"/>
    </row>
    <row r="86" spans="1:8" x14ac:dyDescent="0.25">
      <c r="A86" s="2"/>
      <c r="B86" s="2"/>
      <c r="C86" s="2"/>
      <c r="D86" s="2"/>
      <c r="E86" s="153"/>
      <c r="F86" s="154"/>
      <c r="G86" s="154"/>
      <c r="H86" s="154"/>
    </row>
    <row r="87" spans="1:8" x14ac:dyDescent="0.25">
      <c r="A87" s="2"/>
      <c r="B87" s="2"/>
      <c r="C87" s="2"/>
      <c r="D87" s="2"/>
      <c r="E87" s="153"/>
      <c r="F87" s="154"/>
      <c r="G87" s="154"/>
      <c r="H87" s="154"/>
    </row>
    <row r="88" spans="1:8" x14ac:dyDescent="0.25">
      <c r="A88" s="2"/>
      <c r="B88" s="2"/>
      <c r="C88" s="2"/>
      <c r="D88" s="2"/>
      <c r="E88" s="153"/>
      <c r="F88" s="154"/>
      <c r="G88" s="154"/>
      <c r="H88" s="154"/>
    </row>
    <row r="89" spans="1:8" x14ac:dyDescent="0.25">
      <c r="A89" s="2"/>
      <c r="B89" s="2"/>
      <c r="C89" s="2"/>
      <c r="D89" s="2"/>
      <c r="E89" s="153"/>
      <c r="F89" s="154"/>
      <c r="G89" s="154"/>
      <c r="H89" s="154"/>
    </row>
    <row r="90" spans="1:8" x14ac:dyDescent="0.25">
      <c r="A90" s="2"/>
      <c r="B90" s="2"/>
      <c r="C90" s="2"/>
      <c r="D90" s="2"/>
      <c r="E90" s="153"/>
      <c r="F90" s="154"/>
      <c r="G90" s="154"/>
      <c r="H90" s="154"/>
    </row>
    <row r="91" spans="1:8" x14ac:dyDescent="0.25">
      <c r="A91" s="2"/>
      <c r="B91" s="2"/>
      <c r="C91" s="2"/>
      <c r="D91" s="2"/>
      <c r="E91" s="153"/>
      <c r="F91" s="154"/>
      <c r="G91" s="154"/>
      <c r="H91" s="154"/>
    </row>
    <row r="92" spans="1:8" x14ac:dyDescent="0.25">
      <c r="A92" s="2"/>
      <c r="B92" s="2"/>
      <c r="C92" s="2"/>
      <c r="D92" s="2"/>
      <c r="E92" s="153"/>
      <c r="F92" s="154"/>
      <c r="G92" s="154"/>
      <c r="H92" s="154"/>
    </row>
    <row r="93" spans="1:8" x14ac:dyDescent="0.25">
      <c r="A93" s="2"/>
      <c r="B93" s="2"/>
      <c r="C93" s="2"/>
      <c r="D93" s="2"/>
      <c r="E93" s="153"/>
      <c r="F93" s="154"/>
      <c r="G93" s="154"/>
      <c r="H93" s="154"/>
    </row>
    <row r="94" spans="1:8" x14ac:dyDescent="0.25">
      <c r="A94" s="2"/>
      <c r="B94" s="2"/>
      <c r="C94" s="2"/>
      <c r="D94" s="2"/>
      <c r="E94" s="153"/>
      <c r="F94" s="154"/>
      <c r="G94" s="154"/>
      <c r="H94" s="154"/>
    </row>
    <row r="95" spans="1:8" x14ac:dyDescent="0.25">
      <c r="A95" s="2"/>
      <c r="B95" s="2"/>
      <c r="C95" s="2"/>
      <c r="D95" s="2"/>
      <c r="E95" s="153"/>
      <c r="F95" s="154"/>
      <c r="G95" s="154"/>
      <c r="H95" s="154"/>
    </row>
    <row r="96" spans="1:8" x14ac:dyDescent="0.25">
      <c r="A96" s="2"/>
      <c r="B96" s="2"/>
      <c r="C96" s="2"/>
      <c r="D96" s="2"/>
      <c r="E96" s="153"/>
      <c r="F96" s="154"/>
      <c r="G96" s="154"/>
      <c r="H96" s="154"/>
    </row>
    <row r="97" spans="1:8" x14ac:dyDescent="0.25">
      <c r="A97" s="2"/>
      <c r="B97" s="2"/>
      <c r="C97" s="2"/>
      <c r="D97" s="2"/>
      <c r="E97" s="153"/>
      <c r="F97" s="154"/>
      <c r="G97" s="154"/>
      <c r="H97" s="154"/>
    </row>
    <row r="98" spans="1:8" x14ac:dyDescent="0.25">
      <c r="A98" s="2"/>
      <c r="B98" s="2"/>
      <c r="C98" s="2"/>
      <c r="D98" s="2"/>
      <c r="E98" s="153"/>
      <c r="F98" s="154"/>
      <c r="G98" s="154"/>
      <c r="H98" s="154"/>
    </row>
    <row r="99" spans="1:8" x14ac:dyDescent="0.25">
      <c r="A99" s="2"/>
      <c r="B99" s="2"/>
      <c r="C99" s="2"/>
      <c r="D99" s="2"/>
      <c r="E99" s="153"/>
      <c r="F99" s="154"/>
      <c r="G99" s="154"/>
      <c r="H99" s="154"/>
    </row>
    <row r="100" spans="1:8" x14ac:dyDescent="0.25">
      <c r="A100" s="2"/>
      <c r="B100" s="2"/>
      <c r="C100" s="2"/>
      <c r="D100" s="2"/>
      <c r="E100" s="153"/>
      <c r="F100" s="154"/>
      <c r="G100" s="154"/>
      <c r="H100" s="154"/>
    </row>
    <row r="101" spans="1:8" x14ac:dyDescent="0.25">
      <c r="A101" s="2"/>
      <c r="B101" s="2"/>
      <c r="C101" s="2"/>
      <c r="D101" s="2"/>
      <c r="E101" s="153"/>
      <c r="F101" s="154"/>
      <c r="G101" s="154"/>
      <c r="H101" s="154"/>
    </row>
    <row r="102" spans="1:8" x14ac:dyDescent="0.25">
      <c r="A102" s="2"/>
      <c r="B102" s="2"/>
      <c r="C102" s="2"/>
      <c r="D102" s="2"/>
      <c r="E102" s="153"/>
      <c r="F102" s="154"/>
      <c r="G102" s="154"/>
      <c r="H102" s="154"/>
    </row>
    <row r="103" spans="1:8" x14ac:dyDescent="0.25">
      <c r="A103" s="2"/>
      <c r="B103" s="2"/>
      <c r="C103" s="2"/>
      <c r="D103" s="2"/>
      <c r="E103" s="153"/>
      <c r="F103" s="154"/>
      <c r="G103" s="154"/>
      <c r="H103" s="154"/>
    </row>
    <row r="104" spans="1:8" x14ac:dyDescent="0.25">
      <c r="A104" s="2"/>
      <c r="B104" s="2"/>
      <c r="C104" s="2"/>
      <c r="D104" s="2"/>
      <c r="E104" s="153"/>
      <c r="F104" s="154"/>
      <c r="G104" s="154"/>
      <c r="H104" s="154"/>
    </row>
    <row r="105" spans="1:8" x14ac:dyDescent="0.25">
      <c r="A105" s="2"/>
      <c r="B105" s="2"/>
      <c r="C105" s="2"/>
      <c r="D105" s="2"/>
      <c r="E105" s="153"/>
      <c r="F105" s="154"/>
      <c r="G105" s="154"/>
      <c r="H105" s="154"/>
    </row>
    <row r="106" spans="1:8" x14ac:dyDescent="0.25">
      <c r="A106" s="2"/>
      <c r="B106" s="2"/>
      <c r="C106" s="2"/>
      <c r="D106" s="2"/>
      <c r="E106" s="153"/>
      <c r="F106" s="154"/>
      <c r="G106" s="154"/>
      <c r="H106" s="154"/>
    </row>
    <row r="107" spans="1:8" x14ac:dyDescent="0.25">
      <c r="A107" s="2"/>
      <c r="B107" s="2"/>
      <c r="C107" s="2"/>
      <c r="D107" s="2"/>
      <c r="E107" s="153"/>
      <c r="F107" s="154"/>
      <c r="G107" s="154"/>
      <c r="H107" s="154"/>
    </row>
    <row r="108" spans="1:8" x14ac:dyDescent="0.25">
      <c r="A108" s="2"/>
      <c r="B108" s="2"/>
      <c r="C108" s="2"/>
      <c r="D108" s="2"/>
      <c r="E108" s="153"/>
      <c r="F108" s="154"/>
      <c r="G108" s="154"/>
      <c r="H108" s="154"/>
    </row>
    <row r="109" spans="1:8" x14ac:dyDescent="0.25">
      <c r="A109" s="2"/>
      <c r="B109" s="2"/>
      <c r="C109" s="2"/>
      <c r="D109" s="2"/>
      <c r="E109" s="153"/>
      <c r="F109" s="154"/>
      <c r="G109" s="154"/>
      <c r="H109" s="154"/>
    </row>
    <row r="110" spans="1:8" x14ac:dyDescent="0.25">
      <c r="A110" s="2"/>
      <c r="B110" s="2"/>
      <c r="C110" s="2"/>
      <c r="D110" s="2"/>
      <c r="E110" s="153"/>
      <c r="F110" s="154"/>
      <c r="G110" s="154"/>
      <c r="H110" s="154"/>
    </row>
    <row r="111" spans="1:8" x14ac:dyDescent="0.25">
      <c r="A111" s="2"/>
      <c r="B111" s="2"/>
      <c r="C111" s="2"/>
      <c r="D111" s="2"/>
      <c r="E111" s="153"/>
      <c r="F111" s="154"/>
      <c r="G111" s="154"/>
      <c r="H111" s="154"/>
    </row>
    <row r="112" spans="1:8" x14ac:dyDescent="0.25">
      <c r="A112" s="2"/>
      <c r="B112" s="2"/>
      <c r="C112" s="2"/>
      <c r="D112" s="2"/>
      <c r="E112" s="153"/>
      <c r="F112" s="154"/>
      <c r="G112" s="154"/>
      <c r="H112" s="154"/>
    </row>
    <row r="113" spans="1:8" x14ac:dyDescent="0.25">
      <c r="A113" s="2"/>
      <c r="B113" s="2"/>
      <c r="C113" s="2"/>
      <c r="D113" s="2"/>
      <c r="E113" s="153"/>
      <c r="F113" s="154"/>
      <c r="G113" s="154"/>
      <c r="H113" s="154"/>
    </row>
    <row r="114" spans="1:8" x14ac:dyDescent="0.25">
      <c r="A114" s="2"/>
      <c r="B114" s="2"/>
      <c r="C114" s="2"/>
      <c r="D114" s="2"/>
      <c r="E114" s="153"/>
      <c r="F114" s="154"/>
      <c r="G114" s="154"/>
      <c r="H114" s="154"/>
    </row>
    <row r="115" spans="1:8" x14ac:dyDescent="0.25">
      <c r="A115" s="2"/>
      <c r="B115" s="2"/>
      <c r="C115" s="2"/>
      <c r="D115" s="2"/>
      <c r="E115" s="153"/>
      <c r="F115" s="154"/>
      <c r="G115" s="154"/>
      <c r="H115" s="154"/>
    </row>
    <row r="116" spans="1:8" x14ac:dyDescent="0.25">
      <c r="A116" s="2"/>
      <c r="B116" s="2"/>
      <c r="C116" s="2"/>
      <c r="D116" s="2"/>
      <c r="E116" s="153"/>
      <c r="F116" s="154"/>
      <c r="G116" s="154"/>
      <c r="H116" s="154"/>
    </row>
    <row r="117" spans="1:8" x14ac:dyDescent="0.25">
      <c r="A117" s="2"/>
      <c r="B117" s="2"/>
      <c r="C117" s="2"/>
      <c r="D117" s="2"/>
      <c r="E117" s="153"/>
      <c r="F117" s="154"/>
      <c r="G117" s="154"/>
      <c r="H117" s="154"/>
    </row>
    <row r="118" spans="1:8" x14ac:dyDescent="0.25">
      <c r="A118" s="2"/>
      <c r="B118" s="2"/>
      <c r="C118" s="2"/>
      <c r="D118" s="2"/>
      <c r="E118" s="153"/>
      <c r="F118" s="154"/>
      <c r="G118" s="154"/>
      <c r="H118" s="154"/>
    </row>
    <row r="119" spans="1:8" x14ac:dyDescent="0.25">
      <c r="A119" s="2"/>
      <c r="B119" s="2"/>
      <c r="C119" s="2"/>
      <c r="D119" s="2"/>
      <c r="E119" s="153"/>
      <c r="F119" s="154"/>
      <c r="G119" s="154"/>
      <c r="H119" s="154"/>
    </row>
    <row r="120" spans="1:8" x14ac:dyDescent="0.25">
      <c r="A120" s="2"/>
      <c r="B120" s="2"/>
      <c r="C120" s="2"/>
      <c r="D120" s="2"/>
      <c r="E120" s="153"/>
      <c r="F120" s="154"/>
      <c r="G120" s="154"/>
      <c r="H120" s="154"/>
    </row>
    <row r="121" spans="1:8" x14ac:dyDescent="0.25">
      <c r="A121" s="2"/>
      <c r="B121" s="2"/>
      <c r="C121" s="2"/>
      <c r="D121" s="2"/>
      <c r="E121" s="153"/>
      <c r="F121" s="154"/>
      <c r="G121" s="154"/>
      <c r="H121" s="154"/>
    </row>
    <row r="122" spans="1:8" x14ac:dyDescent="0.25">
      <c r="A122" s="2"/>
      <c r="B122" s="2"/>
      <c r="C122" s="2"/>
      <c r="D122" s="2"/>
      <c r="E122" s="153"/>
      <c r="F122" s="154"/>
      <c r="G122" s="154"/>
      <c r="H122" s="154"/>
    </row>
    <row r="123" spans="1:8" x14ac:dyDescent="0.25">
      <c r="A123" s="2"/>
      <c r="B123" s="2"/>
      <c r="C123" s="2"/>
      <c r="D123" s="2"/>
      <c r="E123" s="153"/>
      <c r="F123" s="154"/>
      <c r="G123" s="154"/>
      <c r="H123" s="154"/>
    </row>
    <row r="124" spans="1:8" x14ac:dyDescent="0.25">
      <c r="A124" s="2"/>
      <c r="B124" s="2"/>
      <c r="C124" s="2"/>
      <c r="D124" s="2"/>
      <c r="E124" s="153"/>
      <c r="F124" s="154"/>
      <c r="G124" s="154"/>
      <c r="H124" s="154"/>
    </row>
    <row r="125" spans="1:8" x14ac:dyDescent="0.25">
      <c r="A125" s="2"/>
      <c r="B125" s="2"/>
      <c r="C125" s="2"/>
      <c r="D125" s="2"/>
      <c r="E125" s="153"/>
      <c r="F125" s="154"/>
      <c r="G125" s="154"/>
      <c r="H125" s="154"/>
    </row>
    <row r="126" spans="1:8" x14ac:dyDescent="0.25">
      <c r="A126" s="2"/>
      <c r="B126" s="2"/>
      <c r="C126" s="2"/>
      <c r="D126" s="2"/>
      <c r="E126" s="153"/>
      <c r="F126" s="154"/>
      <c r="G126" s="154"/>
      <c r="H126" s="154"/>
    </row>
    <row r="127" spans="1:8" x14ac:dyDescent="0.25">
      <c r="A127" s="2"/>
      <c r="B127" s="2"/>
      <c r="C127" s="2"/>
      <c r="D127" s="2"/>
      <c r="E127" s="153"/>
      <c r="F127" s="154"/>
      <c r="G127" s="154"/>
      <c r="H127" s="154"/>
    </row>
    <row r="128" spans="1:8" x14ac:dyDescent="0.25">
      <c r="A128" s="2"/>
      <c r="B128" s="2"/>
      <c r="C128" s="2"/>
      <c r="D128" s="2"/>
      <c r="E128" s="153"/>
      <c r="F128" s="154"/>
      <c r="G128" s="154"/>
      <c r="H128" s="154"/>
    </row>
    <row r="129" spans="1:8" x14ac:dyDescent="0.25">
      <c r="A129" s="2"/>
      <c r="B129" s="2"/>
      <c r="C129" s="2"/>
      <c r="D129" s="2"/>
      <c r="E129" s="153"/>
      <c r="F129" s="154"/>
      <c r="G129" s="154"/>
      <c r="H129" s="154"/>
    </row>
    <row r="130" spans="1:8" x14ac:dyDescent="0.25">
      <c r="A130" s="2"/>
      <c r="B130" s="2"/>
      <c r="C130" s="2"/>
      <c r="D130" s="2"/>
      <c r="E130" s="153"/>
      <c r="F130" s="154"/>
      <c r="G130" s="154"/>
      <c r="H130" s="154"/>
    </row>
    <row r="131" spans="1:8" x14ac:dyDescent="0.25">
      <c r="A131" s="2"/>
      <c r="B131" s="2"/>
      <c r="C131" s="2"/>
      <c r="D131" s="2"/>
      <c r="E131" s="153"/>
      <c r="F131" s="154"/>
      <c r="G131" s="154"/>
      <c r="H131" s="154"/>
    </row>
    <row r="132" spans="1:8" x14ac:dyDescent="0.25">
      <c r="A132" s="2"/>
      <c r="B132" s="2"/>
      <c r="C132" s="2"/>
      <c r="D132" s="2"/>
      <c r="E132" s="153"/>
      <c r="F132" s="154"/>
      <c r="G132" s="154"/>
      <c r="H132" s="154"/>
    </row>
    <row r="133" spans="1:8" x14ac:dyDescent="0.25">
      <c r="A133" s="2"/>
      <c r="B133" s="2"/>
      <c r="C133" s="2"/>
      <c r="D133" s="2"/>
      <c r="E133" s="153"/>
      <c r="F133" s="154"/>
      <c r="G133" s="154"/>
      <c r="H133" s="154"/>
    </row>
    <row r="134" spans="1:8" x14ac:dyDescent="0.25">
      <c r="A134" s="2"/>
      <c r="B134" s="2"/>
      <c r="C134" s="2"/>
      <c r="D134" s="2"/>
      <c r="E134" s="153"/>
      <c r="F134" s="154"/>
      <c r="G134" s="154"/>
      <c r="H134" s="154"/>
    </row>
    <row r="135" spans="1:8" x14ac:dyDescent="0.25">
      <c r="A135" s="2"/>
      <c r="B135" s="2"/>
      <c r="C135" s="2"/>
      <c r="D135" s="2"/>
      <c r="E135" s="153"/>
      <c r="F135" s="154"/>
      <c r="G135" s="154"/>
      <c r="H135" s="154"/>
    </row>
    <row r="136" spans="1:8" x14ac:dyDescent="0.25">
      <c r="A136" s="2"/>
      <c r="B136" s="2"/>
      <c r="C136" s="2"/>
      <c r="D136" s="2"/>
      <c r="E136" s="153"/>
      <c r="F136" s="154"/>
      <c r="G136" s="154"/>
      <c r="H136" s="154"/>
    </row>
    <row r="137" spans="1:8" x14ac:dyDescent="0.25">
      <c r="A137" s="2"/>
      <c r="B137" s="2"/>
      <c r="C137" s="2"/>
      <c r="D137" s="2"/>
      <c r="E137" s="153"/>
      <c r="F137" s="154"/>
      <c r="G137" s="154"/>
      <c r="H137" s="154"/>
    </row>
    <row r="138" spans="1:8" x14ac:dyDescent="0.25">
      <c r="A138" s="2"/>
      <c r="B138" s="2"/>
      <c r="C138" s="2"/>
      <c r="D138" s="2"/>
      <c r="E138" s="153"/>
      <c r="F138" s="154"/>
      <c r="G138" s="154"/>
      <c r="H138" s="154"/>
    </row>
    <row r="139" spans="1:8" x14ac:dyDescent="0.25">
      <c r="A139" s="2"/>
      <c r="B139" s="2"/>
      <c r="C139" s="2"/>
      <c r="D139" s="2"/>
      <c r="E139" s="153"/>
      <c r="F139" s="154"/>
      <c r="G139" s="154"/>
      <c r="H139" s="154"/>
    </row>
    <row r="140" spans="1:8" x14ac:dyDescent="0.25">
      <c r="A140" s="2"/>
      <c r="B140" s="2"/>
      <c r="C140" s="2"/>
      <c r="D140" s="2"/>
      <c r="E140" s="153"/>
      <c r="F140" s="154"/>
      <c r="G140" s="154"/>
      <c r="H140" s="154"/>
    </row>
    <row r="141" spans="1:8" x14ac:dyDescent="0.25">
      <c r="A141" s="2"/>
      <c r="B141" s="2"/>
      <c r="C141" s="2"/>
      <c r="D141" s="2"/>
      <c r="E141" s="153"/>
      <c r="F141" s="154"/>
      <c r="G141" s="154"/>
      <c r="H141" s="154"/>
    </row>
    <row r="142" spans="1:8" x14ac:dyDescent="0.25">
      <c r="A142" s="2"/>
      <c r="B142" s="2"/>
      <c r="C142" s="2"/>
      <c r="D142" s="2"/>
      <c r="E142" s="153"/>
      <c r="F142" s="154"/>
      <c r="G142" s="154"/>
      <c r="H142" s="154"/>
    </row>
    <row r="143" spans="1:8" x14ac:dyDescent="0.25">
      <c r="A143" s="2"/>
      <c r="B143" s="2"/>
      <c r="C143" s="2"/>
      <c r="D143" s="2"/>
      <c r="E143" s="153"/>
      <c r="F143" s="154"/>
      <c r="G143" s="154"/>
      <c r="H143" s="154"/>
    </row>
    <row r="144" spans="1:8" x14ac:dyDescent="0.25">
      <c r="A144" s="2"/>
      <c r="B144" s="2"/>
      <c r="C144" s="2"/>
      <c r="D144" s="2"/>
      <c r="E144" s="153"/>
      <c r="F144" s="154"/>
      <c r="G144" s="154"/>
      <c r="H144" s="154"/>
    </row>
    <row r="145" spans="1:8" x14ac:dyDescent="0.25">
      <c r="A145" s="2"/>
      <c r="B145" s="2"/>
      <c r="C145" s="2"/>
      <c r="D145" s="2"/>
      <c r="E145" s="153"/>
      <c r="F145" s="154"/>
      <c r="G145" s="154"/>
      <c r="H145" s="154"/>
    </row>
    <row r="146" spans="1:8" x14ac:dyDescent="0.25">
      <c r="A146" s="2"/>
      <c r="B146" s="2"/>
      <c r="C146" s="2"/>
      <c r="D146" s="2"/>
      <c r="E146" s="153"/>
      <c r="F146" s="154"/>
      <c r="G146" s="154"/>
      <c r="H146" s="154"/>
    </row>
    <row r="147" spans="1:8" x14ac:dyDescent="0.25">
      <c r="A147" s="2"/>
      <c r="B147" s="2"/>
      <c r="C147" s="2"/>
      <c r="D147" s="2"/>
      <c r="E147" s="153"/>
      <c r="F147" s="154"/>
      <c r="G147" s="154"/>
      <c r="H147" s="154"/>
    </row>
    <row r="148" spans="1:8" x14ac:dyDescent="0.25">
      <c r="A148" s="2"/>
      <c r="B148" s="2"/>
      <c r="C148" s="2"/>
      <c r="D148" s="2"/>
      <c r="E148" s="153"/>
      <c r="F148" s="154"/>
      <c r="G148" s="154"/>
      <c r="H148" s="154"/>
    </row>
    <row r="149" spans="1:8" x14ac:dyDescent="0.25">
      <c r="A149" s="2"/>
      <c r="B149" s="2"/>
      <c r="C149" s="2"/>
      <c r="D149" s="2"/>
      <c r="E149" s="153"/>
      <c r="F149" s="154"/>
      <c r="G149" s="154"/>
      <c r="H149" s="154"/>
    </row>
    <row r="150" spans="1:8" x14ac:dyDescent="0.25">
      <c r="A150" s="2"/>
      <c r="B150" s="2"/>
      <c r="C150" s="2"/>
      <c r="D150" s="2"/>
      <c r="E150" s="153"/>
      <c r="F150" s="154"/>
      <c r="G150" s="154"/>
      <c r="H150" s="154"/>
    </row>
    <row r="151" spans="1:8" x14ac:dyDescent="0.25">
      <c r="A151" s="2"/>
      <c r="B151" s="2"/>
      <c r="C151" s="2"/>
      <c r="D151" s="2"/>
      <c r="E151" s="153"/>
      <c r="F151" s="154"/>
      <c r="G151" s="154"/>
      <c r="H151" s="154"/>
    </row>
    <row r="152" spans="1:8" x14ac:dyDescent="0.25">
      <c r="A152" s="2"/>
      <c r="B152" s="2"/>
      <c r="C152" s="2"/>
      <c r="D152" s="2"/>
      <c r="E152" s="153"/>
      <c r="F152" s="154"/>
      <c r="G152" s="154"/>
      <c r="H152" s="154"/>
    </row>
    <row r="153" spans="1:8" x14ac:dyDescent="0.25">
      <c r="A153" s="2"/>
      <c r="B153" s="2"/>
      <c r="C153" s="2"/>
      <c r="D153" s="2"/>
      <c r="E153" s="153"/>
      <c r="F153" s="154"/>
      <c r="G153" s="154"/>
      <c r="H153" s="154"/>
    </row>
    <row r="154" spans="1:8" x14ac:dyDescent="0.25">
      <c r="A154" s="2"/>
      <c r="B154" s="2"/>
      <c r="C154" s="2"/>
      <c r="D154" s="2"/>
      <c r="E154" s="153"/>
      <c r="F154" s="154"/>
      <c r="G154" s="154"/>
      <c r="H154" s="154"/>
    </row>
    <row r="155" spans="1:8" x14ac:dyDescent="0.25">
      <c r="A155" s="2"/>
      <c r="B155" s="2"/>
      <c r="C155" s="2"/>
      <c r="D155" s="2"/>
      <c r="E155" s="153"/>
      <c r="F155" s="154"/>
      <c r="G155" s="154"/>
      <c r="H155" s="154"/>
    </row>
    <row r="156" spans="1:8" x14ac:dyDescent="0.25">
      <c r="A156" s="2"/>
      <c r="B156" s="2"/>
      <c r="C156" s="2"/>
      <c r="D156" s="2"/>
      <c r="E156" s="153"/>
      <c r="F156" s="154"/>
      <c r="G156" s="154"/>
      <c r="H156" s="154"/>
    </row>
    <row r="157" spans="1:8" x14ac:dyDescent="0.25">
      <c r="A157" s="2"/>
      <c r="B157" s="2"/>
      <c r="C157" s="2"/>
      <c r="D157" s="2"/>
      <c r="E157" s="153"/>
      <c r="F157" s="154"/>
      <c r="G157" s="154"/>
      <c r="H157" s="154"/>
    </row>
    <row r="158" spans="1:8" x14ac:dyDescent="0.25">
      <c r="A158" s="2"/>
      <c r="B158" s="2"/>
      <c r="C158" s="2"/>
      <c r="D158" s="2"/>
      <c r="E158" s="153"/>
      <c r="F158" s="154"/>
      <c r="G158" s="154"/>
      <c r="H158" s="154"/>
    </row>
    <row r="159" spans="1:8" x14ac:dyDescent="0.25">
      <c r="A159" s="2"/>
      <c r="B159" s="2"/>
      <c r="C159" s="2"/>
      <c r="D159" s="2"/>
      <c r="E159" s="153"/>
      <c r="F159" s="154"/>
      <c r="G159" s="154"/>
      <c r="H159" s="154"/>
    </row>
    <row r="160" spans="1:8" x14ac:dyDescent="0.25">
      <c r="A160" s="2"/>
      <c r="B160" s="2"/>
      <c r="C160" s="2"/>
      <c r="D160" s="2"/>
      <c r="E160" s="153"/>
      <c r="F160" s="154"/>
      <c r="G160" s="154"/>
      <c r="H160" s="154"/>
    </row>
    <row r="161" spans="1:8" x14ac:dyDescent="0.25">
      <c r="A161" s="2"/>
      <c r="B161" s="2"/>
      <c r="C161" s="2"/>
      <c r="D161" s="2"/>
      <c r="E161" s="153"/>
      <c r="F161" s="154"/>
      <c r="G161" s="154"/>
      <c r="H161" s="154"/>
    </row>
    <row r="162" spans="1:8" x14ac:dyDescent="0.25">
      <c r="A162" s="2"/>
      <c r="B162" s="2"/>
      <c r="C162" s="2"/>
      <c r="D162" s="2"/>
      <c r="E162" s="153"/>
      <c r="F162" s="154"/>
      <c r="G162" s="154"/>
      <c r="H162" s="154"/>
    </row>
    <row r="163" spans="1:8" x14ac:dyDescent="0.25">
      <c r="A163" s="2"/>
      <c r="B163" s="2"/>
      <c r="C163" s="2"/>
      <c r="D163" s="2"/>
      <c r="E163" s="153"/>
      <c r="F163" s="154"/>
      <c r="G163" s="154"/>
      <c r="H163" s="154"/>
    </row>
    <row r="164" spans="1:8" x14ac:dyDescent="0.25">
      <c r="A164" s="2"/>
      <c r="B164" s="2"/>
      <c r="C164" s="2"/>
      <c r="D164" s="2"/>
      <c r="E164" s="153"/>
      <c r="F164" s="154"/>
      <c r="G164" s="154"/>
      <c r="H164" s="154"/>
    </row>
    <row r="165" spans="1:8" x14ac:dyDescent="0.25">
      <c r="A165" s="2"/>
      <c r="B165" s="2"/>
      <c r="C165" s="2"/>
      <c r="D165" s="2"/>
      <c r="E165" s="153"/>
      <c r="F165" s="154"/>
      <c r="G165" s="154"/>
      <c r="H165" s="154"/>
    </row>
    <row r="166" spans="1:8" x14ac:dyDescent="0.25">
      <c r="A166" s="2"/>
      <c r="B166" s="2"/>
      <c r="C166" s="2"/>
      <c r="D166" s="2"/>
      <c r="E166" s="153"/>
      <c r="F166" s="154"/>
      <c r="G166" s="154"/>
      <c r="H166" s="154"/>
    </row>
    <row r="167" spans="1:8" x14ac:dyDescent="0.25">
      <c r="A167" s="2"/>
      <c r="B167" s="2"/>
      <c r="C167" s="2"/>
      <c r="D167" s="2"/>
      <c r="E167" s="153"/>
      <c r="F167" s="154"/>
      <c r="G167" s="154"/>
      <c r="H167" s="154"/>
    </row>
    <row r="168" spans="1:8" x14ac:dyDescent="0.25">
      <c r="A168" s="2"/>
      <c r="B168" s="2"/>
      <c r="C168" s="2"/>
      <c r="D168" s="2"/>
      <c r="E168" s="153"/>
      <c r="F168" s="154"/>
      <c r="G168" s="154"/>
      <c r="H168" s="154"/>
    </row>
    <row r="169" spans="1:8" x14ac:dyDescent="0.25">
      <c r="A169" s="2"/>
      <c r="B169" s="2"/>
      <c r="C169" s="2"/>
      <c r="D169" s="2"/>
      <c r="E169" s="153"/>
      <c r="F169" s="154"/>
      <c r="G169" s="154"/>
      <c r="H169" s="154"/>
    </row>
    <row r="170" spans="1:8" x14ac:dyDescent="0.25">
      <c r="A170" s="2"/>
      <c r="B170" s="2"/>
      <c r="C170" s="2"/>
      <c r="D170" s="2"/>
      <c r="E170" s="153"/>
      <c r="F170" s="154"/>
      <c r="G170" s="154"/>
      <c r="H170" s="154"/>
    </row>
    <row r="171" spans="1:8" x14ac:dyDescent="0.25">
      <c r="A171" s="2"/>
      <c r="B171" s="2"/>
      <c r="C171" s="2"/>
      <c r="D171" s="2"/>
      <c r="E171" s="153"/>
      <c r="F171" s="154"/>
      <c r="G171" s="154"/>
      <c r="H171" s="154"/>
    </row>
    <row r="172" spans="1:8" x14ac:dyDescent="0.25">
      <c r="A172" s="2"/>
      <c r="B172" s="2"/>
      <c r="C172" s="2"/>
      <c r="D172" s="2"/>
      <c r="E172" s="153"/>
      <c r="F172" s="154"/>
      <c r="G172" s="154"/>
      <c r="H172" s="154"/>
    </row>
    <row r="173" spans="1:8" x14ac:dyDescent="0.25">
      <c r="A173" s="2"/>
      <c r="B173" s="2"/>
      <c r="C173" s="2"/>
      <c r="D173" s="2"/>
      <c r="E173" s="153"/>
      <c r="F173" s="154"/>
      <c r="G173" s="154"/>
      <c r="H173" s="154"/>
    </row>
    <row r="174" spans="1:8" x14ac:dyDescent="0.25">
      <c r="A174" s="2"/>
      <c r="B174" s="2"/>
      <c r="C174" s="2"/>
      <c r="D174" s="2"/>
      <c r="E174" s="153"/>
      <c r="F174" s="154"/>
      <c r="G174" s="154"/>
      <c r="H174" s="154"/>
    </row>
    <row r="175" spans="1:8" x14ac:dyDescent="0.25">
      <c r="A175" s="2"/>
      <c r="B175" s="2"/>
      <c r="C175" s="2"/>
      <c r="D175" s="2"/>
      <c r="E175" s="153"/>
      <c r="F175" s="154"/>
      <c r="G175" s="154"/>
      <c r="H175" s="154"/>
    </row>
    <row r="176" spans="1:8" x14ac:dyDescent="0.25">
      <c r="A176" s="2"/>
      <c r="B176" s="2"/>
      <c r="C176" s="2"/>
      <c r="D176" s="2"/>
      <c r="E176" s="153"/>
      <c r="F176" s="154"/>
      <c r="G176" s="154"/>
      <c r="H176" s="154"/>
    </row>
    <row r="177" spans="1:8" x14ac:dyDescent="0.25">
      <c r="A177" s="2"/>
      <c r="B177" s="2"/>
      <c r="C177" s="2"/>
      <c r="D177" s="2"/>
      <c r="E177" s="153"/>
      <c r="F177" s="154"/>
      <c r="G177" s="154"/>
      <c r="H177" s="154"/>
    </row>
    <row r="178" spans="1:8" x14ac:dyDescent="0.25">
      <c r="A178" s="2"/>
      <c r="B178" s="2"/>
      <c r="C178" s="2"/>
      <c r="D178" s="2"/>
      <c r="E178" s="153"/>
      <c r="F178" s="154"/>
      <c r="G178" s="154"/>
      <c r="H178" s="154"/>
    </row>
    <row r="179" spans="1:8" x14ac:dyDescent="0.25">
      <c r="A179" s="2"/>
      <c r="B179" s="2"/>
      <c r="C179" s="2"/>
      <c r="D179" s="2"/>
      <c r="E179" s="153"/>
      <c r="F179" s="154"/>
      <c r="G179" s="154"/>
      <c r="H179" s="154"/>
    </row>
    <row r="180" spans="1:8" x14ac:dyDescent="0.25">
      <c r="A180" s="2"/>
      <c r="B180" s="2"/>
      <c r="C180" s="2"/>
      <c r="D180" s="2"/>
      <c r="E180" s="153"/>
      <c r="F180" s="154"/>
      <c r="G180" s="154"/>
      <c r="H180" s="154"/>
    </row>
    <row r="181" spans="1:8" x14ac:dyDescent="0.25">
      <c r="A181" s="2"/>
      <c r="B181" s="2"/>
      <c r="C181" s="2"/>
      <c r="D181" s="2"/>
      <c r="E181" s="153"/>
      <c r="F181" s="154"/>
      <c r="G181" s="154"/>
      <c r="H181" s="154"/>
    </row>
    <row r="182" spans="1:8" x14ac:dyDescent="0.25">
      <c r="A182" s="2"/>
      <c r="B182" s="2"/>
      <c r="C182" s="2"/>
      <c r="D182" s="2"/>
      <c r="E182" s="153"/>
      <c r="F182" s="154"/>
      <c r="G182" s="154"/>
      <c r="H182" s="154"/>
    </row>
    <row r="183" spans="1:8" x14ac:dyDescent="0.25">
      <c r="A183" s="2"/>
      <c r="B183" s="2"/>
      <c r="C183" s="2"/>
      <c r="D183" s="2"/>
      <c r="E183" s="153"/>
      <c r="F183" s="154"/>
      <c r="G183" s="154"/>
      <c r="H183" s="154"/>
    </row>
    <row r="184" spans="1:8" x14ac:dyDescent="0.25">
      <c r="A184" s="2"/>
      <c r="B184" s="2"/>
      <c r="C184" s="2"/>
      <c r="D184" s="2"/>
      <c r="E184" s="153"/>
      <c r="F184" s="154"/>
      <c r="G184" s="154"/>
      <c r="H184" s="154"/>
    </row>
    <row r="185" spans="1:8" x14ac:dyDescent="0.25">
      <c r="A185" s="2"/>
      <c r="B185" s="2"/>
      <c r="C185" s="2"/>
      <c r="D185" s="2"/>
      <c r="E185" s="153"/>
      <c r="F185" s="154"/>
      <c r="G185" s="154"/>
      <c r="H185" s="154"/>
    </row>
    <row r="186" spans="1:8" x14ac:dyDescent="0.25">
      <c r="A186" s="2"/>
      <c r="B186" s="2"/>
      <c r="C186" s="2"/>
      <c r="D186" s="2"/>
      <c r="E186" s="153"/>
      <c r="F186" s="154"/>
      <c r="G186" s="154"/>
      <c r="H186" s="154"/>
    </row>
    <row r="187" spans="1:8" x14ac:dyDescent="0.25">
      <c r="A187" s="2"/>
      <c r="B187" s="2"/>
      <c r="C187" s="2"/>
      <c r="D187" s="2"/>
      <c r="E187" s="153"/>
      <c r="F187" s="154"/>
      <c r="G187" s="154"/>
      <c r="H187" s="154"/>
    </row>
    <row r="188" spans="1:8" x14ac:dyDescent="0.25">
      <c r="A188" s="2"/>
      <c r="B188" s="2"/>
      <c r="C188" s="2"/>
      <c r="D188" s="2"/>
      <c r="E188" s="153"/>
      <c r="F188" s="154"/>
      <c r="G188" s="154"/>
      <c r="H188" s="154"/>
    </row>
    <row r="189" spans="1:8" x14ac:dyDescent="0.25">
      <c r="A189" s="2"/>
      <c r="B189" s="2"/>
      <c r="C189" s="2"/>
      <c r="D189" s="2"/>
      <c r="E189" s="153"/>
      <c r="F189" s="154"/>
      <c r="G189" s="154"/>
      <c r="H189" s="154"/>
    </row>
    <row r="190" spans="1:8" x14ac:dyDescent="0.25">
      <c r="A190" s="2"/>
      <c r="B190" s="2"/>
      <c r="C190" s="2"/>
      <c r="D190" s="2"/>
      <c r="E190" s="153"/>
      <c r="F190" s="154"/>
      <c r="G190" s="154"/>
      <c r="H190" s="154"/>
    </row>
    <row r="191" spans="1:8" x14ac:dyDescent="0.25">
      <c r="A191" s="2"/>
      <c r="B191" s="2"/>
      <c r="C191" s="2"/>
      <c r="D191" s="2"/>
      <c r="E191" s="153"/>
      <c r="F191" s="154"/>
      <c r="G191" s="154"/>
      <c r="H191" s="154"/>
    </row>
    <row r="192" spans="1:8" x14ac:dyDescent="0.25">
      <c r="A192" s="2"/>
      <c r="B192" s="2"/>
      <c r="C192" s="2"/>
      <c r="D192" s="2"/>
      <c r="E192" s="153"/>
      <c r="F192" s="154"/>
      <c r="G192" s="154"/>
      <c r="H192" s="154"/>
    </row>
    <row r="193" spans="1:8" x14ac:dyDescent="0.25">
      <c r="A193" s="2"/>
      <c r="B193" s="2"/>
      <c r="C193" s="2"/>
      <c r="D193" s="2"/>
      <c r="E193" s="153"/>
      <c r="F193" s="154"/>
      <c r="G193" s="154"/>
      <c r="H193" s="154"/>
    </row>
    <row r="194" spans="1:8" x14ac:dyDescent="0.25">
      <c r="A194" s="2"/>
      <c r="B194" s="2"/>
      <c r="C194" s="2"/>
      <c r="D194" s="2"/>
      <c r="E194" s="153"/>
      <c r="F194" s="154"/>
      <c r="G194" s="154"/>
      <c r="H194" s="154"/>
    </row>
    <row r="195" spans="1:8" x14ac:dyDescent="0.25">
      <c r="A195" s="2"/>
      <c r="B195" s="2"/>
      <c r="C195" s="2"/>
      <c r="D195" s="2"/>
      <c r="E195" s="153"/>
      <c r="F195" s="154"/>
      <c r="G195" s="154"/>
      <c r="H195" s="154"/>
    </row>
    <row r="196" spans="1:8" x14ac:dyDescent="0.25">
      <c r="A196" s="2"/>
      <c r="B196" s="2"/>
      <c r="C196" s="2"/>
      <c r="D196" s="2"/>
      <c r="E196" s="153"/>
      <c r="F196" s="154"/>
      <c r="G196" s="154"/>
      <c r="H196" s="154"/>
    </row>
    <row r="197" spans="1:8" x14ac:dyDescent="0.25">
      <c r="A197" s="2"/>
      <c r="B197" s="2"/>
      <c r="C197" s="2"/>
      <c r="D197" s="2"/>
      <c r="E197" s="153"/>
      <c r="F197" s="154"/>
      <c r="G197" s="154"/>
      <c r="H197" s="154"/>
    </row>
    <row r="198" spans="1:8" x14ac:dyDescent="0.25">
      <c r="A198" s="2"/>
      <c r="B198" s="2"/>
      <c r="C198" s="2"/>
      <c r="D198" s="2"/>
      <c r="E198" s="153"/>
      <c r="F198" s="154"/>
      <c r="G198" s="154"/>
      <c r="H198" s="154"/>
    </row>
    <row r="199" spans="1:8" x14ac:dyDescent="0.25">
      <c r="A199" s="2"/>
      <c r="B199" s="2"/>
      <c r="C199" s="2"/>
      <c r="D199" s="2"/>
      <c r="E199" s="153"/>
      <c r="F199" s="154"/>
      <c r="G199" s="154"/>
      <c r="H199" s="154"/>
    </row>
    <row r="200" spans="1:8" x14ac:dyDescent="0.25">
      <c r="A200" s="2"/>
      <c r="B200" s="2"/>
      <c r="C200" s="2"/>
      <c r="D200" s="2"/>
      <c r="E200" s="153"/>
      <c r="F200" s="154"/>
      <c r="G200" s="154"/>
      <c r="H200" s="154"/>
    </row>
    <row r="201" spans="1:8" x14ac:dyDescent="0.25">
      <c r="A201" s="2"/>
      <c r="B201" s="2"/>
      <c r="C201" s="2"/>
      <c r="D201" s="2"/>
      <c r="E201" s="153"/>
      <c r="F201" s="154"/>
      <c r="G201" s="154"/>
      <c r="H201" s="154"/>
    </row>
    <row r="202" spans="1:8" x14ac:dyDescent="0.25">
      <c r="A202" s="2"/>
      <c r="B202" s="2"/>
      <c r="C202" s="2"/>
      <c r="D202" s="2"/>
      <c r="E202" s="153"/>
      <c r="F202" s="154"/>
      <c r="G202" s="154"/>
      <c r="H202" s="154"/>
    </row>
    <row r="203" spans="1:8" x14ac:dyDescent="0.25">
      <c r="A203" s="2"/>
      <c r="B203" s="2"/>
      <c r="C203" s="2"/>
      <c r="D203" s="2"/>
      <c r="E203" s="153"/>
      <c r="F203" s="154"/>
      <c r="G203" s="154"/>
      <c r="H203" s="154"/>
    </row>
    <row r="204" spans="1:8" x14ac:dyDescent="0.25">
      <c r="A204" s="2"/>
      <c r="B204" s="2"/>
      <c r="C204" s="2"/>
      <c r="D204" s="2"/>
      <c r="E204" s="153"/>
      <c r="F204" s="154"/>
      <c r="G204" s="154"/>
      <c r="H204" s="154"/>
    </row>
    <row r="205" spans="1:8" x14ac:dyDescent="0.25">
      <c r="A205" s="2"/>
      <c r="B205" s="2"/>
      <c r="C205" s="2"/>
      <c r="D205" s="2"/>
      <c r="E205" s="153"/>
      <c r="F205" s="154"/>
      <c r="G205" s="154"/>
      <c r="H205" s="154"/>
    </row>
    <row r="206" spans="1:8" x14ac:dyDescent="0.25">
      <c r="A206" s="2"/>
      <c r="B206" s="2"/>
      <c r="C206" s="2"/>
      <c r="D206" s="2"/>
      <c r="E206" s="153"/>
      <c r="F206" s="154"/>
      <c r="G206" s="154"/>
      <c r="H206" s="154"/>
    </row>
    <row r="207" spans="1:8" x14ac:dyDescent="0.25">
      <c r="A207" s="2"/>
      <c r="B207" s="2"/>
      <c r="C207" s="2"/>
      <c r="D207" s="2"/>
      <c r="E207" s="153"/>
      <c r="F207" s="154"/>
      <c r="G207" s="154"/>
      <c r="H207" s="154"/>
    </row>
    <row r="208" spans="1:8" x14ac:dyDescent="0.25">
      <c r="A208" s="2"/>
      <c r="B208" s="2"/>
      <c r="C208" s="2"/>
      <c r="D208" s="2"/>
      <c r="E208" s="153"/>
      <c r="F208" s="154"/>
      <c r="G208" s="154"/>
      <c r="H208" s="154"/>
    </row>
    <row r="209" spans="1:8" x14ac:dyDescent="0.25">
      <c r="A209" s="2"/>
      <c r="B209" s="2"/>
      <c r="C209" s="2"/>
      <c r="D209" s="2"/>
      <c r="E209" s="153"/>
      <c r="F209" s="154"/>
      <c r="G209" s="154"/>
      <c r="H209" s="154"/>
    </row>
    <row r="210" spans="1:8" x14ac:dyDescent="0.25">
      <c r="A210" s="2"/>
      <c r="B210" s="2"/>
      <c r="C210" s="2"/>
      <c r="D210" s="2"/>
      <c r="E210" s="153"/>
      <c r="F210" s="154"/>
      <c r="G210" s="154"/>
      <c r="H210" s="154"/>
    </row>
    <row r="211" spans="1:8" x14ac:dyDescent="0.25">
      <c r="A211" s="2"/>
      <c r="B211" s="2"/>
      <c r="C211" s="2"/>
      <c r="D211" s="2"/>
      <c r="E211" s="153"/>
      <c r="F211" s="154"/>
      <c r="G211" s="154"/>
      <c r="H211" s="154"/>
    </row>
    <row r="212" spans="1:8" x14ac:dyDescent="0.25">
      <c r="A212" s="2"/>
      <c r="B212" s="2"/>
      <c r="C212" s="2"/>
      <c r="D212" s="2"/>
      <c r="E212" s="153"/>
      <c r="F212" s="154"/>
      <c r="G212" s="154"/>
      <c r="H212" s="154"/>
    </row>
    <row r="213" spans="1:8" x14ac:dyDescent="0.25">
      <c r="A213" s="2"/>
      <c r="B213" s="2"/>
      <c r="C213" s="2"/>
      <c r="D213" s="2"/>
      <c r="E213" s="153"/>
      <c r="F213" s="154"/>
      <c r="G213" s="154"/>
      <c r="H213" s="154"/>
    </row>
    <row r="214" spans="1:8" x14ac:dyDescent="0.25">
      <c r="A214" s="2"/>
      <c r="B214" s="2"/>
      <c r="C214" s="2"/>
      <c r="D214" s="2"/>
      <c r="E214" s="153"/>
      <c r="F214" s="154"/>
      <c r="G214" s="154"/>
      <c r="H214" s="154"/>
    </row>
    <row r="215" spans="1:8" x14ac:dyDescent="0.25">
      <c r="A215" s="2"/>
      <c r="B215" s="2"/>
      <c r="C215" s="2"/>
      <c r="D215" s="2"/>
      <c r="E215" s="153"/>
      <c r="F215" s="154"/>
      <c r="G215" s="154"/>
      <c r="H215" s="154"/>
    </row>
    <row r="216" spans="1:8" x14ac:dyDescent="0.25">
      <c r="A216" s="2"/>
      <c r="B216" s="2"/>
      <c r="C216" s="2"/>
      <c r="D216" s="2"/>
      <c r="E216" s="153"/>
      <c r="F216" s="154"/>
      <c r="G216" s="154"/>
      <c r="H216" s="154"/>
    </row>
    <row r="217" spans="1:8" x14ac:dyDescent="0.25">
      <c r="A217" s="2"/>
      <c r="B217" s="2"/>
      <c r="C217" s="2"/>
      <c r="D217" s="2"/>
      <c r="E217" s="153"/>
      <c r="F217" s="154"/>
      <c r="G217" s="154"/>
      <c r="H217" s="154"/>
    </row>
    <row r="218" spans="1:8" x14ac:dyDescent="0.25">
      <c r="A218" s="2"/>
      <c r="B218" s="2"/>
      <c r="C218" s="2"/>
      <c r="D218" s="2"/>
      <c r="E218" s="153"/>
      <c r="F218" s="154"/>
      <c r="G218" s="154"/>
      <c r="H218" s="154"/>
    </row>
    <row r="219" spans="1:8" x14ac:dyDescent="0.25">
      <c r="A219" s="2"/>
      <c r="B219" s="2"/>
      <c r="C219" s="2"/>
      <c r="D219" s="2"/>
      <c r="E219" s="153"/>
      <c r="F219" s="154"/>
      <c r="G219" s="154"/>
      <c r="H219" s="154"/>
    </row>
    <row r="220" spans="1:8" x14ac:dyDescent="0.25">
      <c r="A220" s="2"/>
      <c r="B220" s="2"/>
      <c r="C220" s="2"/>
      <c r="D220" s="2"/>
      <c r="E220" s="153"/>
      <c r="F220" s="154"/>
      <c r="G220" s="154"/>
      <c r="H220" s="154"/>
    </row>
    <row r="221" spans="1:8" x14ac:dyDescent="0.25">
      <c r="A221" s="2"/>
      <c r="B221" s="2"/>
      <c r="C221" s="2"/>
      <c r="D221" s="2"/>
      <c r="E221" s="153"/>
      <c r="F221" s="154"/>
      <c r="G221" s="154"/>
      <c r="H221" s="154"/>
    </row>
    <row r="222" spans="1:8" x14ac:dyDescent="0.25">
      <c r="A222" s="2"/>
      <c r="B222" s="2"/>
      <c r="C222" s="2"/>
      <c r="D222" s="2"/>
      <c r="E222" s="153"/>
      <c r="F222" s="154"/>
      <c r="G222" s="154"/>
      <c r="H222" s="154"/>
    </row>
    <row r="223" spans="1:8" x14ac:dyDescent="0.25">
      <c r="A223" s="2"/>
      <c r="B223" s="2"/>
      <c r="C223" s="2"/>
      <c r="D223" s="2"/>
      <c r="E223" s="153"/>
      <c r="F223" s="154"/>
      <c r="G223" s="154"/>
      <c r="H223" s="154"/>
    </row>
    <row r="224" spans="1:8" x14ac:dyDescent="0.25">
      <c r="A224" s="2"/>
      <c r="B224" s="2"/>
      <c r="C224" s="2"/>
      <c r="D224" s="2"/>
      <c r="E224" s="153"/>
      <c r="F224" s="154"/>
      <c r="G224" s="154"/>
      <c r="H224" s="154"/>
    </row>
    <row r="225" spans="1:8" x14ac:dyDescent="0.25">
      <c r="A225" s="2"/>
      <c r="B225" s="2"/>
      <c r="C225" s="2"/>
      <c r="D225" s="2"/>
      <c r="E225" s="153"/>
      <c r="F225" s="154"/>
      <c r="G225" s="154"/>
      <c r="H225" s="154"/>
    </row>
    <row r="226" spans="1:8" x14ac:dyDescent="0.25">
      <c r="A226" s="2"/>
      <c r="B226" s="2"/>
      <c r="C226" s="2"/>
      <c r="D226" s="2"/>
      <c r="E226" s="153"/>
      <c r="F226" s="154"/>
      <c r="G226" s="154"/>
      <c r="H226" s="154"/>
    </row>
    <row r="227" spans="1:8" x14ac:dyDescent="0.25">
      <c r="A227" s="2"/>
      <c r="B227" s="2"/>
      <c r="C227" s="2"/>
      <c r="D227" s="2"/>
      <c r="E227" s="153"/>
      <c r="F227" s="154"/>
      <c r="G227" s="154"/>
      <c r="H227" s="154"/>
    </row>
    <row r="228" spans="1:8" x14ac:dyDescent="0.25">
      <c r="A228" s="2"/>
      <c r="B228" s="2"/>
      <c r="C228" s="2"/>
      <c r="D228" s="2"/>
      <c r="E228" s="153"/>
      <c r="F228" s="154"/>
      <c r="G228" s="154"/>
      <c r="H228" s="154"/>
    </row>
    <row r="229" spans="1:8" x14ac:dyDescent="0.25">
      <c r="A229" s="2"/>
      <c r="B229" s="2"/>
      <c r="C229" s="2"/>
      <c r="D229" s="2"/>
      <c r="E229" s="153"/>
      <c r="F229" s="154"/>
      <c r="G229" s="154"/>
      <c r="H229" s="154"/>
    </row>
    <row r="230" spans="1:8" x14ac:dyDescent="0.25">
      <c r="A230" s="2"/>
      <c r="B230" s="2"/>
      <c r="C230" s="2"/>
      <c r="D230" s="2"/>
      <c r="E230" s="153"/>
      <c r="F230" s="154"/>
      <c r="G230" s="154"/>
      <c r="H230" s="154"/>
    </row>
    <row r="231" spans="1:8" x14ac:dyDescent="0.25">
      <c r="A231" s="2"/>
      <c r="B231" s="2"/>
      <c r="C231" s="2"/>
      <c r="D231" s="2"/>
      <c r="E231" s="153"/>
      <c r="F231" s="154"/>
      <c r="G231" s="154"/>
      <c r="H231" s="154"/>
    </row>
    <row r="232" spans="1:8" x14ac:dyDescent="0.25">
      <c r="A232" s="2"/>
      <c r="B232" s="2"/>
      <c r="C232" s="2"/>
      <c r="D232" s="2"/>
      <c r="E232" s="153"/>
      <c r="F232" s="154"/>
      <c r="G232" s="154"/>
      <c r="H232" s="154"/>
    </row>
    <row r="233" spans="1:8" x14ac:dyDescent="0.25">
      <c r="A233" s="2"/>
      <c r="B233" s="2"/>
      <c r="C233" s="2"/>
      <c r="D233" s="2"/>
      <c r="E233" s="153"/>
      <c r="F233" s="154"/>
      <c r="G233" s="154"/>
      <c r="H233" s="154"/>
    </row>
    <row r="234" spans="1:8" x14ac:dyDescent="0.25">
      <c r="A234" s="2"/>
      <c r="B234" s="2"/>
      <c r="C234" s="2"/>
      <c r="D234" s="2"/>
      <c r="E234" s="153"/>
      <c r="F234" s="154"/>
      <c r="G234" s="154"/>
      <c r="H234" s="154"/>
    </row>
    <row r="235" spans="1:8" x14ac:dyDescent="0.25">
      <c r="A235" s="2"/>
      <c r="B235" s="2"/>
      <c r="C235" s="2"/>
      <c r="D235" s="2"/>
      <c r="E235" s="153"/>
      <c r="F235" s="154"/>
      <c r="G235" s="154"/>
      <c r="H235" s="154"/>
    </row>
    <row r="236" spans="1:8" x14ac:dyDescent="0.25">
      <c r="A236" s="2"/>
      <c r="B236" s="2"/>
      <c r="C236" s="2"/>
      <c r="D236" s="2"/>
      <c r="E236" s="153"/>
      <c r="F236" s="154"/>
      <c r="G236" s="154"/>
      <c r="H236" s="154"/>
    </row>
    <row r="237" spans="1:8" x14ac:dyDescent="0.25">
      <c r="A237" s="2"/>
      <c r="B237" s="2"/>
      <c r="C237" s="2"/>
      <c r="D237" s="2"/>
      <c r="E237" s="153"/>
      <c r="F237" s="154"/>
      <c r="G237" s="154"/>
      <c r="H237" s="154"/>
    </row>
    <row r="238" spans="1:8" x14ac:dyDescent="0.25">
      <c r="A238" s="2"/>
      <c r="B238" s="2"/>
      <c r="C238" s="2"/>
      <c r="D238" s="2"/>
      <c r="E238" s="153"/>
      <c r="F238" s="154"/>
      <c r="G238" s="154"/>
      <c r="H238" s="154"/>
    </row>
    <row r="239" spans="1:8" x14ac:dyDescent="0.25">
      <c r="A239" s="2"/>
      <c r="B239" s="2"/>
      <c r="C239" s="2"/>
      <c r="D239" s="2"/>
      <c r="E239" s="153"/>
      <c r="F239" s="154"/>
      <c r="G239" s="154"/>
      <c r="H239" s="154"/>
    </row>
    <row r="240" spans="1:8" x14ac:dyDescent="0.25">
      <c r="A240" s="2"/>
      <c r="B240" s="2"/>
      <c r="C240" s="2"/>
      <c r="D240" s="2"/>
      <c r="E240" s="153"/>
      <c r="F240" s="154"/>
      <c r="G240" s="154"/>
      <c r="H240" s="154"/>
    </row>
    <row r="241" spans="1:8" x14ac:dyDescent="0.25">
      <c r="A241" s="2"/>
      <c r="B241" s="2"/>
      <c r="C241" s="2"/>
      <c r="D241" s="2"/>
      <c r="E241" s="153"/>
      <c r="F241" s="154"/>
      <c r="G241" s="154"/>
      <c r="H241" s="154"/>
    </row>
    <row r="242" spans="1:8" x14ac:dyDescent="0.25">
      <c r="A242" s="2"/>
      <c r="B242" s="2"/>
      <c r="C242" s="2"/>
      <c r="D242" s="2"/>
      <c r="E242" s="153"/>
      <c r="F242" s="154"/>
      <c r="G242" s="154"/>
      <c r="H242" s="154"/>
    </row>
    <row r="243" spans="1:8" x14ac:dyDescent="0.25">
      <c r="A243" s="2"/>
      <c r="B243" s="2"/>
      <c r="C243" s="2"/>
      <c r="D243" s="2"/>
      <c r="E243" s="153"/>
      <c r="F243" s="154"/>
      <c r="G243" s="154"/>
      <c r="H243" s="154"/>
    </row>
    <row r="244" spans="1:8" x14ac:dyDescent="0.25">
      <c r="A244" s="2"/>
      <c r="B244" s="2"/>
      <c r="C244" s="2"/>
      <c r="D244" s="2"/>
      <c r="E244" s="153"/>
      <c r="F244" s="154"/>
      <c r="G244" s="154"/>
      <c r="H244" s="154"/>
    </row>
    <row r="245" spans="1:8" x14ac:dyDescent="0.25">
      <c r="A245" s="2"/>
      <c r="B245" s="2"/>
      <c r="C245" s="2"/>
      <c r="D245" s="2"/>
      <c r="E245" s="153"/>
      <c r="F245" s="154"/>
      <c r="G245" s="154"/>
      <c r="H245" s="154"/>
    </row>
    <row r="246" spans="1:8" x14ac:dyDescent="0.25">
      <c r="A246" s="2"/>
      <c r="B246" s="2"/>
      <c r="C246" s="2"/>
      <c r="D246" s="2"/>
      <c r="E246" s="153"/>
      <c r="F246" s="154"/>
      <c r="G246" s="154"/>
      <c r="H246" s="154"/>
    </row>
    <row r="247" spans="1:8" x14ac:dyDescent="0.25">
      <c r="A247" s="2"/>
      <c r="B247" s="2"/>
      <c r="C247" s="2"/>
      <c r="D247" s="2"/>
      <c r="E247" s="153"/>
      <c r="F247" s="154"/>
      <c r="G247" s="154"/>
      <c r="H247" s="154"/>
    </row>
    <row r="248" spans="1:8" x14ac:dyDescent="0.25">
      <c r="A248" s="2"/>
      <c r="B248" s="2"/>
      <c r="C248" s="2"/>
      <c r="D248" s="2"/>
      <c r="E248" s="153"/>
      <c r="F248" s="154"/>
      <c r="G248" s="154"/>
      <c r="H248" s="154"/>
    </row>
    <row r="249" spans="1:8" x14ac:dyDescent="0.25">
      <c r="A249" s="2"/>
      <c r="B249" s="2"/>
      <c r="C249" s="2"/>
      <c r="D249" s="2"/>
      <c r="E249" s="153"/>
      <c r="F249" s="154"/>
      <c r="G249" s="154"/>
      <c r="H249" s="154"/>
    </row>
    <row r="250" spans="1:8" x14ac:dyDescent="0.25">
      <c r="A250" s="2"/>
      <c r="B250" s="2"/>
      <c r="C250" s="2"/>
      <c r="D250" s="2"/>
      <c r="E250" s="153"/>
      <c r="F250" s="154"/>
      <c r="G250" s="154"/>
      <c r="H250" s="154"/>
    </row>
    <row r="251" spans="1:8" x14ac:dyDescent="0.25">
      <c r="A251" s="2"/>
      <c r="B251" s="2"/>
      <c r="C251" s="2"/>
      <c r="D251" s="2"/>
      <c r="E251" s="153"/>
      <c r="F251" s="154"/>
      <c r="G251" s="154"/>
      <c r="H251" s="154"/>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C2:D251" xr:uid="{880E928A-05FC-46E4-8C4A-2ACB9FBAC6A4}">
      <formula1>StrategyRange</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L1001"/>
  <sheetViews>
    <sheetView showGridLines="0" tabSelected="1" workbookViewId="0">
      <pane ySplit="1" topLeftCell="A2" activePane="bottomLeft" state="frozen"/>
      <selection pane="bottomLeft" activeCell="A2" sqref="A2"/>
    </sheetView>
  </sheetViews>
  <sheetFormatPr defaultRowHeight="15" x14ac:dyDescent="0.25"/>
  <cols>
    <col min="1" max="1" width="43.85546875" customWidth="1"/>
    <col min="2" max="2" width="32.5703125" customWidth="1"/>
    <col min="3" max="3" width="21" customWidth="1"/>
    <col min="4" max="4" width="21" style="158" customWidth="1"/>
    <col min="5" max="5" width="14.85546875" style="158" customWidth="1"/>
    <col min="6" max="6" width="18.85546875" customWidth="1"/>
    <col min="7" max="7" width="16.42578125" customWidth="1"/>
    <col min="8" max="8" width="47.85546875" customWidth="1"/>
    <col min="9" max="9" width="19.140625" customWidth="1"/>
  </cols>
  <sheetData>
    <row r="1" spans="1:9" x14ac:dyDescent="0.25">
      <c r="A1" s="1" t="s">
        <v>23</v>
      </c>
      <c r="B1" s="1" t="s">
        <v>35</v>
      </c>
      <c r="C1" s="1" t="s">
        <v>29</v>
      </c>
      <c r="D1" s="156" t="s">
        <v>221</v>
      </c>
      <c r="E1" s="156" t="s">
        <v>222</v>
      </c>
      <c r="F1" s="1" t="s">
        <v>255</v>
      </c>
      <c r="G1" s="1" t="s">
        <v>220</v>
      </c>
      <c r="H1" s="1" t="s">
        <v>1</v>
      </c>
      <c r="I1" s="1" t="s">
        <v>264</v>
      </c>
    </row>
    <row r="2" spans="1:9" x14ac:dyDescent="0.25">
      <c r="A2" s="2" t="s">
        <v>36</v>
      </c>
      <c r="B2" s="2" t="s">
        <v>24</v>
      </c>
      <c r="C2" s="2" t="s">
        <v>34</v>
      </c>
      <c r="D2" s="157">
        <v>43101</v>
      </c>
      <c r="E2" s="157">
        <v>43107</v>
      </c>
      <c r="F2" s="153">
        <v>5</v>
      </c>
      <c r="G2" s="154"/>
      <c r="H2" s="154" t="s">
        <v>39</v>
      </c>
      <c r="I2" s="154"/>
    </row>
    <row r="3" spans="1:9" x14ac:dyDescent="0.25">
      <c r="A3" s="2" t="s">
        <v>41</v>
      </c>
      <c r="B3" s="2" t="s">
        <v>24</v>
      </c>
      <c r="C3" s="2" t="s">
        <v>34</v>
      </c>
      <c r="D3" s="157">
        <v>43103</v>
      </c>
      <c r="E3" s="157">
        <v>43107</v>
      </c>
      <c r="F3" s="153">
        <v>2</v>
      </c>
      <c r="G3" s="154"/>
      <c r="H3" s="154" t="s">
        <v>40</v>
      </c>
      <c r="I3" s="154"/>
    </row>
    <row r="4" spans="1:9" x14ac:dyDescent="0.25">
      <c r="A4" s="2" t="s">
        <v>203</v>
      </c>
      <c r="B4" s="2" t="s">
        <v>24</v>
      </c>
      <c r="C4" s="2" t="s">
        <v>32</v>
      </c>
      <c r="D4" s="157">
        <v>43110</v>
      </c>
      <c r="E4" s="157"/>
      <c r="F4" s="153">
        <v>10</v>
      </c>
      <c r="G4" s="154"/>
      <c r="H4" s="154" t="s">
        <v>204</v>
      </c>
      <c r="I4" s="154"/>
    </row>
    <row r="5" spans="1:9" x14ac:dyDescent="0.25">
      <c r="A5" s="2" t="s">
        <v>205</v>
      </c>
      <c r="B5" s="2" t="s">
        <v>24</v>
      </c>
      <c r="C5" s="2" t="s">
        <v>32</v>
      </c>
      <c r="D5" s="157">
        <v>43110</v>
      </c>
      <c r="E5" s="157"/>
      <c r="F5" s="153">
        <v>5</v>
      </c>
      <c r="G5" s="154"/>
      <c r="H5" s="154" t="s">
        <v>204</v>
      </c>
      <c r="I5" s="154"/>
    </row>
    <row r="6" spans="1:9" x14ac:dyDescent="0.25">
      <c r="A6" s="2" t="s">
        <v>208</v>
      </c>
      <c r="B6" s="2" t="s">
        <v>25</v>
      </c>
      <c r="C6" s="2" t="s">
        <v>33</v>
      </c>
      <c r="D6" s="157"/>
      <c r="E6" s="157"/>
      <c r="F6" s="153">
        <v>3</v>
      </c>
      <c r="G6" s="154"/>
      <c r="H6" s="154"/>
      <c r="I6" s="154"/>
    </row>
    <row r="7" spans="1:9" x14ac:dyDescent="0.25">
      <c r="A7" s="2" t="s">
        <v>207</v>
      </c>
      <c r="B7" s="2" t="s">
        <v>25</v>
      </c>
      <c r="C7" s="2" t="s">
        <v>34</v>
      </c>
      <c r="D7" s="157"/>
      <c r="E7" s="157"/>
      <c r="F7" s="153">
        <v>3</v>
      </c>
      <c r="G7" s="154"/>
      <c r="H7" s="154"/>
      <c r="I7" s="154"/>
    </row>
    <row r="8" spans="1:9" x14ac:dyDescent="0.25">
      <c r="A8" s="2" t="s">
        <v>209</v>
      </c>
      <c r="B8" s="2" t="s">
        <v>25</v>
      </c>
      <c r="C8" s="2" t="s">
        <v>33</v>
      </c>
      <c r="D8" s="157"/>
      <c r="E8" s="157"/>
      <c r="F8" s="153">
        <v>2</v>
      </c>
      <c r="G8" s="154"/>
      <c r="H8" s="154"/>
      <c r="I8" s="154"/>
    </row>
    <row r="9" spans="1:9" x14ac:dyDescent="0.25">
      <c r="A9" s="2" t="s">
        <v>210</v>
      </c>
      <c r="B9" s="2" t="s">
        <v>27</v>
      </c>
      <c r="C9" s="2" t="s">
        <v>31</v>
      </c>
      <c r="D9" s="157">
        <v>43101</v>
      </c>
      <c r="E9" s="157"/>
      <c r="F9" s="153">
        <v>10</v>
      </c>
      <c r="G9" s="154"/>
      <c r="H9" s="154"/>
      <c r="I9" s="154"/>
    </row>
    <row r="10" spans="1:9" x14ac:dyDescent="0.25">
      <c r="A10" s="2" t="s">
        <v>211</v>
      </c>
      <c r="B10" s="2" t="s">
        <v>28</v>
      </c>
      <c r="C10" s="2" t="s">
        <v>34</v>
      </c>
      <c r="D10" s="157"/>
      <c r="E10" s="157"/>
      <c r="F10" s="153">
        <v>8</v>
      </c>
      <c r="G10" s="154"/>
      <c r="H10" s="154" t="s">
        <v>212</v>
      </c>
      <c r="I10" s="154"/>
    </row>
    <row r="11" spans="1:9" x14ac:dyDescent="0.25">
      <c r="A11" s="2" t="s">
        <v>213</v>
      </c>
      <c r="B11" s="2" t="s">
        <v>28</v>
      </c>
      <c r="C11" s="2" t="s">
        <v>31</v>
      </c>
      <c r="D11" s="157"/>
      <c r="E11" s="157"/>
      <c r="F11" s="153">
        <v>4</v>
      </c>
      <c r="G11" s="154"/>
      <c r="H11" s="154"/>
      <c r="I11" s="154"/>
    </row>
    <row r="12" spans="1:9" x14ac:dyDescent="0.25">
      <c r="A12" s="2" t="s">
        <v>215</v>
      </c>
      <c r="B12" s="2" t="s">
        <v>214</v>
      </c>
      <c r="C12" s="2" t="s">
        <v>33</v>
      </c>
      <c r="D12" s="157">
        <v>43101</v>
      </c>
      <c r="E12" s="157"/>
      <c r="F12" s="153">
        <v>10</v>
      </c>
      <c r="G12" s="154"/>
      <c r="H12" s="154"/>
      <c r="I12" s="154"/>
    </row>
    <row r="13" spans="1:9" x14ac:dyDescent="0.25">
      <c r="A13" s="2" t="s">
        <v>216</v>
      </c>
      <c r="B13" s="2" t="s">
        <v>214</v>
      </c>
      <c r="C13" s="2" t="s">
        <v>34</v>
      </c>
      <c r="D13" s="157"/>
      <c r="E13" s="157"/>
      <c r="F13" s="153">
        <v>5</v>
      </c>
      <c r="G13" s="154"/>
      <c r="H13" s="154"/>
      <c r="I13" s="154"/>
    </row>
    <row r="14" spans="1:9" x14ac:dyDescent="0.25">
      <c r="A14" s="2" t="s">
        <v>217</v>
      </c>
      <c r="B14" s="2" t="s">
        <v>200</v>
      </c>
      <c r="C14" s="2" t="s">
        <v>219</v>
      </c>
      <c r="D14" s="157"/>
      <c r="E14" s="157"/>
      <c r="F14" s="153">
        <v>3</v>
      </c>
      <c r="G14" s="154"/>
      <c r="H14" s="154"/>
      <c r="I14" s="161"/>
    </row>
    <row r="15" spans="1:9" x14ac:dyDescent="0.25">
      <c r="A15" s="2" t="s">
        <v>218</v>
      </c>
      <c r="B15" s="2" t="s">
        <v>200</v>
      </c>
      <c r="C15" s="2" t="s">
        <v>219</v>
      </c>
      <c r="D15" s="157"/>
      <c r="E15" s="157"/>
      <c r="F15" s="153">
        <v>3</v>
      </c>
      <c r="G15" s="154"/>
      <c r="H15" s="154"/>
      <c r="I15" s="161"/>
    </row>
    <row r="16" spans="1:9" x14ac:dyDescent="0.25">
      <c r="A16" s="2" t="s">
        <v>36</v>
      </c>
      <c r="B16" s="2" t="s">
        <v>206</v>
      </c>
      <c r="C16" s="2" t="s">
        <v>34</v>
      </c>
      <c r="D16" s="157"/>
      <c r="E16" s="157"/>
      <c r="F16" s="153">
        <v>3</v>
      </c>
      <c r="G16" s="154"/>
      <c r="H16" s="154"/>
      <c r="I16" s="154"/>
    </row>
    <row r="17" spans="1:12" x14ac:dyDescent="0.25">
      <c r="A17" s="2" t="s">
        <v>41</v>
      </c>
      <c r="B17" s="2" t="s">
        <v>206</v>
      </c>
      <c r="C17" s="2" t="s">
        <v>34</v>
      </c>
      <c r="D17" s="157"/>
      <c r="E17" s="157"/>
      <c r="F17" s="153">
        <v>2</v>
      </c>
      <c r="G17" s="154"/>
      <c r="H17" s="154"/>
      <c r="I17" s="154"/>
      <c r="K17" s="1" t="s">
        <v>254</v>
      </c>
    </row>
    <row r="18" spans="1:12" x14ac:dyDescent="0.25">
      <c r="A18" s="2" t="s">
        <v>203</v>
      </c>
      <c r="B18" s="2" t="s">
        <v>206</v>
      </c>
      <c r="C18" s="2" t="s">
        <v>32</v>
      </c>
      <c r="D18" s="157"/>
      <c r="E18" s="157"/>
      <c r="F18" s="153">
        <v>3</v>
      </c>
      <c r="G18" s="154"/>
      <c r="H18" s="154"/>
      <c r="I18" s="154"/>
      <c r="K18" s="2"/>
      <c r="L18" t="s">
        <v>251</v>
      </c>
    </row>
    <row r="19" spans="1:12" x14ac:dyDescent="0.25">
      <c r="A19" s="2" t="s">
        <v>36</v>
      </c>
      <c r="B19" s="2" t="s">
        <v>202</v>
      </c>
      <c r="C19" s="2" t="s">
        <v>34</v>
      </c>
      <c r="D19" s="157"/>
      <c r="E19" s="157"/>
      <c r="F19" s="153">
        <v>10</v>
      </c>
      <c r="G19" s="154"/>
      <c r="H19" s="154"/>
      <c r="I19" s="154"/>
      <c r="K19" s="153"/>
      <c r="L19" t="s">
        <v>252</v>
      </c>
    </row>
    <row r="20" spans="1:12" x14ac:dyDescent="0.25">
      <c r="A20" s="2" t="s">
        <v>41</v>
      </c>
      <c r="B20" s="2" t="s">
        <v>202</v>
      </c>
      <c r="C20" s="2" t="s">
        <v>34</v>
      </c>
      <c r="D20" s="157"/>
      <c r="E20" s="157"/>
      <c r="F20" s="153">
        <v>5</v>
      </c>
      <c r="G20" s="154"/>
      <c r="H20" s="154"/>
      <c r="I20" s="154"/>
      <c r="K20" s="154"/>
      <c r="L20" t="s">
        <v>253</v>
      </c>
    </row>
    <row r="21" spans="1:12" x14ac:dyDescent="0.25">
      <c r="A21" s="2" t="s">
        <v>203</v>
      </c>
      <c r="B21" s="2" t="s">
        <v>202</v>
      </c>
      <c r="C21" s="2" t="s">
        <v>32</v>
      </c>
      <c r="D21" s="157"/>
      <c r="E21" s="157"/>
      <c r="F21" s="153">
        <v>3</v>
      </c>
      <c r="G21" s="154"/>
      <c r="H21" s="154"/>
      <c r="I21" s="154"/>
    </row>
    <row r="22" spans="1:12" x14ac:dyDescent="0.25">
      <c r="A22" s="2"/>
      <c r="B22" s="2"/>
      <c r="C22" s="2"/>
      <c r="D22" s="157"/>
      <c r="E22" s="157"/>
      <c r="F22" s="153"/>
      <c r="G22" s="154"/>
      <c r="H22" s="154"/>
      <c r="I22" s="154"/>
    </row>
    <row r="23" spans="1:12" x14ac:dyDescent="0.25">
      <c r="A23" s="2"/>
      <c r="B23" s="2"/>
      <c r="C23" s="2"/>
      <c r="D23" s="157"/>
      <c r="E23" s="157"/>
      <c r="F23" s="153"/>
      <c r="G23" s="154"/>
      <c r="H23" s="154"/>
      <c r="I23" s="154"/>
    </row>
    <row r="24" spans="1:12" x14ac:dyDescent="0.25">
      <c r="A24" s="2"/>
      <c r="B24" s="2"/>
      <c r="C24" s="2"/>
      <c r="D24" s="157"/>
      <c r="E24" s="157"/>
      <c r="F24" s="153"/>
      <c r="G24" s="154"/>
      <c r="H24" s="154"/>
      <c r="I24" s="154"/>
    </row>
    <row r="25" spans="1:12" x14ac:dyDescent="0.25">
      <c r="A25" s="2"/>
      <c r="B25" s="2"/>
      <c r="C25" s="2"/>
      <c r="D25" s="157"/>
      <c r="E25" s="157"/>
      <c r="F25" s="153"/>
      <c r="G25" s="154"/>
      <c r="H25" s="154"/>
      <c r="I25" s="154"/>
    </row>
    <row r="26" spans="1:12" x14ac:dyDescent="0.25">
      <c r="A26" s="2"/>
      <c r="B26" s="2"/>
      <c r="C26" s="2"/>
      <c r="D26" s="157"/>
      <c r="E26" s="157"/>
      <c r="F26" s="153"/>
      <c r="G26" s="154"/>
      <c r="H26" s="154"/>
      <c r="I26" s="154"/>
    </row>
    <row r="27" spans="1:12" x14ac:dyDescent="0.25">
      <c r="A27" s="2"/>
      <c r="B27" s="2"/>
      <c r="C27" s="2"/>
      <c r="D27" s="157"/>
      <c r="E27" s="157"/>
      <c r="F27" s="153"/>
      <c r="G27" s="154"/>
      <c r="H27" s="154"/>
      <c r="I27" s="154"/>
    </row>
    <row r="28" spans="1:12" x14ac:dyDescent="0.25">
      <c r="A28" s="2"/>
      <c r="B28" s="2"/>
      <c r="C28" s="2"/>
      <c r="D28" s="157"/>
      <c r="E28" s="157"/>
      <c r="F28" s="153"/>
      <c r="G28" s="154"/>
      <c r="H28" s="154"/>
      <c r="I28" s="154"/>
    </row>
    <row r="29" spans="1:12" x14ac:dyDescent="0.25">
      <c r="A29" s="2"/>
      <c r="B29" s="2"/>
      <c r="C29" s="2"/>
      <c r="D29" s="157"/>
      <c r="E29" s="157"/>
      <c r="F29" s="153"/>
      <c r="G29" s="154"/>
      <c r="H29" s="154"/>
      <c r="I29" s="154"/>
    </row>
    <row r="30" spans="1:12" x14ac:dyDescent="0.25">
      <c r="A30" s="2"/>
      <c r="B30" s="2"/>
      <c r="C30" s="2"/>
      <c r="D30" s="157"/>
      <c r="E30" s="157"/>
      <c r="F30" s="153"/>
      <c r="G30" s="154"/>
      <c r="H30" s="154"/>
      <c r="I30" s="154"/>
    </row>
    <row r="31" spans="1:12" x14ac:dyDescent="0.25">
      <c r="A31" s="2"/>
      <c r="B31" s="2"/>
      <c r="C31" s="2"/>
      <c r="D31" s="157"/>
      <c r="E31" s="157"/>
      <c r="F31" s="153"/>
      <c r="G31" s="154"/>
      <c r="H31" s="154"/>
      <c r="I31" s="154"/>
    </row>
    <row r="32" spans="1:12" x14ac:dyDescent="0.25">
      <c r="A32" s="2"/>
      <c r="B32" s="2"/>
      <c r="C32" s="2"/>
      <c r="D32" s="157"/>
      <c r="E32" s="157"/>
      <c r="F32" s="153"/>
      <c r="G32" s="154"/>
      <c r="H32" s="154"/>
      <c r="I32" s="154"/>
    </row>
    <row r="33" spans="1:9" x14ac:dyDescent="0.25">
      <c r="A33" s="2"/>
      <c r="B33" s="2"/>
      <c r="C33" s="2"/>
      <c r="D33" s="157"/>
      <c r="E33" s="157"/>
      <c r="F33" s="153"/>
      <c r="G33" s="154"/>
      <c r="H33" s="154"/>
      <c r="I33" s="154"/>
    </row>
    <row r="34" spans="1:9" x14ac:dyDescent="0.25">
      <c r="A34" s="2"/>
      <c r="B34" s="2"/>
      <c r="C34" s="2"/>
      <c r="D34" s="157"/>
      <c r="E34" s="157"/>
      <c r="F34" s="153"/>
      <c r="G34" s="154"/>
      <c r="H34" s="154"/>
      <c r="I34" s="154"/>
    </row>
    <row r="35" spans="1:9" x14ac:dyDescent="0.25">
      <c r="A35" s="2"/>
      <c r="B35" s="2"/>
      <c r="C35" s="2"/>
      <c r="D35" s="157"/>
      <c r="E35" s="157"/>
      <c r="F35" s="153"/>
      <c r="G35" s="154"/>
      <c r="H35" s="154"/>
      <c r="I35" s="154"/>
    </row>
    <row r="36" spans="1:9" x14ac:dyDescent="0.25">
      <c r="A36" s="2"/>
      <c r="B36" s="2"/>
      <c r="C36" s="2"/>
      <c r="D36" s="157"/>
      <c r="E36" s="157"/>
      <c r="F36" s="153"/>
      <c r="G36" s="154"/>
      <c r="H36" s="154"/>
      <c r="I36" s="154"/>
    </row>
    <row r="37" spans="1:9" x14ac:dyDescent="0.25">
      <c r="A37" s="2"/>
      <c r="B37" s="2"/>
      <c r="C37" s="2"/>
      <c r="D37" s="157"/>
      <c r="E37" s="157"/>
      <c r="F37" s="153"/>
      <c r="G37" s="154"/>
      <c r="H37" s="154"/>
      <c r="I37" s="154"/>
    </row>
    <row r="38" spans="1:9" x14ac:dyDescent="0.25">
      <c r="A38" s="2"/>
      <c r="B38" s="2"/>
      <c r="C38" s="2"/>
      <c r="D38" s="157"/>
      <c r="E38" s="157"/>
      <c r="F38" s="153"/>
      <c r="G38" s="154"/>
      <c r="H38" s="154"/>
      <c r="I38" s="154"/>
    </row>
    <row r="39" spans="1:9" x14ac:dyDescent="0.25">
      <c r="A39" s="2"/>
      <c r="B39" s="2"/>
      <c r="C39" s="2"/>
      <c r="D39" s="157"/>
      <c r="E39" s="157"/>
      <c r="F39" s="153"/>
      <c r="G39" s="154"/>
      <c r="H39" s="154"/>
      <c r="I39" s="154"/>
    </row>
    <row r="40" spans="1:9" x14ac:dyDescent="0.25">
      <c r="A40" s="2"/>
      <c r="B40" s="2"/>
      <c r="C40" s="2"/>
      <c r="D40" s="157"/>
      <c r="E40" s="157"/>
      <c r="F40" s="153"/>
      <c r="G40" s="154"/>
      <c r="H40" s="154"/>
      <c r="I40" s="154"/>
    </row>
    <row r="41" spans="1:9" x14ac:dyDescent="0.25">
      <c r="A41" s="2"/>
      <c r="B41" s="2"/>
      <c r="C41" s="2"/>
      <c r="D41" s="157"/>
      <c r="E41" s="157"/>
      <c r="F41" s="153"/>
      <c r="G41" s="154"/>
      <c r="H41" s="154"/>
      <c r="I41" s="154"/>
    </row>
    <row r="42" spans="1:9" x14ac:dyDescent="0.25">
      <c r="A42" s="2"/>
      <c r="B42" s="2"/>
      <c r="C42" s="2"/>
      <c r="D42" s="157"/>
      <c r="E42" s="157"/>
      <c r="F42" s="153"/>
      <c r="G42" s="154"/>
      <c r="H42" s="154"/>
      <c r="I42" s="154"/>
    </row>
    <row r="43" spans="1:9" x14ac:dyDescent="0.25">
      <c r="A43" s="2"/>
      <c r="B43" s="2"/>
      <c r="C43" s="2"/>
      <c r="D43" s="157"/>
      <c r="E43" s="157"/>
      <c r="F43" s="153"/>
      <c r="G43" s="154"/>
      <c r="H43" s="154"/>
      <c r="I43" s="154"/>
    </row>
    <row r="44" spans="1:9" x14ac:dyDescent="0.25">
      <c r="A44" s="2"/>
      <c r="B44" s="2"/>
      <c r="C44" s="2"/>
      <c r="D44" s="157"/>
      <c r="E44" s="157"/>
      <c r="F44" s="153"/>
      <c r="G44" s="154"/>
      <c r="H44" s="154"/>
      <c r="I44" s="154"/>
    </row>
    <row r="45" spans="1:9" x14ac:dyDescent="0.25">
      <c r="A45" s="2"/>
      <c r="B45" s="2"/>
      <c r="C45" s="2"/>
      <c r="D45" s="157"/>
      <c r="E45" s="157"/>
      <c r="F45" s="153"/>
      <c r="G45" s="154"/>
      <c r="H45" s="154"/>
      <c r="I45" s="154"/>
    </row>
    <row r="46" spans="1:9" x14ac:dyDescent="0.25">
      <c r="A46" s="2"/>
      <c r="B46" s="2"/>
      <c r="C46" s="2"/>
      <c r="D46" s="157"/>
      <c r="E46" s="157"/>
      <c r="F46" s="153"/>
      <c r="G46" s="154"/>
      <c r="H46" s="154"/>
      <c r="I46" s="154"/>
    </row>
    <row r="47" spans="1:9" x14ac:dyDescent="0.25">
      <c r="A47" s="2"/>
      <c r="B47" s="2"/>
      <c r="C47" s="2"/>
      <c r="D47" s="157"/>
      <c r="E47" s="157"/>
      <c r="F47" s="153"/>
      <c r="G47" s="154"/>
      <c r="H47" s="154"/>
      <c r="I47" s="154"/>
    </row>
    <row r="48" spans="1:9" x14ac:dyDescent="0.25">
      <c r="A48" s="2"/>
      <c r="B48" s="2"/>
      <c r="C48" s="2"/>
      <c r="D48" s="157"/>
      <c r="E48" s="157"/>
      <c r="F48" s="153"/>
      <c r="G48" s="154"/>
      <c r="H48" s="154"/>
      <c r="I48" s="154"/>
    </row>
    <row r="49" spans="1:9" x14ac:dyDescent="0.25">
      <c r="A49" s="2"/>
      <c r="B49" s="2"/>
      <c r="C49" s="2"/>
      <c r="D49" s="157"/>
      <c r="E49" s="157"/>
      <c r="F49" s="153"/>
      <c r="G49" s="154"/>
      <c r="H49" s="154"/>
      <c r="I49" s="154"/>
    </row>
    <row r="50" spans="1:9" x14ac:dyDescent="0.25">
      <c r="A50" s="2"/>
      <c r="B50" s="2"/>
      <c r="C50" s="2"/>
      <c r="D50" s="157"/>
      <c r="E50" s="157"/>
      <c r="F50" s="153"/>
      <c r="G50" s="154"/>
      <c r="H50" s="154"/>
      <c r="I50" s="154"/>
    </row>
    <row r="51" spans="1:9" x14ac:dyDescent="0.25">
      <c r="A51" s="2"/>
      <c r="B51" s="2"/>
      <c r="C51" s="2"/>
      <c r="D51" s="157"/>
      <c r="E51" s="157"/>
      <c r="F51" s="153"/>
      <c r="G51" s="154"/>
      <c r="H51" s="154"/>
      <c r="I51" s="154"/>
    </row>
    <row r="52" spans="1:9" x14ac:dyDescent="0.25">
      <c r="A52" s="2"/>
      <c r="B52" s="2"/>
      <c r="C52" s="2"/>
      <c r="D52" s="157"/>
      <c r="E52" s="157"/>
      <c r="F52" s="153"/>
      <c r="G52" s="154"/>
      <c r="H52" s="154"/>
      <c r="I52" s="154"/>
    </row>
    <row r="53" spans="1:9" x14ac:dyDescent="0.25">
      <c r="A53" s="2"/>
      <c r="B53" s="2"/>
      <c r="C53" s="2"/>
      <c r="D53" s="157"/>
      <c r="E53" s="157"/>
      <c r="F53" s="153"/>
      <c r="G53" s="154"/>
      <c r="H53" s="154"/>
      <c r="I53" s="154"/>
    </row>
    <row r="54" spans="1:9" x14ac:dyDescent="0.25">
      <c r="A54" s="2"/>
      <c r="B54" s="2"/>
      <c r="C54" s="2"/>
      <c r="D54" s="157"/>
      <c r="E54" s="157"/>
      <c r="F54" s="153"/>
      <c r="G54" s="154"/>
      <c r="H54" s="154"/>
      <c r="I54" s="154"/>
    </row>
    <row r="55" spans="1:9" x14ac:dyDescent="0.25">
      <c r="A55" s="2"/>
      <c r="B55" s="2"/>
      <c r="C55" s="2"/>
      <c r="D55" s="157"/>
      <c r="E55" s="157"/>
      <c r="F55" s="153"/>
      <c r="G55" s="154"/>
      <c r="H55" s="154"/>
      <c r="I55" s="154"/>
    </row>
    <row r="56" spans="1:9" x14ac:dyDescent="0.25">
      <c r="A56" s="2"/>
      <c r="B56" s="2"/>
      <c r="C56" s="2"/>
      <c r="D56" s="157"/>
      <c r="E56" s="157"/>
      <c r="F56" s="153"/>
      <c r="G56" s="154"/>
      <c r="H56" s="154"/>
      <c r="I56" s="154"/>
    </row>
    <row r="57" spans="1:9" x14ac:dyDescent="0.25">
      <c r="A57" s="2"/>
      <c r="B57" s="2"/>
      <c r="C57" s="2"/>
      <c r="D57" s="157"/>
      <c r="E57" s="157"/>
      <c r="F57" s="153"/>
      <c r="G57" s="154"/>
      <c r="H57" s="154"/>
      <c r="I57" s="154"/>
    </row>
    <row r="58" spans="1:9" x14ac:dyDescent="0.25">
      <c r="A58" s="2"/>
      <c r="B58" s="2"/>
      <c r="C58" s="2"/>
      <c r="D58" s="157"/>
      <c r="E58" s="157"/>
      <c r="F58" s="153"/>
      <c r="G58" s="154"/>
      <c r="H58" s="154"/>
      <c r="I58" s="154"/>
    </row>
    <row r="59" spans="1:9" x14ac:dyDescent="0.25">
      <c r="A59" s="2"/>
      <c r="B59" s="2"/>
      <c r="C59" s="2"/>
      <c r="D59" s="157"/>
      <c r="E59" s="157"/>
      <c r="F59" s="153"/>
      <c r="G59" s="154"/>
      <c r="H59" s="154"/>
      <c r="I59" s="154"/>
    </row>
    <row r="60" spans="1:9" x14ac:dyDescent="0.25">
      <c r="A60" s="2"/>
      <c r="B60" s="2"/>
      <c r="C60" s="2"/>
      <c r="D60" s="157"/>
      <c r="E60" s="157"/>
      <c r="F60" s="153"/>
      <c r="G60" s="154"/>
      <c r="H60" s="154"/>
      <c r="I60" s="154"/>
    </row>
    <row r="61" spans="1:9" x14ac:dyDescent="0.25">
      <c r="A61" s="2"/>
      <c r="B61" s="2"/>
      <c r="C61" s="2"/>
      <c r="D61" s="157"/>
      <c r="E61" s="157"/>
      <c r="F61" s="153"/>
      <c r="G61" s="154"/>
      <c r="H61" s="154"/>
      <c r="I61" s="154"/>
    </row>
    <row r="62" spans="1:9" x14ac:dyDescent="0.25">
      <c r="A62" s="2"/>
      <c r="B62" s="2"/>
      <c r="C62" s="2"/>
      <c r="D62" s="157"/>
      <c r="E62" s="157"/>
      <c r="F62" s="153"/>
      <c r="G62" s="154"/>
      <c r="H62" s="154"/>
      <c r="I62" s="154"/>
    </row>
    <row r="63" spans="1:9" x14ac:dyDescent="0.25">
      <c r="A63" s="2"/>
      <c r="B63" s="2"/>
      <c r="C63" s="2"/>
      <c r="D63" s="157"/>
      <c r="E63" s="157"/>
      <c r="F63" s="153"/>
      <c r="G63" s="154"/>
      <c r="H63" s="154"/>
      <c r="I63" s="154"/>
    </row>
    <row r="64" spans="1:9" x14ac:dyDescent="0.25">
      <c r="A64" s="2"/>
      <c r="B64" s="2"/>
      <c r="C64" s="2"/>
      <c r="D64" s="157"/>
      <c r="E64" s="157"/>
      <c r="F64" s="153"/>
      <c r="G64" s="154"/>
      <c r="H64" s="154"/>
      <c r="I64" s="154"/>
    </row>
    <row r="65" spans="1:9" x14ac:dyDescent="0.25">
      <c r="A65" s="2"/>
      <c r="B65" s="2"/>
      <c r="C65" s="2"/>
      <c r="D65" s="157"/>
      <c r="E65" s="157"/>
      <c r="F65" s="153"/>
      <c r="G65" s="154"/>
      <c r="H65" s="154"/>
      <c r="I65" s="154"/>
    </row>
    <row r="66" spans="1:9" x14ac:dyDescent="0.25">
      <c r="A66" s="2"/>
      <c r="B66" s="2"/>
      <c r="C66" s="2"/>
      <c r="D66" s="157"/>
      <c r="E66" s="157"/>
      <c r="F66" s="153"/>
      <c r="G66" s="154"/>
      <c r="H66" s="154"/>
      <c r="I66" s="154"/>
    </row>
    <row r="67" spans="1:9" x14ac:dyDescent="0.25">
      <c r="A67" s="2"/>
      <c r="B67" s="2"/>
      <c r="C67" s="2"/>
      <c r="D67" s="157"/>
      <c r="E67" s="157"/>
      <c r="F67" s="153"/>
      <c r="G67" s="154"/>
      <c r="H67" s="154"/>
      <c r="I67" s="154"/>
    </row>
    <row r="68" spans="1:9" x14ac:dyDescent="0.25">
      <c r="A68" s="2"/>
      <c r="B68" s="2"/>
      <c r="C68" s="2"/>
      <c r="D68" s="157"/>
      <c r="E68" s="157"/>
      <c r="F68" s="153"/>
      <c r="G68" s="154"/>
      <c r="H68" s="154"/>
      <c r="I68" s="154"/>
    </row>
    <row r="69" spans="1:9" x14ac:dyDescent="0.25">
      <c r="A69" s="2"/>
      <c r="B69" s="2"/>
      <c r="C69" s="2"/>
      <c r="D69" s="157"/>
      <c r="E69" s="157"/>
      <c r="F69" s="153"/>
      <c r="G69" s="154"/>
      <c r="H69" s="154"/>
      <c r="I69" s="154"/>
    </row>
    <row r="70" spans="1:9" x14ac:dyDescent="0.25">
      <c r="A70" s="2"/>
      <c r="B70" s="2"/>
      <c r="C70" s="2"/>
      <c r="D70" s="157"/>
      <c r="E70" s="157"/>
      <c r="F70" s="153"/>
      <c r="G70" s="154"/>
      <c r="H70" s="154"/>
      <c r="I70" s="154"/>
    </row>
    <row r="71" spans="1:9" x14ac:dyDescent="0.25">
      <c r="A71" s="2"/>
      <c r="B71" s="2"/>
      <c r="C71" s="2"/>
      <c r="D71" s="157"/>
      <c r="E71" s="157"/>
      <c r="F71" s="153"/>
      <c r="G71" s="154"/>
      <c r="H71" s="154"/>
      <c r="I71" s="154"/>
    </row>
    <row r="72" spans="1:9" x14ac:dyDescent="0.25">
      <c r="A72" s="2"/>
      <c r="B72" s="2"/>
      <c r="C72" s="2"/>
      <c r="D72" s="157"/>
      <c r="E72" s="157"/>
      <c r="F72" s="153"/>
      <c r="G72" s="154"/>
      <c r="H72" s="154"/>
      <c r="I72" s="154"/>
    </row>
    <row r="73" spans="1:9" x14ac:dyDescent="0.25">
      <c r="A73" s="2"/>
      <c r="B73" s="2"/>
      <c r="C73" s="2"/>
      <c r="D73" s="157"/>
      <c r="E73" s="157"/>
      <c r="F73" s="153"/>
      <c r="G73" s="154"/>
      <c r="H73" s="154"/>
      <c r="I73" s="154"/>
    </row>
    <row r="74" spans="1:9" x14ac:dyDescent="0.25">
      <c r="A74" s="2"/>
      <c r="B74" s="2"/>
      <c r="C74" s="2"/>
      <c r="D74" s="157"/>
      <c r="E74" s="157"/>
      <c r="F74" s="153"/>
      <c r="G74" s="154"/>
      <c r="H74" s="154"/>
      <c r="I74" s="154"/>
    </row>
    <row r="75" spans="1:9" x14ac:dyDescent="0.25">
      <c r="A75" s="2"/>
      <c r="B75" s="2"/>
      <c r="C75" s="2"/>
      <c r="D75" s="157"/>
      <c r="E75" s="157"/>
      <c r="F75" s="153"/>
      <c r="G75" s="154"/>
      <c r="H75" s="154"/>
      <c r="I75" s="154"/>
    </row>
    <row r="76" spans="1:9" x14ac:dyDescent="0.25">
      <c r="A76" s="2"/>
      <c r="B76" s="2"/>
      <c r="C76" s="2"/>
      <c r="D76" s="157"/>
      <c r="E76" s="157"/>
      <c r="F76" s="153"/>
      <c r="G76" s="154"/>
      <c r="H76" s="154"/>
      <c r="I76" s="154"/>
    </row>
    <row r="77" spans="1:9" x14ac:dyDescent="0.25">
      <c r="A77" s="2"/>
      <c r="B77" s="2"/>
      <c r="C77" s="2"/>
      <c r="D77" s="157"/>
      <c r="E77" s="157"/>
      <c r="F77" s="153"/>
      <c r="G77" s="154"/>
      <c r="H77" s="154"/>
      <c r="I77" s="154"/>
    </row>
    <row r="78" spans="1:9" x14ac:dyDescent="0.25">
      <c r="A78" s="2"/>
      <c r="B78" s="2"/>
      <c r="C78" s="2"/>
      <c r="D78" s="157"/>
      <c r="E78" s="157"/>
      <c r="F78" s="153"/>
      <c r="G78" s="154"/>
      <c r="H78" s="154"/>
      <c r="I78" s="154"/>
    </row>
    <row r="79" spans="1:9" x14ac:dyDescent="0.25">
      <c r="A79" s="2"/>
      <c r="B79" s="2"/>
      <c r="C79" s="2"/>
      <c r="D79" s="157"/>
      <c r="E79" s="157"/>
      <c r="F79" s="153"/>
      <c r="G79" s="154"/>
      <c r="H79" s="154"/>
      <c r="I79" s="154"/>
    </row>
    <row r="80" spans="1:9" x14ac:dyDescent="0.25">
      <c r="A80" s="2"/>
      <c r="B80" s="2"/>
      <c r="C80" s="2"/>
      <c r="D80" s="157"/>
      <c r="E80" s="157"/>
      <c r="F80" s="153"/>
      <c r="G80" s="154"/>
      <c r="H80" s="154"/>
      <c r="I80" s="154"/>
    </row>
    <row r="81" spans="1:9" x14ac:dyDescent="0.25">
      <c r="A81" s="2"/>
      <c r="B81" s="2"/>
      <c r="C81" s="2"/>
      <c r="D81" s="157"/>
      <c r="E81" s="157"/>
      <c r="F81" s="153"/>
      <c r="G81" s="154"/>
      <c r="H81" s="154"/>
      <c r="I81" s="154"/>
    </row>
    <row r="82" spans="1:9" x14ac:dyDescent="0.25">
      <c r="A82" s="2"/>
      <c r="B82" s="2"/>
      <c r="C82" s="2"/>
      <c r="D82" s="157"/>
      <c r="E82" s="157"/>
      <c r="F82" s="153"/>
      <c r="G82" s="154"/>
      <c r="H82" s="154"/>
      <c r="I82" s="154"/>
    </row>
    <row r="83" spans="1:9" x14ac:dyDescent="0.25">
      <c r="A83" s="2"/>
      <c r="B83" s="2"/>
      <c r="C83" s="2"/>
      <c r="D83" s="157"/>
      <c r="E83" s="157"/>
      <c r="F83" s="153"/>
      <c r="G83" s="154"/>
      <c r="H83" s="154"/>
      <c r="I83" s="154"/>
    </row>
    <row r="84" spans="1:9" x14ac:dyDescent="0.25">
      <c r="A84" s="2"/>
      <c r="B84" s="2"/>
      <c r="C84" s="2"/>
      <c r="D84" s="157"/>
      <c r="E84" s="157"/>
      <c r="F84" s="153"/>
      <c r="G84" s="154"/>
      <c r="H84" s="154"/>
      <c r="I84" s="154"/>
    </row>
    <row r="85" spans="1:9" x14ac:dyDescent="0.25">
      <c r="A85" s="2"/>
      <c r="B85" s="2"/>
      <c r="C85" s="2"/>
      <c r="D85" s="157"/>
      <c r="E85" s="157"/>
      <c r="F85" s="153"/>
      <c r="G85" s="154"/>
      <c r="H85" s="154"/>
      <c r="I85" s="154"/>
    </row>
    <row r="86" spans="1:9" x14ac:dyDescent="0.25">
      <c r="A86" s="2"/>
      <c r="B86" s="2"/>
      <c r="C86" s="2"/>
      <c r="D86" s="157"/>
      <c r="E86" s="157"/>
      <c r="F86" s="153"/>
      <c r="G86" s="154"/>
      <c r="H86" s="154"/>
      <c r="I86" s="154"/>
    </row>
    <row r="87" spans="1:9" x14ac:dyDescent="0.25">
      <c r="A87" s="2"/>
      <c r="B87" s="2"/>
      <c r="C87" s="2"/>
      <c r="D87" s="157"/>
      <c r="E87" s="157"/>
      <c r="F87" s="153"/>
      <c r="G87" s="154"/>
      <c r="H87" s="154"/>
      <c r="I87" s="154"/>
    </row>
    <row r="88" spans="1:9" x14ac:dyDescent="0.25">
      <c r="A88" s="2"/>
      <c r="B88" s="2"/>
      <c r="C88" s="2"/>
      <c r="D88" s="157"/>
      <c r="E88" s="157"/>
      <c r="F88" s="153"/>
      <c r="G88" s="154"/>
      <c r="H88" s="154"/>
      <c r="I88" s="154"/>
    </row>
    <row r="89" spans="1:9" x14ac:dyDescent="0.25">
      <c r="A89" s="2"/>
      <c r="B89" s="2"/>
      <c r="C89" s="2"/>
      <c r="D89" s="157"/>
      <c r="E89" s="157"/>
      <c r="F89" s="153"/>
      <c r="G89" s="154"/>
      <c r="H89" s="154"/>
      <c r="I89" s="154"/>
    </row>
    <row r="90" spans="1:9" x14ac:dyDescent="0.25">
      <c r="A90" s="2"/>
      <c r="B90" s="2"/>
      <c r="C90" s="2"/>
      <c r="D90" s="157"/>
      <c r="E90" s="157"/>
      <c r="F90" s="153"/>
      <c r="G90" s="154"/>
      <c r="H90" s="154"/>
      <c r="I90" s="154"/>
    </row>
    <row r="91" spans="1:9" x14ac:dyDescent="0.25">
      <c r="A91" s="2"/>
      <c r="B91" s="2"/>
      <c r="C91" s="2"/>
      <c r="D91" s="157"/>
      <c r="E91" s="157"/>
      <c r="F91" s="153"/>
      <c r="G91" s="154"/>
      <c r="H91" s="154"/>
      <c r="I91" s="154"/>
    </row>
    <row r="92" spans="1:9" x14ac:dyDescent="0.25">
      <c r="A92" s="2"/>
      <c r="B92" s="2"/>
      <c r="C92" s="2"/>
      <c r="D92" s="157"/>
      <c r="E92" s="157"/>
      <c r="F92" s="153"/>
      <c r="G92" s="154"/>
      <c r="H92" s="154"/>
      <c r="I92" s="154"/>
    </row>
    <row r="93" spans="1:9" x14ac:dyDescent="0.25">
      <c r="A93" s="2"/>
      <c r="B93" s="2"/>
      <c r="C93" s="2"/>
      <c r="D93" s="157"/>
      <c r="E93" s="157"/>
      <c r="F93" s="153"/>
      <c r="G93" s="154"/>
      <c r="H93" s="154"/>
      <c r="I93" s="154"/>
    </row>
    <row r="94" spans="1:9" x14ac:dyDescent="0.25">
      <c r="A94" s="2"/>
      <c r="B94" s="2"/>
      <c r="C94" s="2"/>
      <c r="D94" s="157"/>
      <c r="E94" s="157"/>
      <c r="F94" s="153"/>
      <c r="G94" s="154"/>
      <c r="H94" s="154"/>
      <c r="I94" s="154"/>
    </row>
    <row r="95" spans="1:9" x14ac:dyDescent="0.25">
      <c r="A95" s="2"/>
      <c r="B95" s="2"/>
      <c r="C95" s="2"/>
      <c r="D95" s="157"/>
      <c r="E95" s="157"/>
      <c r="F95" s="153"/>
      <c r="G95" s="154"/>
      <c r="H95" s="154"/>
      <c r="I95" s="154"/>
    </row>
    <row r="96" spans="1:9" x14ac:dyDescent="0.25">
      <c r="A96" s="2"/>
      <c r="B96" s="2"/>
      <c r="C96" s="2"/>
      <c r="D96" s="157"/>
      <c r="E96" s="157"/>
      <c r="F96" s="153"/>
      <c r="G96" s="154"/>
      <c r="H96" s="154"/>
      <c r="I96" s="154"/>
    </row>
    <row r="97" spans="1:9" x14ac:dyDescent="0.25">
      <c r="A97" s="2"/>
      <c r="B97" s="2"/>
      <c r="C97" s="2"/>
      <c r="D97" s="157"/>
      <c r="E97" s="157"/>
      <c r="F97" s="153"/>
      <c r="G97" s="154"/>
      <c r="H97" s="154"/>
      <c r="I97" s="154"/>
    </row>
    <row r="98" spans="1:9" x14ac:dyDescent="0.25">
      <c r="A98" s="2"/>
      <c r="B98" s="2"/>
      <c r="C98" s="2"/>
      <c r="D98" s="157"/>
      <c r="E98" s="157"/>
      <c r="F98" s="153"/>
      <c r="G98" s="154"/>
      <c r="H98" s="154"/>
      <c r="I98" s="154"/>
    </row>
    <row r="99" spans="1:9" x14ac:dyDescent="0.25">
      <c r="A99" s="2"/>
      <c r="B99" s="2"/>
      <c r="C99" s="2"/>
      <c r="D99" s="157"/>
      <c r="E99" s="157"/>
      <c r="F99" s="153"/>
      <c r="G99" s="154"/>
      <c r="H99" s="154"/>
      <c r="I99" s="154"/>
    </row>
    <row r="100" spans="1:9" x14ac:dyDescent="0.25">
      <c r="A100" s="2"/>
      <c r="B100" s="2"/>
      <c r="C100" s="2"/>
      <c r="D100" s="157"/>
      <c r="E100" s="157"/>
      <c r="F100" s="153"/>
      <c r="G100" s="154"/>
      <c r="H100" s="154"/>
      <c r="I100" s="154"/>
    </row>
    <row r="101" spans="1:9" x14ac:dyDescent="0.25">
      <c r="A101" s="2"/>
      <c r="B101" s="2"/>
      <c r="C101" s="2"/>
      <c r="D101" s="157"/>
      <c r="E101" s="157"/>
      <c r="F101" s="153"/>
      <c r="G101" s="154"/>
      <c r="H101" s="154"/>
      <c r="I101" s="154"/>
    </row>
    <row r="102" spans="1:9" x14ac:dyDescent="0.25">
      <c r="A102" s="2"/>
      <c r="B102" s="2"/>
      <c r="C102" s="2"/>
      <c r="D102" s="157"/>
      <c r="E102" s="157"/>
      <c r="F102" s="153"/>
      <c r="G102" s="154"/>
      <c r="H102" s="154"/>
      <c r="I102" s="154"/>
    </row>
    <row r="103" spans="1:9" x14ac:dyDescent="0.25">
      <c r="A103" s="2"/>
      <c r="B103" s="2"/>
      <c r="C103" s="2"/>
      <c r="D103" s="157"/>
      <c r="E103" s="157"/>
      <c r="F103" s="153"/>
      <c r="G103" s="154"/>
      <c r="H103" s="154"/>
      <c r="I103" s="154"/>
    </row>
    <row r="104" spans="1:9" x14ac:dyDescent="0.25">
      <c r="A104" s="2"/>
      <c r="B104" s="2"/>
      <c r="C104" s="2"/>
      <c r="D104" s="157"/>
      <c r="E104" s="157"/>
      <c r="F104" s="153"/>
      <c r="G104" s="154"/>
      <c r="H104" s="154"/>
      <c r="I104" s="154"/>
    </row>
    <row r="105" spans="1:9" x14ac:dyDescent="0.25">
      <c r="A105" s="2"/>
      <c r="B105" s="2"/>
      <c r="C105" s="2"/>
      <c r="D105" s="157"/>
      <c r="E105" s="157"/>
      <c r="F105" s="153"/>
      <c r="G105" s="154"/>
      <c r="H105" s="154"/>
      <c r="I105" s="154"/>
    </row>
    <row r="106" spans="1:9" x14ac:dyDescent="0.25">
      <c r="A106" s="2"/>
      <c r="B106" s="2"/>
      <c r="C106" s="2"/>
      <c r="D106" s="157"/>
      <c r="E106" s="157"/>
      <c r="F106" s="153"/>
      <c r="G106" s="154"/>
      <c r="H106" s="154"/>
      <c r="I106" s="154"/>
    </row>
    <row r="107" spans="1:9" x14ac:dyDescent="0.25">
      <c r="A107" s="2"/>
      <c r="B107" s="2"/>
      <c r="C107" s="2"/>
      <c r="D107" s="157"/>
      <c r="E107" s="157"/>
      <c r="F107" s="153"/>
      <c r="G107" s="154"/>
      <c r="H107" s="154"/>
      <c r="I107" s="154"/>
    </row>
    <row r="108" spans="1:9" x14ac:dyDescent="0.25">
      <c r="A108" s="2"/>
      <c r="B108" s="2"/>
      <c r="C108" s="2"/>
      <c r="D108" s="157"/>
      <c r="E108" s="157"/>
      <c r="F108" s="153"/>
      <c r="G108" s="154"/>
      <c r="H108" s="154"/>
      <c r="I108" s="154"/>
    </row>
    <row r="109" spans="1:9" x14ac:dyDescent="0.25">
      <c r="A109" s="2"/>
      <c r="B109" s="2"/>
      <c r="C109" s="2"/>
      <c r="D109" s="157"/>
      <c r="E109" s="157"/>
      <c r="F109" s="153"/>
      <c r="G109" s="154"/>
      <c r="H109" s="154"/>
      <c r="I109" s="154"/>
    </row>
    <row r="110" spans="1:9" x14ac:dyDescent="0.25">
      <c r="A110" s="2"/>
      <c r="B110" s="2"/>
      <c r="C110" s="2"/>
      <c r="D110" s="157"/>
      <c r="E110" s="157"/>
      <c r="F110" s="153"/>
      <c r="G110" s="154"/>
      <c r="H110" s="154"/>
      <c r="I110" s="154"/>
    </row>
    <row r="111" spans="1:9" x14ac:dyDescent="0.25">
      <c r="A111" s="2"/>
      <c r="B111" s="2"/>
      <c r="C111" s="2"/>
      <c r="D111" s="157"/>
      <c r="E111" s="157"/>
      <c r="F111" s="153"/>
      <c r="G111" s="154"/>
      <c r="H111" s="154"/>
      <c r="I111" s="154"/>
    </row>
    <row r="112" spans="1:9" x14ac:dyDescent="0.25">
      <c r="A112" s="2"/>
      <c r="B112" s="2"/>
      <c r="C112" s="2"/>
      <c r="D112" s="157"/>
      <c r="E112" s="157"/>
      <c r="F112" s="153"/>
      <c r="G112" s="154"/>
      <c r="H112" s="154"/>
      <c r="I112" s="154"/>
    </row>
    <row r="113" spans="1:9" x14ac:dyDescent="0.25">
      <c r="A113" s="2"/>
      <c r="B113" s="2"/>
      <c r="C113" s="2"/>
      <c r="D113" s="157"/>
      <c r="E113" s="157"/>
      <c r="F113" s="153"/>
      <c r="G113" s="154"/>
      <c r="H113" s="154"/>
      <c r="I113" s="154"/>
    </row>
    <row r="114" spans="1:9" x14ac:dyDescent="0.25">
      <c r="A114" s="2"/>
      <c r="B114" s="2"/>
      <c r="C114" s="2"/>
      <c r="D114" s="157"/>
      <c r="E114" s="157"/>
      <c r="F114" s="153"/>
      <c r="G114" s="154"/>
      <c r="H114" s="154"/>
      <c r="I114" s="154"/>
    </row>
    <row r="115" spans="1:9" x14ac:dyDescent="0.25">
      <c r="A115" s="2"/>
      <c r="B115" s="2"/>
      <c r="C115" s="2"/>
      <c r="D115" s="157"/>
      <c r="E115" s="157"/>
      <c r="F115" s="153"/>
      <c r="G115" s="154"/>
      <c r="H115" s="154"/>
      <c r="I115" s="154"/>
    </row>
    <row r="116" spans="1:9" x14ac:dyDescent="0.25">
      <c r="A116" s="2"/>
      <c r="B116" s="2"/>
      <c r="C116" s="2"/>
      <c r="D116" s="157"/>
      <c r="E116" s="157"/>
      <c r="F116" s="153"/>
      <c r="G116" s="154"/>
      <c r="H116" s="154"/>
      <c r="I116" s="154"/>
    </row>
    <row r="117" spans="1:9" x14ac:dyDescent="0.25">
      <c r="A117" s="2"/>
      <c r="B117" s="2"/>
      <c r="C117" s="2"/>
      <c r="D117" s="157"/>
      <c r="E117" s="157"/>
      <c r="F117" s="153"/>
      <c r="G117" s="154"/>
      <c r="H117" s="154"/>
      <c r="I117" s="154"/>
    </row>
    <row r="118" spans="1:9" x14ac:dyDescent="0.25">
      <c r="A118" s="2"/>
      <c r="B118" s="2"/>
      <c r="C118" s="2"/>
      <c r="D118" s="157"/>
      <c r="E118" s="157"/>
      <c r="F118" s="153"/>
      <c r="G118" s="154"/>
      <c r="H118" s="154"/>
      <c r="I118" s="154"/>
    </row>
    <row r="119" spans="1:9" x14ac:dyDescent="0.25">
      <c r="A119" s="2"/>
      <c r="B119" s="2"/>
      <c r="C119" s="2"/>
      <c r="D119" s="157"/>
      <c r="E119" s="157"/>
      <c r="F119" s="153"/>
      <c r="G119" s="154"/>
      <c r="H119" s="154"/>
      <c r="I119" s="154"/>
    </row>
    <row r="120" spans="1:9" x14ac:dyDescent="0.25">
      <c r="A120" s="2"/>
      <c r="B120" s="2"/>
      <c r="C120" s="2"/>
      <c r="D120" s="157"/>
      <c r="E120" s="157"/>
      <c r="F120" s="153"/>
      <c r="G120" s="154"/>
      <c r="H120" s="154"/>
      <c r="I120" s="154"/>
    </row>
    <row r="121" spans="1:9" x14ac:dyDescent="0.25">
      <c r="A121" s="2"/>
      <c r="B121" s="2"/>
      <c r="C121" s="2"/>
      <c r="D121" s="157"/>
      <c r="E121" s="157"/>
      <c r="F121" s="153"/>
      <c r="G121" s="154"/>
      <c r="H121" s="154"/>
      <c r="I121" s="154"/>
    </row>
    <row r="122" spans="1:9" x14ac:dyDescent="0.25">
      <c r="A122" s="2"/>
      <c r="B122" s="2"/>
      <c r="C122" s="2"/>
      <c r="D122" s="157"/>
      <c r="E122" s="157"/>
      <c r="F122" s="153"/>
      <c r="G122" s="154"/>
      <c r="H122" s="154"/>
      <c r="I122" s="154"/>
    </row>
    <row r="123" spans="1:9" x14ac:dyDescent="0.25">
      <c r="A123" s="2"/>
      <c r="B123" s="2"/>
      <c r="C123" s="2"/>
      <c r="D123" s="157"/>
      <c r="E123" s="157"/>
      <c r="F123" s="153"/>
      <c r="G123" s="154"/>
      <c r="H123" s="154"/>
      <c r="I123" s="154"/>
    </row>
    <row r="124" spans="1:9" x14ac:dyDescent="0.25">
      <c r="A124" s="2"/>
      <c r="B124" s="2"/>
      <c r="C124" s="2"/>
      <c r="D124" s="157"/>
      <c r="E124" s="157"/>
      <c r="F124" s="153"/>
      <c r="G124" s="154"/>
      <c r="H124" s="154"/>
      <c r="I124" s="154"/>
    </row>
    <row r="125" spans="1:9" x14ac:dyDescent="0.25">
      <c r="A125" s="2"/>
      <c r="B125" s="2"/>
      <c r="C125" s="2"/>
      <c r="D125" s="157"/>
      <c r="E125" s="157"/>
      <c r="F125" s="153"/>
      <c r="G125" s="154"/>
      <c r="H125" s="154"/>
      <c r="I125" s="154"/>
    </row>
    <row r="126" spans="1:9" x14ac:dyDescent="0.25">
      <c r="A126" s="2"/>
      <c r="B126" s="2"/>
      <c r="C126" s="2"/>
      <c r="D126" s="157"/>
      <c r="E126" s="157"/>
      <c r="F126" s="153"/>
      <c r="G126" s="154"/>
      <c r="H126" s="154"/>
      <c r="I126" s="154"/>
    </row>
    <row r="127" spans="1:9" x14ac:dyDescent="0.25">
      <c r="A127" s="2"/>
      <c r="B127" s="2"/>
      <c r="C127" s="2"/>
      <c r="D127" s="157"/>
      <c r="E127" s="157"/>
      <c r="F127" s="153"/>
      <c r="G127" s="154"/>
      <c r="H127" s="154"/>
      <c r="I127" s="154"/>
    </row>
    <row r="128" spans="1:9" x14ac:dyDescent="0.25">
      <c r="A128" s="2"/>
      <c r="B128" s="2"/>
      <c r="C128" s="2"/>
      <c r="D128" s="157"/>
      <c r="E128" s="157"/>
      <c r="F128" s="153"/>
      <c r="G128" s="154"/>
      <c r="H128" s="154"/>
      <c r="I128" s="154"/>
    </row>
    <row r="129" spans="1:9" x14ac:dyDescent="0.25">
      <c r="A129" s="2"/>
      <c r="B129" s="2"/>
      <c r="C129" s="2"/>
      <c r="D129" s="157"/>
      <c r="E129" s="157"/>
      <c r="F129" s="153"/>
      <c r="G129" s="154"/>
      <c r="H129" s="154"/>
      <c r="I129" s="154"/>
    </row>
    <row r="130" spans="1:9" x14ac:dyDescent="0.25">
      <c r="A130" s="2"/>
      <c r="B130" s="2"/>
      <c r="C130" s="2"/>
      <c r="D130" s="157"/>
      <c r="E130" s="157"/>
      <c r="F130" s="153"/>
      <c r="G130" s="154"/>
      <c r="H130" s="154"/>
      <c r="I130" s="154"/>
    </row>
    <row r="131" spans="1:9" x14ac:dyDescent="0.25">
      <c r="A131" s="2"/>
      <c r="B131" s="2"/>
      <c r="C131" s="2"/>
      <c r="D131" s="157"/>
      <c r="E131" s="157"/>
      <c r="F131" s="153"/>
      <c r="G131" s="154"/>
      <c r="H131" s="154"/>
      <c r="I131" s="154"/>
    </row>
    <row r="132" spans="1:9" x14ac:dyDescent="0.25">
      <c r="A132" s="2"/>
      <c r="B132" s="2"/>
      <c r="C132" s="2"/>
      <c r="D132" s="157"/>
      <c r="E132" s="157"/>
      <c r="F132" s="153"/>
      <c r="G132" s="154"/>
      <c r="H132" s="154"/>
      <c r="I132" s="154"/>
    </row>
    <row r="133" spans="1:9" x14ac:dyDescent="0.25">
      <c r="A133" s="2"/>
      <c r="B133" s="2"/>
      <c r="C133" s="2"/>
      <c r="D133" s="157"/>
      <c r="E133" s="157"/>
      <c r="F133" s="153"/>
      <c r="G133" s="154"/>
      <c r="H133" s="154"/>
      <c r="I133" s="154"/>
    </row>
    <row r="134" spans="1:9" x14ac:dyDescent="0.25">
      <c r="A134" s="2"/>
      <c r="B134" s="2"/>
      <c r="C134" s="2"/>
      <c r="D134" s="157"/>
      <c r="E134" s="157"/>
      <c r="F134" s="153"/>
      <c r="G134" s="154"/>
      <c r="H134" s="154"/>
      <c r="I134" s="154"/>
    </row>
    <row r="135" spans="1:9" x14ac:dyDescent="0.25">
      <c r="A135" s="2"/>
      <c r="B135" s="2"/>
      <c r="C135" s="2"/>
      <c r="D135" s="157"/>
      <c r="E135" s="157"/>
      <c r="F135" s="153"/>
      <c r="G135" s="154"/>
      <c r="H135" s="154"/>
      <c r="I135" s="154"/>
    </row>
    <row r="136" spans="1:9" x14ac:dyDescent="0.25">
      <c r="A136" s="2"/>
      <c r="B136" s="2"/>
      <c r="C136" s="2"/>
      <c r="D136" s="157"/>
      <c r="E136" s="157"/>
      <c r="F136" s="153"/>
      <c r="G136" s="154"/>
      <c r="H136" s="154"/>
      <c r="I136" s="154"/>
    </row>
    <row r="137" spans="1:9" x14ac:dyDescent="0.25">
      <c r="A137" s="2"/>
      <c r="B137" s="2"/>
      <c r="C137" s="2"/>
      <c r="D137" s="157"/>
      <c r="E137" s="157"/>
      <c r="F137" s="153"/>
      <c r="G137" s="154"/>
      <c r="H137" s="154"/>
      <c r="I137" s="154"/>
    </row>
    <row r="138" spans="1:9" x14ac:dyDescent="0.25">
      <c r="A138" s="2"/>
      <c r="B138" s="2"/>
      <c r="C138" s="2"/>
      <c r="D138" s="157"/>
      <c r="E138" s="157"/>
      <c r="F138" s="153"/>
      <c r="G138" s="154"/>
      <c r="H138" s="154"/>
      <c r="I138" s="154"/>
    </row>
    <row r="139" spans="1:9" x14ac:dyDescent="0.25">
      <c r="A139" s="2"/>
      <c r="B139" s="2"/>
      <c r="C139" s="2"/>
      <c r="D139" s="157"/>
      <c r="E139" s="157"/>
      <c r="F139" s="153"/>
      <c r="G139" s="154"/>
      <c r="H139" s="154"/>
      <c r="I139" s="154"/>
    </row>
    <row r="140" spans="1:9" x14ac:dyDescent="0.25">
      <c r="A140" s="2"/>
      <c r="B140" s="2"/>
      <c r="C140" s="2"/>
      <c r="D140" s="157"/>
      <c r="E140" s="157"/>
      <c r="F140" s="153"/>
      <c r="G140" s="154"/>
      <c r="H140" s="154"/>
      <c r="I140" s="154"/>
    </row>
    <row r="141" spans="1:9" x14ac:dyDescent="0.25">
      <c r="A141" s="2"/>
      <c r="B141" s="2"/>
      <c r="C141" s="2"/>
      <c r="D141" s="157"/>
      <c r="E141" s="157"/>
      <c r="F141" s="153"/>
      <c r="G141" s="154"/>
      <c r="H141" s="154"/>
      <c r="I141" s="154"/>
    </row>
    <row r="142" spans="1:9" x14ac:dyDescent="0.25">
      <c r="A142" s="2"/>
      <c r="B142" s="2"/>
      <c r="C142" s="2"/>
      <c r="D142" s="157"/>
      <c r="E142" s="157"/>
      <c r="F142" s="153"/>
      <c r="G142" s="154"/>
      <c r="H142" s="154"/>
      <c r="I142" s="154"/>
    </row>
    <row r="143" spans="1:9" x14ac:dyDescent="0.25">
      <c r="A143" s="2"/>
      <c r="B143" s="2"/>
      <c r="C143" s="2"/>
      <c r="D143" s="157"/>
      <c r="E143" s="157"/>
      <c r="F143" s="153"/>
      <c r="G143" s="154"/>
      <c r="H143" s="154"/>
      <c r="I143" s="154"/>
    </row>
    <row r="144" spans="1:9" x14ac:dyDescent="0.25">
      <c r="A144" s="2"/>
      <c r="B144" s="2"/>
      <c r="C144" s="2"/>
      <c r="D144" s="157"/>
      <c r="E144" s="157"/>
      <c r="F144" s="153"/>
      <c r="G144" s="154"/>
      <c r="H144" s="154"/>
      <c r="I144" s="154"/>
    </row>
    <row r="145" spans="1:9" x14ac:dyDescent="0.25">
      <c r="A145" s="2"/>
      <c r="B145" s="2"/>
      <c r="C145" s="2"/>
      <c r="D145" s="157"/>
      <c r="E145" s="157"/>
      <c r="F145" s="153"/>
      <c r="G145" s="154"/>
      <c r="H145" s="154"/>
      <c r="I145" s="154"/>
    </row>
    <row r="146" spans="1:9" x14ac:dyDescent="0.25">
      <c r="A146" s="2"/>
      <c r="B146" s="2"/>
      <c r="C146" s="2"/>
      <c r="D146" s="157"/>
      <c r="E146" s="157"/>
      <c r="F146" s="153"/>
      <c r="G146" s="154"/>
      <c r="H146" s="154"/>
      <c r="I146" s="154"/>
    </row>
    <row r="147" spans="1:9" x14ac:dyDescent="0.25">
      <c r="A147" s="2"/>
      <c r="B147" s="2"/>
      <c r="C147" s="2"/>
      <c r="D147" s="157"/>
      <c r="E147" s="157"/>
      <c r="F147" s="153"/>
      <c r="G147" s="154"/>
      <c r="H147" s="154"/>
      <c r="I147" s="154"/>
    </row>
    <row r="148" spans="1:9" x14ac:dyDescent="0.25">
      <c r="A148" s="2"/>
      <c r="B148" s="2"/>
      <c r="C148" s="2"/>
      <c r="D148" s="157"/>
      <c r="E148" s="157"/>
      <c r="F148" s="153"/>
      <c r="G148" s="154"/>
      <c r="H148" s="154"/>
      <c r="I148" s="154"/>
    </row>
    <row r="149" spans="1:9" x14ac:dyDescent="0.25">
      <c r="A149" s="2"/>
      <c r="B149" s="2"/>
      <c r="C149" s="2"/>
      <c r="D149" s="157"/>
      <c r="E149" s="157"/>
      <c r="F149" s="153"/>
      <c r="G149" s="154"/>
      <c r="H149" s="154"/>
      <c r="I149" s="154"/>
    </row>
    <row r="150" spans="1:9" x14ac:dyDescent="0.25">
      <c r="A150" s="2"/>
      <c r="B150" s="2"/>
      <c r="C150" s="2"/>
      <c r="D150" s="157"/>
      <c r="E150" s="157"/>
      <c r="F150" s="153"/>
      <c r="G150" s="154"/>
      <c r="H150" s="154"/>
      <c r="I150" s="154"/>
    </row>
    <row r="151" spans="1:9" x14ac:dyDescent="0.25">
      <c r="A151" s="2"/>
      <c r="B151" s="2"/>
      <c r="C151" s="2"/>
      <c r="D151" s="157"/>
      <c r="E151" s="157"/>
      <c r="F151" s="153"/>
      <c r="G151" s="154"/>
      <c r="H151" s="154"/>
      <c r="I151" s="154"/>
    </row>
    <row r="152" spans="1:9" x14ac:dyDescent="0.25">
      <c r="A152" s="2"/>
      <c r="B152" s="2"/>
      <c r="C152" s="2"/>
      <c r="D152" s="157"/>
      <c r="E152" s="157"/>
      <c r="F152" s="153"/>
      <c r="G152" s="154"/>
      <c r="H152" s="154"/>
      <c r="I152" s="154"/>
    </row>
    <row r="153" spans="1:9" x14ac:dyDescent="0.25">
      <c r="A153" s="2"/>
      <c r="B153" s="2"/>
      <c r="C153" s="2"/>
      <c r="D153" s="157"/>
      <c r="E153" s="157"/>
      <c r="F153" s="153"/>
      <c r="G153" s="154"/>
      <c r="H153" s="154"/>
      <c r="I153" s="154"/>
    </row>
    <row r="154" spans="1:9" x14ac:dyDescent="0.25">
      <c r="A154" s="2"/>
      <c r="B154" s="2"/>
      <c r="C154" s="2"/>
      <c r="D154" s="157"/>
      <c r="E154" s="157"/>
      <c r="F154" s="153"/>
      <c r="G154" s="154"/>
      <c r="H154" s="154"/>
      <c r="I154" s="154"/>
    </row>
    <row r="155" spans="1:9" x14ac:dyDescent="0.25">
      <c r="A155" s="2"/>
      <c r="B155" s="2"/>
      <c r="C155" s="2"/>
      <c r="D155" s="157"/>
      <c r="E155" s="157"/>
      <c r="F155" s="153"/>
      <c r="G155" s="154"/>
      <c r="H155" s="154"/>
      <c r="I155" s="154"/>
    </row>
    <row r="156" spans="1:9" x14ac:dyDescent="0.25">
      <c r="A156" s="2"/>
      <c r="B156" s="2"/>
      <c r="C156" s="2"/>
      <c r="D156" s="157"/>
      <c r="E156" s="157"/>
      <c r="F156" s="153"/>
      <c r="G156" s="154"/>
      <c r="H156" s="154"/>
      <c r="I156" s="154"/>
    </row>
    <row r="157" spans="1:9" x14ac:dyDescent="0.25">
      <c r="A157" s="2"/>
      <c r="B157" s="2"/>
      <c r="C157" s="2"/>
      <c r="D157" s="157"/>
      <c r="E157" s="157"/>
      <c r="F157" s="153"/>
      <c r="G157" s="154"/>
      <c r="H157" s="154"/>
      <c r="I157" s="154"/>
    </row>
    <row r="158" spans="1:9" x14ac:dyDescent="0.25">
      <c r="A158" s="2"/>
      <c r="B158" s="2"/>
      <c r="C158" s="2"/>
      <c r="D158" s="157"/>
      <c r="E158" s="157"/>
      <c r="F158" s="153"/>
      <c r="G158" s="154"/>
      <c r="H158" s="154"/>
      <c r="I158" s="154"/>
    </row>
    <row r="159" spans="1:9" x14ac:dyDescent="0.25">
      <c r="A159" s="2"/>
      <c r="B159" s="2"/>
      <c r="C159" s="2"/>
      <c r="D159" s="157"/>
      <c r="E159" s="157"/>
      <c r="F159" s="153"/>
      <c r="G159" s="154"/>
      <c r="H159" s="154"/>
      <c r="I159" s="154"/>
    </row>
    <row r="160" spans="1:9" x14ac:dyDescent="0.25">
      <c r="A160" s="2"/>
      <c r="B160" s="2"/>
      <c r="C160" s="2"/>
      <c r="D160" s="157"/>
      <c r="E160" s="157"/>
      <c r="F160" s="153"/>
      <c r="G160" s="154"/>
      <c r="H160" s="154"/>
      <c r="I160" s="154"/>
    </row>
    <row r="161" spans="1:9" x14ac:dyDescent="0.25">
      <c r="A161" s="2"/>
      <c r="B161" s="2"/>
      <c r="C161" s="2"/>
      <c r="D161" s="157"/>
      <c r="E161" s="157"/>
      <c r="F161" s="153"/>
      <c r="G161" s="154"/>
      <c r="H161" s="154"/>
      <c r="I161" s="154"/>
    </row>
    <row r="162" spans="1:9" x14ac:dyDescent="0.25">
      <c r="A162" s="2"/>
      <c r="B162" s="2"/>
      <c r="C162" s="2"/>
      <c r="D162" s="157"/>
      <c r="E162" s="157"/>
      <c r="F162" s="153"/>
      <c r="G162" s="154"/>
      <c r="H162" s="154"/>
      <c r="I162" s="154"/>
    </row>
    <row r="163" spans="1:9" x14ac:dyDescent="0.25">
      <c r="A163" s="2"/>
      <c r="B163" s="2"/>
      <c r="C163" s="2"/>
      <c r="D163" s="157"/>
      <c r="E163" s="157"/>
      <c r="F163" s="153"/>
      <c r="G163" s="154"/>
      <c r="H163" s="154"/>
      <c r="I163" s="154"/>
    </row>
    <row r="164" spans="1:9" x14ac:dyDescent="0.25">
      <c r="A164" s="2"/>
      <c r="B164" s="2"/>
      <c r="C164" s="2"/>
      <c r="D164" s="157"/>
      <c r="E164" s="157"/>
      <c r="F164" s="153"/>
      <c r="G164" s="154"/>
      <c r="H164" s="154"/>
      <c r="I164" s="154"/>
    </row>
    <row r="165" spans="1:9" x14ac:dyDescent="0.25">
      <c r="A165" s="2"/>
      <c r="B165" s="2"/>
      <c r="C165" s="2"/>
      <c r="D165" s="157"/>
      <c r="E165" s="157"/>
      <c r="F165" s="153"/>
      <c r="G165" s="154"/>
      <c r="H165" s="154"/>
      <c r="I165" s="154"/>
    </row>
    <row r="166" spans="1:9" x14ac:dyDescent="0.25">
      <c r="A166" s="2"/>
      <c r="B166" s="2"/>
      <c r="C166" s="2"/>
      <c r="D166" s="157"/>
      <c r="E166" s="157"/>
      <c r="F166" s="153"/>
      <c r="G166" s="154"/>
      <c r="H166" s="154"/>
      <c r="I166" s="154"/>
    </row>
    <row r="167" spans="1:9" x14ac:dyDescent="0.25">
      <c r="A167" s="2"/>
      <c r="B167" s="2"/>
      <c r="C167" s="2"/>
      <c r="D167" s="157"/>
      <c r="E167" s="157"/>
      <c r="F167" s="153"/>
      <c r="G167" s="154"/>
      <c r="H167" s="154"/>
      <c r="I167" s="154"/>
    </row>
    <row r="168" spans="1:9" x14ac:dyDescent="0.25">
      <c r="A168" s="2"/>
      <c r="B168" s="2"/>
      <c r="C168" s="2"/>
      <c r="D168" s="157"/>
      <c r="E168" s="157"/>
      <c r="F168" s="153"/>
      <c r="G168" s="154"/>
      <c r="H168" s="154"/>
      <c r="I168" s="154"/>
    </row>
    <row r="169" spans="1:9" x14ac:dyDescent="0.25">
      <c r="A169" s="2"/>
      <c r="B169" s="2"/>
      <c r="C169" s="2"/>
      <c r="D169" s="157"/>
      <c r="E169" s="157"/>
      <c r="F169" s="153"/>
      <c r="G169" s="154"/>
      <c r="H169" s="154"/>
      <c r="I169" s="154"/>
    </row>
    <row r="170" spans="1:9" x14ac:dyDescent="0.25">
      <c r="A170" s="2"/>
      <c r="B170" s="2"/>
      <c r="C170" s="2"/>
      <c r="D170" s="157"/>
      <c r="E170" s="157"/>
      <c r="F170" s="153"/>
      <c r="G170" s="154"/>
      <c r="H170" s="154"/>
      <c r="I170" s="154"/>
    </row>
    <row r="171" spans="1:9" x14ac:dyDescent="0.25">
      <c r="A171" s="2"/>
      <c r="B171" s="2"/>
      <c r="C171" s="2"/>
      <c r="D171" s="157"/>
      <c r="E171" s="157"/>
      <c r="F171" s="153"/>
      <c r="G171" s="154"/>
      <c r="H171" s="154"/>
      <c r="I171" s="154"/>
    </row>
    <row r="172" spans="1:9" x14ac:dyDescent="0.25">
      <c r="A172" s="2"/>
      <c r="B172" s="2"/>
      <c r="C172" s="2"/>
      <c r="D172" s="157"/>
      <c r="E172" s="157"/>
      <c r="F172" s="153"/>
      <c r="G172" s="154"/>
      <c r="H172" s="154"/>
      <c r="I172" s="154"/>
    </row>
    <row r="173" spans="1:9" x14ac:dyDescent="0.25">
      <c r="A173" s="2"/>
      <c r="B173" s="2"/>
      <c r="C173" s="2"/>
      <c r="D173" s="157"/>
      <c r="E173" s="157"/>
      <c r="F173" s="153"/>
      <c r="G173" s="154"/>
      <c r="H173" s="154"/>
      <c r="I173" s="154"/>
    </row>
    <row r="174" spans="1:9" x14ac:dyDescent="0.25">
      <c r="A174" s="2"/>
      <c r="B174" s="2"/>
      <c r="C174" s="2"/>
      <c r="D174" s="157"/>
      <c r="E174" s="157"/>
      <c r="F174" s="153"/>
      <c r="G174" s="154"/>
      <c r="H174" s="154"/>
      <c r="I174" s="154"/>
    </row>
    <row r="175" spans="1:9" x14ac:dyDescent="0.25">
      <c r="A175" s="2"/>
      <c r="B175" s="2"/>
      <c r="C175" s="2"/>
      <c r="D175" s="157"/>
      <c r="E175" s="157"/>
      <c r="F175" s="153"/>
      <c r="G175" s="154"/>
      <c r="H175" s="154"/>
      <c r="I175" s="154"/>
    </row>
    <row r="176" spans="1:9" x14ac:dyDescent="0.25">
      <c r="A176" s="2"/>
      <c r="B176" s="2"/>
      <c r="C176" s="2"/>
      <c r="D176" s="157"/>
      <c r="E176" s="157"/>
      <c r="F176" s="153"/>
      <c r="G176" s="154"/>
      <c r="H176" s="154"/>
      <c r="I176" s="154"/>
    </row>
    <row r="177" spans="1:9" x14ac:dyDescent="0.25">
      <c r="A177" s="2"/>
      <c r="B177" s="2"/>
      <c r="C177" s="2"/>
      <c r="D177" s="157"/>
      <c r="E177" s="157"/>
      <c r="F177" s="153"/>
      <c r="G177" s="154"/>
      <c r="H177" s="154"/>
      <c r="I177" s="154"/>
    </row>
    <row r="178" spans="1:9" x14ac:dyDescent="0.25">
      <c r="A178" s="2"/>
      <c r="B178" s="2"/>
      <c r="C178" s="2"/>
      <c r="D178" s="157"/>
      <c r="E178" s="157"/>
      <c r="F178" s="153"/>
      <c r="G178" s="154"/>
      <c r="H178" s="154"/>
      <c r="I178" s="154"/>
    </row>
    <row r="179" spans="1:9" x14ac:dyDescent="0.25">
      <c r="A179" s="2"/>
      <c r="B179" s="2"/>
      <c r="C179" s="2"/>
      <c r="D179" s="157"/>
      <c r="E179" s="157"/>
      <c r="F179" s="153"/>
      <c r="G179" s="154"/>
      <c r="H179" s="154"/>
      <c r="I179" s="154"/>
    </row>
    <row r="180" spans="1:9" x14ac:dyDescent="0.25">
      <c r="A180" s="2"/>
      <c r="B180" s="2"/>
      <c r="C180" s="2"/>
      <c r="D180" s="157"/>
      <c r="E180" s="157"/>
      <c r="F180" s="153"/>
      <c r="G180" s="154"/>
      <c r="H180" s="154"/>
      <c r="I180" s="154"/>
    </row>
    <row r="181" spans="1:9" x14ac:dyDescent="0.25">
      <c r="A181" s="2"/>
      <c r="B181" s="2"/>
      <c r="C181" s="2"/>
      <c r="D181" s="157"/>
      <c r="E181" s="157"/>
      <c r="F181" s="153"/>
      <c r="G181" s="154"/>
      <c r="H181" s="154"/>
      <c r="I181" s="154"/>
    </row>
    <row r="182" spans="1:9" x14ac:dyDescent="0.25">
      <c r="A182" s="2"/>
      <c r="B182" s="2"/>
      <c r="C182" s="2"/>
      <c r="D182" s="157"/>
      <c r="E182" s="157"/>
      <c r="F182" s="153"/>
      <c r="G182" s="154"/>
      <c r="H182" s="154"/>
      <c r="I182" s="154"/>
    </row>
    <row r="183" spans="1:9" x14ac:dyDescent="0.25">
      <c r="A183" s="2"/>
      <c r="B183" s="2"/>
      <c r="C183" s="2"/>
      <c r="D183" s="157"/>
      <c r="E183" s="157"/>
      <c r="F183" s="153"/>
      <c r="G183" s="154"/>
      <c r="H183" s="154"/>
      <c r="I183" s="154"/>
    </row>
    <row r="184" spans="1:9" x14ac:dyDescent="0.25">
      <c r="A184" s="2"/>
      <c r="B184" s="2"/>
      <c r="C184" s="2"/>
      <c r="D184" s="157"/>
      <c r="E184" s="157"/>
      <c r="F184" s="153"/>
      <c r="G184" s="154"/>
      <c r="H184" s="154"/>
      <c r="I184" s="154"/>
    </row>
    <row r="185" spans="1:9" x14ac:dyDescent="0.25">
      <c r="A185" s="2"/>
      <c r="B185" s="2"/>
      <c r="C185" s="2"/>
      <c r="D185" s="157"/>
      <c r="E185" s="157"/>
      <c r="F185" s="153"/>
      <c r="G185" s="154"/>
      <c r="H185" s="154"/>
      <c r="I185" s="154"/>
    </row>
    <row r="186" spans="1:9" x14ac:dyDescent="0.25">
      <c r="A186" s="2"/>
      <c r="B186" s="2"/>
      <c r="C186" s="2"/>
      <c r="D186" s="157"/>
      <c r="E186" s="157"/>
      <c r="F186" s="153"/>
      <c r="G186" s="154"/>
      <c r="H186" s="154"/>
      <c r="I186" s="154"/>
    </row>
    <row r="187" spans="1:9" x14ac:dyDescent="0.25">
      <c r="A187" s="2"/>
      <c r="B187" s="2"/>
      <c r="C187" s="2"/>
      <c r="D187" s="157"/>
      <c r="E187" s="157"/>
      <c r="F187" s="153"/>
      <c r="G187" s="154"/>
      <c r="H187" s="154"/>
      <c r="I187" s="154"/>
    </row>
    <row r="188" spans="1:9" x14ac:dyDescent="0.25">
      <c r="A188" s="2"/>
      <c r="B188" s="2"/>
      <c r="C188" s="2"/>
      <c r="D188" s="157"/>
      <c r="E188" s="157"/>
      <c r="F188" s="153"/>
      <c r="G188" s="154"/>
      <c r="H188" s="154"/>
      <c r="I188" s="154"/>
    </row>
    <row r="189" spans="1:9" x14ac:dyDescent="0.25">
      <c r="A189" s="2"/>
      <c r="B189" s="2"/>
      <c r="C189" s="2"/>
      <c r="D189" s="157"/>
      <c r="E189" s="157"/>
      <c r="F189" s="153"/>
      <c r="G189" s="154"/>
      <c r="H189" s="154"/>
      <c r="I189" s="154"/>
    </row>
    <row r="190" spans="1:9" x14ac:dyDescent="0.25">
      <c r="A190" s="2"/>
      <c r="B190" s="2"/>
      <c r="C190" s="2"/>
      <c r="D190" s="157"/>
      <c r="E190" s="157"/>
      <c r="F190" s="153"/>
      <c r="G190" s="154"/>
      <c r="H190" s="154"/>
      <c r="I190" s="154"/>
    </row>
    <row r="191" spans="1:9" x14ac:dyDescent="0.25">
      <c r="A191" s="2"/>
      <c r="B191" s="2"/>
      <c r="C191" s="2"/>
      <c r="D191" s="157"/>
      <c r="E191" s="157"/>
      <c r="F191" s="153"/>
      <c r="G191" s="154"/>
      <c r="H191" s="154"/>
      <c r="I191" s="154"/>
    </row>
    <row r="192" spans="1:9" x14ac:dyDescent="0.25">
      <c r="A192" s="2"/>
      <c r="B192" s="2"/>
      <c r="C192" s="2"/>
      <c r="D192" s="157"/>
      <c r="E192" s="157"/>
      <c r="F192" s="153"/>
      <c r="G192" s="154"/>
      <c r="H192" s="154"/>
      <c r="I192" s="154"/>
    </row>
    <row r="193" spans="1:9" x14ac:dyDescent="0.25">
      <c r="A193" s="2"/>
      <c r="B193" s="2"/>
      <c r="C193" s="2"/>
      <c r="D193" s="157"/>
      <c r="E193" s="157"/>
      <c r="F193" s="153"/>
      <c r="G193" s="154"/>
      <c r="H193" s="154"/>
      <c r="I193" s="154"/>
    </row>
    <row r="194" spans="1:9" x14ac:dyDescent="0.25">
      <c r="A194" s="2"/>
      <c r="B194" s="2"/>
      <c r="C194" s="2"/>
      <c r="D194" s="157"/>
      <c r="E194" s="157"/>
      <c r="F194" s="153"/>
      <c r="G194" s="154"/>
      <c r="H194" s="154"/>
      <c r="I194" s="154"/>
    </row>
    <row r="195" spans="1:9" x14ac:dyDescent="0.25">
      <c r="A195" s="2"/>
      <c r="B195" s="2"/>
      <c r="C195" s="2"/>
      <c r="D195" s="157"/>
      <c r="E195" s="157"/>
      <c r="F195" s="153"/>
      <c r="G195" s="154"/>
      <c r="H195" s="154"/>
      <c r="I195" s="154"/>
    </row>
    <row r="196" spans="1:9" x14ac:dyDescent="0.25">
      <c r="A196" s="2"/>
      <c r="B196" s="2"/>
      <c r="C196" s="2"/>
      <c r="D196" s="157"/>
      <c r="E196" s="157"/>
      <c r="F196" s="153"/>
      <c r="G196" s="154"/>
      <c r="H196" s="154"/>
      <c r="I196" s="154"/>
    </row>
    <row r="197" spans="1:9" x14ac:dyDescent="0.25">
      <c r="A197" s="2"/>
      <c r="B197" s="2"/>
      <c r="C197" s="2"/>
      <c r="D197" s="157"/>
      <c r="E197" s="157"/>
      <c r="F197" s="153"/>
      <c r="G197" s="154"/>
      <c r="H197" s="154"/>
      <c r="I197" s="154"/>
    </row>
    <row r="198" spans="1:9" x14ac:dyDescent="0.25">
      <c r="A198" s="2"/>
      <c r="B198" s="2"/>
      <c r="C198" s="2"/>
      <c r="D198" s="157"/>
      <c r="E198" s="157"/>
      <c r="F198" s="153"/>
      <c r="G198" s="154"/>
      <c r="H198" s="154"/>
      <c r="I198" s="154"/>
    </row>
    <row r="199" spans="1:9" x14ac:dyDescent="0.25">
      <c r="A199" s="2"/>
      <c r="B199" s="2"/>
      <c r="C199" s="2"/>
      <c r="D199" s="157"/>
      <c r="E199" s="157"/>
      <c r="F199" s="153"/>
      <c r="G199" s="154"/>
      <c r="H199" s="154"/>
      <c r="I199" s="154"/>
    </row>
    <row r="200" spans="1:9" x14ac:dyDescent="0.25">
      <c r="A200" s="2"/>
      <c r="B200" s="2"/>
      <c r="C200" s="2"/>
      <c r="D200" s="157"/>
      <c r="E200" s="157"/>
      <c r="F200" s="153"/>
      <c r="G200" s="154"/>
      <c r="H200" s="154"/>
      <c r="I200" s="154"/>
    </row>
    <row r="201" spans="1:9" x14ac:dyDescent="0.25">
      <c r="A201" s="2"/>
      <c r="B201" s="2"/>
      <c r="C201" s="2"/>
      <c r="D201" s="157"/>
      <c r="E201" s="157"/>
      <c r="F201" s="153"/>
      <c r="G201" s="154"/>
      <c r="H201" s="154"/>
      <c r="I201" s="154"/>
    </row>
    <row r="202" spans="1:9" x14ac:dyDescent="0.25">
      <c r="A202" s="2"/>
      <c r="B202" s="2"/>
      <c r="C202" s="2"/>
      <c r="D202" s="157"/>
      <c r="E202" s="157"/>
      <c r="F202" s="153"/>
      <c r="G202" s="154"/>
      <c r="H202" s="154"/>
      <c r="I202" s="154"/>
    </row>
    <row r="203" spans="1:9" x14ac:dyDescent="0.25">
      <c r="A203" s="2"/>
      <c r="B203" s="2"/>
      <c r="C203" s="2"/>
      <c r="D203" s="157"/>
      <c r="E203" s="157"/>
      <c r="F203" s="153"/>
      <c r="G203" s="154"/>
      <c r="H203" s="154"/>
      <c r="I203" s="154"/>
    </row>
    <row r="204" spans="1:9" x14ac:dyDescent="0.25">
      <c r="A204" s="2"/>
      <c r="B204" s="2"/>
      <c r="C204" s="2"/>
      <c r="D204" s="157"/>
      <c r="E204" s="157"/>
      <c r="F204" s="153"/>
      <c r="G204" s="154"/>
      <c r="H204" s="154"/>
      <c r="I204" s="154"/>
    </row>
    <row r="205" spans="1:9" x14ac:dyDescent="0.25">
      <c r="A205" s="2"/>
      <c r="B205" s="2"/>
      <c r="C205" s="2"/>
      <c r="D205" s="157"/>
      <c r="E205" s="157"/>
      <c r="F205" s="153"/>
      <c r="G205" s="154"/>
      <c r="H205" s="154"/>
      <c r="I205" s="154"/>
    </row>
    <row r="206" spans="1:9" x14ac:dyDescent="0.25">
      <c r="A206" s="2"/>
      <c r="B206" s="2"/>
      <c r="C206" s="2"/>
      <c r="D206" s="157"/>
      <c r="E206" s="157"/>
      <c r="F206" s="153"/>
      <c r="G206" s="154"/>
      <c r="H206" s="154"/>
      <c r="I206" s="154"/>
    </row>
    <row r="207" spans="1:9" x14ac:dyDescent="0.25">
      <c r="A207" s="2"/>
      <c r="B207" s="2"/>
      <c r="C207" s="2"/>
      <c r="D207" s="157"/>
      <c r="E207" s="157"/>
      <c r="F207" s="153"/>
      <c r="G207" s="154"/>
      <c r="H207" s="154"/>
      <c r="I207" s="154"/>
    </row>
    <row r="208" spans="1:9" x14ac:dyDescent="0.25">
      <c r="A208" s="2"/>
      <c r="B208" s="2"/>
      <c r="C208" s="2"/>
      <c r="D208" s="157"/>
      <c r="E208" s="157"/>
      <c r="F208" s="153"/>
      <c r="G208" s="154"/>
      <c r="H208" s="154"/>
      <c r="I208" s="154"/>
    </row>
    <row r="209" spans="1:9" x14ac:dyDescent="0.25">
      <c r="A209" s="2"/>
      <c r="B209" s="2"/>
      <c r="C209" s="2"/>
      <c r="D209" s="157"/>
      <c r="E209" s="157"/>
      <c r="F209" s="153"/>
      <c r="G209" s="154"/>
      <c r="H209" s="154"/>
      <c r="I209" s="154"/>
    </row>
    <row r="210" spans="1:9" x14ac:dyDescent="0.25">
      <c r="A210" s="2"/>
      <c r="B210" s="2"/>
      <c r="C210" s="2"/>
      <c r="D210" s="157"/>
      <c r="E210" s="157"/>
      <c r="F210" s="153"/>
      <c r="G210" s="154"/>
      <c r="H210" s="154"/>
      <c r="I210" s="154"/>
    </row>
    <row r="211" spans="1:9" x14ac:dyDescent="0.25">
      <c r="A211" s="2"/>
      <c r="B211" s="2"/>
      <c r="C211" s="2"/>
      <c r="D211" s="157"/>
      <c r="E211" s="157"/>
      <c r="F211" s="153"/>
      <c r="G211" s="154"/>
      <c r="H211" s="154"/>
      <c r="I211" s="154"/>
    </row>
    <row r="212" spans="1:9" x14ac:dyDescent="0.25">
      <c r="A212" s="2"/>
      <c r="B212" s="2"/>
      <c r="C212" s="2"/>
      <c r="D212" s="157"/>
      <c r="E212" s="157"/>
      <c r="F212" s="153"/>
      <c r="G212" s="154"/>
      <c r="H212" s="154"/>
      <c r="I212" s="154"/>
    </row>
    <row r="213" spans="1:9" x14ac:dyDescent="0.25">
      <c r="A213" s="2"/>
      <c r="B213" s="2"/>
      <c r="C213" s="2"/>
      <c r="D213" s="157"/>
      <c r="E213" s="157"/>
      <c r="F213" s="153"/>
      <c r="G213" s="154"/>
      <c r="H213" s="154"/>
      <c r="I213" s="154"/>
    </row>
    <row r="214" spans="1:9" x14ac:dyDescent="0.25">
      <c r="A214" s="2"/>
      <c r="B214" s="2"/>
      <c r="C214" s="2"/>
      <c r="D214" s="157"/>
      <c r="E214" s="157"/>
      <c r="F214" s="153"/>
      <c r="G214" s="154"/>
      <c r="H214" s="154"/>
      <c r="I214" s="154"/>
    </row>
    <row r="215" spans="1:9" x14ac:dyDescent="0.25">
      <c r="A215" s="2"/>
      <c r="B215" s="2"/>
      <c r="C215" s="2"/>
      <c r="D215" s="157"/>
      <c r="E215" s="157"/>
      <c r="F215" s="153"/>
      <c r="G215" s="154"/>
      <c r="H215" s="154"/>
      <c r="I215" s="154"/>
    </row>
    <row r="216" spans="1:9" x14ac:dyDescent="0.25">
      <c r="A216" s="2"/>
      <c r="B216" s="2"/>
      <c r="C216" s="2"/>
      <c r="D216" s="157"/>
      <c r="E216" s="157"/>
      <c r="F216" s="153"/>
      <c r="G216" s="154"/>
      <c r="H216" s="154"/>
      <c r="I216" s="154"/>
    </row>
    <row r="217" spans="1:9" x14ac:dyDescent="0.25">
      <c r="A217" s="2"/>
      <c r="B217" s="2"/>
      <c r="C217" s="2"/>
      <c r="D217" s="157"/>
      <c r="E217" s="157"/>
      <c r="F217" s="153"/>
      <c r="G217" s="154"/>
      <c r="H217" s="154"/>
      <c r="I217" s="154"/>
    </row>
    <row r="218" spans="1:9" x14ac:dyDescent="0.25">
      <c r="A218" s="2"/>
      <c r="B218" s="2"/>
      <c r="C218" s="2"/>
      <c r="D218" s="157"/>
      <c r="E218" s="157"/>
      <c r="F218" s="153"/>
      <c r="G218" s="154"/>
      <c r="H218" s="154"/>
      <c r="I218" s="154"/>
    </row>
    <row r="219" spans="1:9" x14ac:dyDescent="0.25">
      <c r="A219" s="2"/>
      <c r="B219" s="2"/>
      <c r="C219" s="2"/>
      <c r="D219" s="157"/>
      <c r="E219" s="157"/>
      <c r="F219" s="153"/>
      <c r="G219" s="154"/>
      <c r="H219" s="154"/>
      <c r="I219" s="154"/>
    </row>
    <row r="220" spans="1:9" x14ac:dyDescent="0.25">
      <c r="A220" s="2"/>
      <c r="B220" s="2"/>
      <c r="C220" s="2"/>
      <c r="D220" s="157"/>
      <c r="E220" s="157"/>
      <c r="F220" s="153"/>
      <c r="G220" s="154"/>
      <c r="H220" s="154"/>
      <c r="I220" s="154"/>
    </row>
    <row r="221" spans="1:9" x14ac:dyDescent="0.25">
      <c r="A221" s="2"/>
      <c r="B221" s="2"/>
      <c r="C221" s="2"/>
      <c r="D221" s="157"/>
      <c r="E221" s="157"/>
      <c r="F221" s="153"/>
      <c r="G221" s="154"/>
      <c r="H221" s="154"/>
      <c r="I221" s="154"/>
    </row>
    <row r="222" spans="1:9" x14ac:dyDescent="0.25">
      <c r="A222" s="2"/>
      <c r="B222" s="2"/>
      <c r="C222" s="2"/>
      <c r="D222" s="157"/>
      <c r="E222" s="157"/>
      <c r="F222" s="153"/>
      <c r="G222" s="154"/>
      <c r="H222" s="154"/>
      <c r="I222" s="154"/>
    </row>
    <row r="223" spans="1:9" x14ac:dyDescent="0.25">
      <c r="A223" s="2"/>
      <c r="B223" s="2"/>
      <c r="C223" s="2"/>
      <c r="D223" s="157"/>
      <c r="E223" s="157"/>
      <c r="F223" s="153"/>
      <c r="G223" s="154"/>
      <c r="H223" s="154"/>
      <c r="I223" s="154"/>
    </row>
    <row r="224" spans="1:9" x14ac:dyDescent="0.25">
      <c r="A224" s="2"/>
      <c r="B224" s="2"/>
      <c r="C224" s="2"/>
      <c r="D224" s="157"/>
      <c r="E224" s="157"/>
      <c r="F224" s="153"/>
      <c r="G224" s="154"/>
      <c r="H224" s="154"/>
      <c r="I224" s="154"/>
    </row>
    <row r="225" spans="1:9" x14ac:dyDescent="0.25">
      <c r="A225" s="2"/>
      <c r="B225" s="2"/>
      <c r="C225" s="2"/>
      <c r="D225" s="157"/>
      <c r="E225" s="157"/>
      <c r="F225" s="153"/>
      <c r="G225" s="154"/>
      <c r="H225" s="154"/>
      <c r="I225" s="154"/>
    </row>
    <row r="226" spans="1:9" x14ac:dyDescent="0.25">
      <c r="A226" s="2"/>
      <c r="B226" s="2"/>
      <c r="C226" s="2"/>
      <c r="D226" s="157"/>
      <c r="E226" s="157"/>
      <c r="F226" s="153"/>
      <c r="G226" s="154"/>
      <c r="H226" s="154"/>
      <c r="I226" s="154"/>
    </row>
    <row r="227" spans="1:9" x14ac:dyDescent="0.25">
      <c r="A227" s="2"/>
      <c r="B227" s="2"/>
      <c r="C227" s="2"/>
      <c r="D227" s="157"/>
      <c r="E227" s="157"/>
      <c r="F227" s="153"/>
      <c r="G227" s="154"/>
      <c r="H227" s="154"/>
      <c r="I227" s="154"/>
    </row>
    <row r="228" spans="1:9" x14ac:dyDescent="0.25">
      <c r="A228" s="2"/>
      <c r="B228" s="2"/>
      <c r="C228" s="2"/>
      <c r="D228" s="157"/>
      <c r="E228" s="157"/>
      <c r="F228" s="153"/>
      <c r="G228" s="154"/>
      <c r="H228" s="154"/>
      <c r="I228" s="154"/>
    </row>
    <row r="229" spans="1:9" x14ac:dyDescent="0.25">
      <c r="A229" s="2"/>
      <c r="B229" s="2"/>
      <c r="C229" s="2"/>
      <c r="D229" s="157"/>
      <c r="E229" s="157"/>
      <c r="F229" s="153"/>
      <c r="G229" s="154"/>
      <c r="H229" s="154"/>
      <c r="I229" s="154"/>
    </row>
    <row r="230" spans="1:9" x14ac:dyDescent="0.25">
      <c r="A230" s="2"/>
      <c r="B230" s="2"/>
      <c r="C230" s="2"/>
      <c r="D230" s="157"/>
      <c r="E230" s="157"/>
      <c r="F230" s="153"/>
      <c r="G230" s="154"/>
      <c r="H230" s="154"/>
      <c r="I230" s="154"/>
    </row>
    <row r="231" spans="1:9" x14ac:dyDescent="0.25">
      <c r="A231" s="2"/>
      <c r="B231" s="2"/>
      <c r="C231" s="2"/>
      <c r="D231" s="157"/>
      <c r="E231" s="157"/>
      <c r="F231" s="153"/>
      <c r="G231" s="154"/>
      <c r="H231" s="154"/>
      <c r="I231" s="154"/>
    </row>
    <row r="232" spans="1:9" x14ac:dyDescent="0.25">
      <c r="A232" s="2"/>
      <c r="B232" s="2"/>
      <c r="C232" s="2"/>
      <c r="D232" s="157"/>
      <c r="E232" s="157"/>
      <c r="F232" s="153"/>
      <c r="G232" s="154"/>
      <c r="H232" s="154"/>
      <c r="I232" s="154"/>
    </row>
    <row r="233" spans="1:9" x14ac:dyDescent="0.25">
      <c r="A233" s="2"/>
      <c r="B233" s="2"/>
      <c r="C233" s="2"/>
      <c r="D233" s="157"/>
      <c r="E233" s="157"/>
      <c r="F233" s="153"/>
      <c r="G233" s="154"/>
      <c r="H233" s="154"/>
      <c r="I233" s="154"/>
    </row>
    <row r="234" spans="1:9" x14ac:dyDescent="0.25">
      <c r="A234" s="2"/>
      <c r="B234" s="2"/>
      <c r="C234" s="2"/>
      <c r="D234" s="157"/>
      <c r="E234" s="157"/>
      <c r="F234" s="153"/>
      <c r="G234" s="154"/>
      <c r="H234" s="154"/>
      <c r="I234" s="154"/>
    </row>
    <row r="235" spans="1:9" x14ac:dyDescent="0.25">
      <c r="A235" s="2"/>
      <c r="B235" s="2"/>
      <c r="C235" s="2"/>
      <c r="D235" s="157"/>
      <c r="E235" s="157"/>
      <c r="F235" s="153"/>
      <c r="G235" s="154"/>
      <c r="H235" s="154"/>
      <c r="I235" s="154"/>
    </row>
    <row r="236" spans="1:9" x14ac:dyDescent="0.25">
      <c r="A236" s="2"/>
      <c r="B236" s="2"/>
      <c r="C236" s="2"/>
      <c r="D236" s="157"/>
      <c r="E236" s="157"/>
      <c r="F236" s="153"/>
      <c r="G236" s="154"/>
      <c r="H236" s="154"/>
      <c r="I236" s="154"/>
    </row>
    <row r="237" spans="1:9" x14ac:dyDescent="0.25">
      <c r="A237" s="2"/>
      <c r="B237" s="2"/>
      <c r="C237" s="2"/>
      <c r="D237" s="157"/>
      <c r="E237" s="157"/>
      <c r="F237" s="153"/>
      <c r="G237" s="154"/>
      <c r="H237" s="154"/>
      <c r="I237" s="154"/>
    </row>
    <row r="238" spans="1:9" x14ac:dyDescent="0.25">
      <c r="A238" s="2"/>
      <c r="B238" s="2"/>
      <c r="C238" s="2"/>
      <c r="D238" s="157"/>
      <c r="E238" s="157"/>
      <c r="F238" s="153"/>
      <c r="G238" s="154"/>
      <c r="H238" s="154"/>
      <c r="I238" s="154"/>
    </row>
    <row r="239" spans="1:9" x14ac:dyDescent="0.25">
      <c r="A239" s="2"/>
      <c r="B239" s="2"/>
      <c r="C239" s="2"/>
      <c r="D239" s="157"/>
      <c r="E239" s="157"/>
      <c r="F239" s="153"/>
      <c r="G239" s="154"/>
      <c r="H239" s="154"/>
      <c r="I239" s="154"/>
    </row>
    <row r="240" spans="1:9" x14ac:dyDescent="0.25">
      <c r="A240" s="2"/>
      <c r="B240" s="2"/>
      <c r="C240" s="2"/>
      <c r="D240" s="157"/>
      <c r="E240" s="157"/>
      <c r="F240" s="153"/>
      <c r="G240" s="154"/>
      <c r="H240" s="154"/>
      <c r="I240" s="154"/>
    </row>
    <row r="241" spans="1:9" x14ac:dyDescent="0.25">
      <c r="A241" s="2"/>
      <c r="B241" s="2"/>
      <c r="C241" s="2"/>
      <c r="D241" s="157"/>
      <c r="E241" s="157"/>
      <c r="F241" s="153"/>
      <c r="G241" s="154"/>
      <c r="H241" s="154"/>
      <c r="I241" s="154"/>
    </row>
    <row r="242" spans="1:9" x14ac:dyDescent="0.25">
      <c r="A242" s="2"/>
      <c r="B242" s="2"/>
      <c r="C242" s="2"/>
      <c r="D242" s="157"/>
      <c r="E242" s="157"/>
      <c r="F242" s="153"/>
      <c r="G242" s="154"/>
      <c r="H242" s="154"/>
      <c r="I242" s="154"/>
    </row>
    <row r="243" spans="1:9" x14ac:dyDescent="0.25">
      <c r="A243" s="2"/>
      <c r="B243" s="2"/>
      <c r="C243" s="2"/>
      <c r="D243" s="157"/>
      <c r="E243" s="157"/>
      <c r="F243" s="153"/>
      <c r="G243" s="154"/>
      <c r="H243" s="154"/>
      <c r="I243" s="154"/>
    </row>
    <row r="244" spans="1:9" x14ac:dyDescent="0.25">
      <c r="A244" s="2"/>
      <c r="B244" s="2"/>
      <c r="C244" s="2"/>
      <c r="D244" s="157"/>
      <c r="E244" s="157"/>
      <c r="F244" s="153"/>
      <c r="G244" s="154"/>
      <c r="H244" s="154"/>
      <c r="I244" s="154"/>
    </row>
    <row r="245" spans="1:9" x14ac:dyDescent="0.25">
      <c r="A245" s="2"/>
      <c r="B245" s="2"/>
      <c r="C245" s="2"/>
      <c r="D245" s="157"/>
      <c r="E245" s="157"/>
      <c r="F245" s="153"/>
      <c r="G245" s="154"/>
      <c r="H245" s="154"/>
      <c r="I245" s="154"/>
    </row>
    <row r="246" spans="1:9" x14ac:dyDescent="0.25">
      <c r="A246" s="2"/>
      <c r="B246" s="2"/>
      <c r="C246" s="2"/>
      <c r="D246" s="157"/>
      <c r="E246" s="157"/>
      <c r="F246" s="153"/>
      <c r="G246" s="154"/>
      <c r="H246" s="154"/>
      <c r="I246" s="154"/>
    </row>
    <row r="247" spans="1:9" x14ac:dyDescent="0.25">
      <c r="A247" s="2"/>
      <c r="B247" s="2"/>
      <c r="C247" s="2"/>
      <c r="D247" s="157"/>
      <c r="E247" s="157"/>
      <c r="F247" s="153"/>
      <c r="G247" s="154"/>
      <c r="H247" s="154"/>
      <c r="I247" s="154"/>
    </row>
    <row r="248" spans="1:9" x14ac:dyDescent="0.25">
      <c r="A248" s="2"/>
      <c r="B248" s="2"/>
      <c r="C248" s="2"/>
      <c r="D248" s="157"/>
      <c r="E248" s="157"/>
      <c r="F248" s="153"/>
      <c r="G248" s="154"/>
      <c r="H248" s="154"/>
      <c r="I248" s="154"/>
    </row>
    <row r="249" spans="1:9" x14ac:dyDescent="0.25">
      <c r="A249" s="2"/>
      <c r="B249" s="2"/>
      <c r="C249" s="2"/>
      <c r="D249" s="157"/>
      <c r="E249" s="157"/>
      <c r="F249" s="153"/>
      <c r="G249" s="154"/>
      <c r="H249" s="154"/>
      <c r="I249" s="154"/>
    </row>
    <row r="250" spans="1:9" x14ac:dyDescent="0.25">
      <c r="A250" s="2"/>
      <c r="B250" s="2"/>
      <c r="C250" s="2"/>
      <c r="D250" s="157"/>
      <c r="E250" s="157"/>
      <c r="F250" s="153"/>
      <c r="G250" s="154"/>
      <c r="H250" s="154"/>
      <c r="I250" s="154"/>
    </row>
    <row r="251" spans="1:9" x14ac:dyDescent="0.25">
      <c r="A251" s="2"/>
      <c r="B251" s="2"/>
      <c r="C251" s="2"/>
      <c r="D251" s="157"/>
      <c r="E251" s="157"/>
      <c r="F251" s="153"/>
      <c r="G251" s="154"/>
      <c r="H251" s="154"/>
      <c r="I251" s="154"/>
    </row>
    <row r="252" spans="1:9" x14ac:dyDescent="0.25">
      <c r="A252" s="2"/>
      <c r="B252" s="2"/>
      <c r="C252" s="2"/>
      <c r="D252" s="157"/>
      <c r="E252" s="157"/>
      <c r="F252" s="153"/>
      <c r="G252" s="154"/>
      <c r="H252" s="154"/>
      <c r="I252" s="154"/>
    </row>
    <row r="253" spans="1:9" x14ac:dyDescent="0.25">
      <c r="A253" s="2"/>
      <c r="B253" s="2"/>
      <c r="C253" s="2"/>
      <c r="D253" s="157"/>
      <c r="E253" s="157"/>
      <c r="F253" s="153"/>
      <c r="G253" s="154"/>
      <c r="H253" s="154"/>
      <c r="I253" s="154"/>
    </row>
    <row r="254" spans="1:9" x14ac:dyDescent="0.25">
      <c r="A254" s="2"/>
      <c r="B254" s="2"/>
      <c r="C254" s="2"/>
      <c r="D254" s="157"/>
      <c r="E254" s="157"/>
      <c r="F254" s="153"/>
      <c r="G254" s="154"/>
      <c r="H254" s="154"/>
      <c r="I254" s="154"/>
    </row>
    <row r="255" spans="1:9" x14ac:dyDescent="0.25">
      <c r="A255" s="2"/>
      <c r="B255" s="2"/>
      <c r="C255" s="2"/>
      <c r="D255" s="157"/>
      <c r="E255" s="157"/>
      <c r="F255" s="153"/>
      <c r="G255" s="154"/>
      <c r="H255" s="154"/>
      <c r="I255" s="154"/>
    </row>
    <row r="256" spans="1:9" x14ac:dyDescent="0.25">
      <c r="A256" s="2"/>
      <c r="B256" s="2"/>
      <c r="C256" s="2"/>
      <c r="D256" s="157"/>
      <c r="E256" s="157"/>
      <c r="F256" s="153"/>
      <c r="G256" s="154"/>
      <c r="H256" s="154"/>
      <c r="I256" s="154"/>
    </row>
    <row r="257" spans="1:9" x14ac:dyDescent="0.25">
      <c r="A257" s="2"/>
      <c r="B257" s="2"/>
      <c r="C257" s="2"/>
      <c r="D257" s="157"/>
      <c r="E257" s="157"/>
      <c r="F257" s="153"/>
      <c r="G257" s="154"/>
      <c r="H257" s="154"/>
      <c r="I257" s="154"/>
    </row>
    <row r="258" spans="1:9" x14ac:dyDescent="0.25">
      <c r="A258" s="2"/>
      <c r="B258" s="2"/>
      <c r="C258" s="2"/>
      <c r="D258" s="157"/>
      <c r="E258" s="157"/>
      <c r="F258" s="153"/>
      <c r="G258" s="154"/>
      <c r="H258" s="154"/>
      <c r="I258" s="154"/>
    </row>
    <row r="259" spans="1:9" x14ac:dyDescent="0.25">
      <c r="A259" s="2"/>
      <c r="B259" s="2"/>
      <c r="C259" s="2"/>
      <c r="D259" s="157"/>
      <c r="E259" s="157"/>
      <c r="F259" s="153"/>
      <c r="G259" s="154"/>
      <c r="H259" s="154"/>
      <c r="I259" s="154"/>
    </row>
    <row r="260" spans="1:9" x14ac:dyDescent="0.25">
      <c r="A260" s="2"/>
      <c r="B260" s="2"/>
      <c r="C260" s="2"/>
      <c r="D260" s="157"/>
      <c r="E260" s="157"/>
      <c r="F260" s="153"/>
      <c r="G260" s="154"/>
      <c r="H260" s="154"/>
      <c r="I260" s="154"/>
    </row>
    <row r="261" spans="1:9" x14ac:dyDescent="0.25">
      <c r="A261" s="2"/>
      <c r="B261" s="2"/>
      <c r="C261" s="2"/>
      <c r="D261" s="157"/>
      <c r="E261" s="157"/>
      <c r="F261" s="153"/>
      <c r="G261" s="154"/>
      <c r="H261" s="154"/>
      <c r="I261" s="154"/>
    </row>
    <row r="262" spans="1:9" x14ac:dyDescent="0.25">
      <c r="A262" s="2"/>
      <c r="B262" s="2"/>
      <c r="C262" s="2"/>
      <c r="D262" s="157"/>
      <c r="E262" s="157"/>
      <c r="F262" s="153"/>
      <c r="G262" s="154"/>
      <c r="H262" s="154"/>
      <c r="I262" s="154"/>
    </row>
    <row r="263" spans="1:9" x14ac:dyDescent="0.25">
      <c r="A263" s="2"/>
      <c r="B263" s="2"/>
      <c r="C263" s="2"/>
      <c r="D263" s="157"/>
      <c r="E263" s="157"/>
      <c r="F263" s="153"/>
      <c r="G263" s="154"/>
      <c r="H263" s="154"/>
      <c r="I263" s="154"/>
    </row>
    <row r="264" spans="1:9" x14ac:dyDescent="0.25">
      <c r="A264" s="2"/>
      <c r="B264" s="2"/>
      <c r="C264" s="2"/>
      <c r="D264" s="157"/>
      <c r="E264" s="157"/>
      <c r="F264" s="153"/>
      <c r="G264" s="154"/>
      <c r="H264" s="154"/>
      <c r="I264" s="154"/>
    </row>
    <row r="265" spans="1:9" x14ac:dyDescent="0.25">
      <c r="A265" s="2"/>
      <c r="B265" s="2"/>
      <c r="C265" s="2"/>
      <c r="D265" s="157"/>
      <c r="E265" s="157"/>
      <c r="F265" s="153"/>
      <c r="G265" s="154"/>
      <c r="H265" s="154"/>
      <c r="I265" s="154"/>
    </row>
    <row r="266" spans="1:9" x14ac:dyDescent="0.25">
      <c r="A266" s="2"/>
      <c r="B266" s="2"/>
      <c r="C266" s="2"/>
      <c r="D266" s="157"/>
      <c r="E266" s="157"/>
      <c r="F266" s="153"/>
      <c r="G266" s="154"/>
      <c r="H266" s="154"/>
      <c r="I266" s="154"/>
    </row>
    <row r="267" spans="1:9" x14ac:dyDescent="0.25">
      <c r="A267" s="2"/>
      <c r="B267" s="2"/>
      <c r="C267" s="2"/>
      <c r="D267" s="157"/>
      <c r="E267" s="157"/>
      <c r="F267" s="153"/>
      <c r="G267" s="154"/>
      <c r="H267" s="154"/>
      <c r="I267" s="154"/>
    </row>
    <row r="268" spans="1:9" x14ac:dyDescent="0.25">
      <c r="A268" s="2"/>
      <c r="B268" s="2"/>
      <c r="C268" s="2"/>
      <c r="D268" s="157"/>
      <c r="E268" s="157"/>
      <c r="F268" s="153"/>
      <c r="G268" s="154"/>
      <c r="H268" s="154"/>
      <c r="I268" s="154"/>
    </row>
    <row r="269" spans="1:9" x14ac:dyDescent="0.25">
      <c r="A269" s="2"/>
      <c r="B269" s="2"/>
      <c r="C269" s="2"/>
      <c r="D269" s="157"/>
      <c r="E269" s="157"/>
      <c r="F269" s="153"/>
      <c r="G269" s="154"/>
      <c r="H269" s="154"/>
      <c r="I269" s="154"/>
    </row>
    <row r="270" spans="1:9" x14ac:dyDescent="0.25">
      <c r="A270" s="2"/>
      <c r="B270" s="2"/>
      <c r="C270" s="2"/>
      <c r="D270" s="157"/>
      <c r="E270" s="157"/>
      <c r="F270" s="153"/>
      <c r="G270" s="154"/>
      <c r="H270" s="154"/>
      <c r="I270" s="154"/>
    </row>
    <row r="271" spans="1:9" x14ac:dyDescent="0.25">
      <c r="A271" s="2"/>
      <c r="B271" s="2"/>
      <c r="C271" s="2"/>
      <c r="D271" s="157"/>
      <c r="E271" s="157"/>
      <c r="F271" s="153"/>
      <c r="G271" s="154"/>
      <c r="H271" s="154"/>
      <c r="I271" s="154"/>
    </row>
    <row r="272" spans="1:9" x14ac:dyDescent="0.25">
      <c r="A272" s="2"/>
      <c r="B272" s="2"/>
      <c r="C272" s="2"/>
      <c r="D272" s="157"/>
      <c r="E272" s="157"/>
      <c r="F272" s="153"/>
      <c r="G272" s="154"/>
      <c r="H272" s="154"/>
      <c r="I272" s="154"/>
    </row>
    <row r="273" spans="1:9" x14ac:dyDescent="0.25">
      <c r="A273" s="2"/>
      <c r="B273" s="2"/>
      <c r="C273" s="2"/>
      <c r="D273" s="157"/>
      <c r="E273" s="157"/>
      <c r="F273" s="153"/>
      <c r="G273" s="154"/>
      <c r="H273" s="154"/>
      <c r="I273" s="154"/>
    </row>
    <row r="274" spans="1:9" x14ac:dyDescent="0.25">
      <c r="A274" s="2"/>
      <c r="B274" s="2"/>
      <c r="C274" s="2"/>
      <c r="D274" s="157"/>
      <c r="E274" s="157"/>
      <c r="F274" s="153"/>
      <c r="G274" s="154"/>
      <c r="H274" s="154"/>
      <c r="I274" s="154"/>
    </row>
    <row r="275" spans="1:9" x14ac:dyDescent="0.25">
      <c r="A275" s="2"/>
      <c r="B275" s="2"/>
      <c r="C275" s="2"/>
      <c r="D275" s="157"/>
      <c r="E275" s="157"/>
      <c r="F275" s="153"/>
      <c r="G275" s="154"/>
      <c r="H275" s="154"/>
      <c r="I275" s="154"/>
    </row>
    <row r="276" spans="1:9" x14ac:dyDescent="0.25">
      <c r="A276" s="2"/>
      <c r="B276" s="2"/>
      <c r="C276" s="2"/>
      <c r="D276" s="157"/>
      <c r="E276" s="157"/>
      <c r="F276" s="153"/>
      <c r="G276" s="154"/>
      <c r="H276" s="154"/>
      <c r="I276" s="154"/>
    </row>
    <row r="277" spans="1:9" x14ac:dyDescent="0.25">
      <c r="A277" s="2"/>
      <c r="B277" s="2"/>
      <c r="C277" s="2"/>
      <c r="D277" s="157"/>
      <c r="E277" s="157"/>
      <c r="F277" s="153"/>
      <c r="G277" s="154"/>
      <c r="H277" s="154"/>
      <c r="I277" s="154"/>
    </row>
    <row r="278" spans="1:9" x14ac:dyDescent="0.25">
      <c r="A278" s="2"/>
      <c r="B278" s="2"/>
      <c r="C278" s="2"/>
      <c r="D278" s="157"/>
      <c r="E278" s="157"/>
      <c r="F278" s="153"/>
      <c r="G278" s="154"/>
      <c r="H278" s="154"/>
      <c r="I278" s="154"/>
    </row>
    <row r="279" spans="1:9" x14ac:dyDescent="0.25">
      <c r="A279" s="2"/>
      <c r="B279" s="2"/>
      <c r="C279" s="2"/>
      <c r="D279" s="157"/>
      <c r="E279" s="157"/>
      <c r="F279" s="153"/>
      <c r="G279" s="154"/>
      <c r="H279" s="154"/>
      <c r="I279" s="154"/>
    </row>
    <row r="280" spans="1:9" x14ac:dyDescent="0.25">
      <c r="A280" s="2"/>
      <c r="B280" s="2"/>
      <c r="C280" s="2"/>
      <c r="D280" s="157"/>
      <c r="E280" s="157"/>
      <c r="F280" s="153"/>
      <c r="G280" s="154"/>
      <c r="H280" s="154"/>
      <c r="I280" s="154"/>
    </row>
    <row r="281" spans="1:9" x14ac:dyDescent="0.25">
      <c r="A281" s="2"/>
      <c r="B281" s="2"/>
      <c r="C281" s="2"/>
      <c r="D281" s="157"/>
      <c r="E281" s="157"/>
      <c r="F281" s="153"/>
      <c r="G281" s="154"/>
      <c r="H281" s="154"/>
      <c r="I281" s="154"/>
    </row>
    <row r="282" spans="1:9" x14ac:dyDescent="0.25">
      <c r="A282" s="2"/>
      <c r="B282" s="2"/>
      <c r="C282" s="2"/>
      <c r="D282" s="157"/>
      <c r="E282" s="157"/>
      <c r="F282" s="153"/>
      <c r="G282" s="154"/>
      <c r="H282" s="154"/>
      <c r="I282" s="154"/>
    </row>
    <row r="283" spans="1:9" x14ac:dyDescent="0.25">
      <c r="A283" s="2"/>
      <c r="B283" s="2"/>
      <c r="C283" s="2"/>
      <c r="D283" s="157"/>
      <c r="E283" s="157"/>
      <c r="F283" s="153"/>
      <c r="G283" s="154"/>
      <c r="H283" s="154"/>
      <c r="I283" s="154"/>
    </row>
    <row r="284" spans="1:9" x14ac:dyDescent="0.25">
      <c r="A284" s="2"/>
      <c r="B284" s="2"/>
      <c r="C284" s="2"/>
      <c r="D284" s="157"/>
      <c r="E284" s="157"/>
      <c r="F284" s="153"/>
      <c r="G284" s="154"/>
      <c r="H284" s="154"/>
      <c r="I284" s="154"/>
    </row>
    <row r="285" spans="1:9" x14ac:dyDescent="0.25">
      <c r="A285" s="2"/>
      <c r="B285" s="2"/>
      <c r="C285" s="2"/>
      <c r="D285" s="157"/>
      <c r="E285" s="157"/>
      <c r="F285" s="153"/>
      <c r="G285" s="154"/>
      <c r="H285" s="154"/>
      <c r="I285" s="154"/>
    </row>
    <row r="286" spans="1:9" x14ac:dyDescent="0.25">
      <c r="A286" s="2"/>
      <c r="B286" s="2"/>
      <c r="C286" s="2"/>
      <c r="D286" s="157"/>
      <c r="E286" s="157"/>
      <c r="F286" s="153"/>
      <c r="G286" s="154"/>
      <c r="H286" s="154"/>
      <c r="I286" s="154"/>
    </row>
    <row r="287" spans="1:9" x14ac:dyDescent="0.25">
      <c r="A287" s="2"/>
      <c r="B287" s="2"/>
      <c r="C287" s="2"/>
      <c r="D287" s="157"/>
      <c r="E287" s="157"/>
      <c r="F287" s="153"/>
      <c r="G287" s="154"/>
      <c r="H287" s="154"/>
      <c r="I287" s="154"/>
    </row>
    <row r="288" spans="1:9" x14ac:dyDescent="0.25">
      <c r="A288" s="2"/>
      <c r="B288" s="2"/>
      <c r="C288" s="2"/>
      <c r="D288" s="157"/>
      <c r="E288" s="157"/>
      <c r="F288" s="153"/>
      <c r="G288" s="154"/>
      <c r="H288" s="154"/>
      <c r="I288" s="154"/>
    </row>
    <row r="289" spans="1:9" x14ac:dyDescent="0.25">
      <c r="A289" s="2"/>
      <c r="B289" s="2"/>
      <c r="C289" s="2"/>
      <c r="D289" s="157"/>
      <c r="E289" s="157"/>
      <c r="F289" s="153"/>
      <c r="G289" s="154"/>
      <c r="H289" s="154"/>
      <c r="I289" s="154"/>
    </row>
    <row r="290" spans="1:9" x14ac:dyDescent="0.25">
      <c r="A290" s="2"/>
      <c r="B290" s="2"/>
      <c r="C290" s="2"/>
      <c r="D290" s="157"/>
      <c r="E290" s="157"/>
      <c r="F290" s="153"/>
      <c r="G290" s="154"/>
      <c r="H290" s="154"/>
      <c r="I290" s="154"/>
    </row>
    <row r="291" spans="1:9" x14ac:dyDescent="0.25">
      <c r="A291" s="2"/>
      <c r="B291" s="2"/>
      <c r="C291" s="2"/>
      <c r="D291" s="157"/>
      <c r="E291" s="157"/>
      <c r="F291" s="153"/>
      <c r="G291" s="154"/>
      <c r="H291" s="154"/>
      <c r="I291" s="154"/>
    </row>
    <row r="292" spans="1:9" x14ac:dyDescent="0.25">
      <c r="A292" s="2"/>
      <c r="B292" s="2"/>
      <c r="C292" s="2"/>
      <c r="D292" s="157"/>
      <c r="E292" s="157"/>
      <c r="F292" s="153"/>
      <c r="G292" s="154"/>
      <c r="H292" s="154"/>
      <c r="I292" s="154"/>
    </row>
    <row r="293" spans="1:9" x14ac:dyDescent="0.25">
      <c r="A293" s="2"/>
      <c r="B293" s="2"/>
      <c r="C293" s="2"/>
      <c r="D293" s="157"/>
      <c r="E293" s="157"/>
      <c r="F293" s="153"/>
      <c r="G293" s="154"/>
      <c r="H293" s="154"/>
      <c r="I293" s="154"/>
    </row>
    <row r="294" spans="1:9" x14ac:dyDescent="0.25">
      <c r="A294" s="2"/>
      <c r="B294" s="2"/>
      <c r="C294" s="2"/>
      <c r="D294" s="157"/>
      <c r="E294" s="157"/>
      <c r="F294" s="153"/>
      <c r="G294" s="154"/>
      <c r="H294" s="154"/>
      <c r="I294" s="154"/>
    </row>
    <row r="295" spans="1:9" x14ac:dyDescent="0.25">
      <c r="A295" s="2"/>
      <c r="B295" s="2"/>
      <c r="C295" s="2"/>
      <c r="D295" s="157"/>
      <c r="E295" s="157"/>
      <c r="F295" s="153"/>
      <c r="G295" s="154"/>
      <c r="H295" s="154"/>
      <c r="I295" s="154"/>
    </row>
    <row r="296" spans="1:9" x14ac:dyDescent="0.25">
      <c r="A296" s="2"/>
      <c r="B296" s="2"/>
      <c r="C296" s="2"/>
      <c r="D296" s="157"/>
      <c r="E296" s="157"/>
      <c r="F296" s="153"/>
      <c r="G296" s="154"/>
      <c r="H296" s="154"/>
      <c r="I296" s="154"/>
    </row>
    <row r="297" spans="1:9" x14ac:dyDescent="0.25">
      <c r="A297" s="2"/>
      <c r="B297" s="2"/>
      <c r="C297" s="2"/>
      <c r="D297" s="157"/>
      <c r="E297" s="157"/>
      <c r="F297" s="153"/>
      <c r="G297" s="154"/>
      <c r="H297" s="154"/>
      <c r="I297" s="154"/>
    </row>
    <row r="298" spans="1:9" x14ac:dyDescent="0.25">
      <c r="A298" s="2"/>
      <c r="B298" s="2"/>
      <c r="C298" s="2"/>
      <c r="D298" s="157"/>
      <c r="E298" s="157"/>
      <c r="F298" s="153"/>
      <c r="G298" s="154"/>
      <c r="H298" s="154"/>
      <c r="I298" s="154"/>
    </row>
    <row r="299" spans="1:9" x14ac:dyDescent="0.25">
      <c r="A299" s="2"/>
      <c r="B299" s="2"/>
      <c r="C299" s="2"/>
      <c r="D299" s="157"/>
      <c r="E299" s="157"/>
      <c r="F299" s="153"/>
      <c r="G299" s="154"/>
      <c r="H299" s="154"/>
      <c r="I299" s="154"/>
    </row>
    <row r="300" spans="1:9" x14ac:dyDescent="0.25">
      <c r="A300" s="2"/>
      <c r="B300" s="2"/>
      <c r="C300" s="2"/>
      <c r="D300" s="157"/>
      <c r="E300" s="157"/>
      <c r="F300" s="153"/>
      <c r="G300" s="154"/>
      <c r="H300" s="154"/>
      <c r="I300" s="154"/>
    </row>
    <row r="301" spans="1:9" x14ac:dyDescent="0.25">
      <c r="A301" s="2"/>
      <c r="B301" s="2"/>
      <c r="C301" s="2"/>
      <c r="D301" s="157"/>
      <c r="E301" s="157"/>
      <c r="F301" s="153"/>
      <c r="G301" s="154"/>
      <c r="H301" s="154"/>
      <c r="I301" s="154"/>
    </row>
    <row r="302" spans="1:9" x14ac:dyDescent="0.25">
      <c r="A302" s="2"/>
      <c r="B302" s="2"/>
      <c r="C302" s="2"/>
      <c r="D302" s="157"/>
      <c r="E302" s="157"/>
      <c r="F302" s="153"/>
      <c r="G302" s="154"/>
      <c r="H302" s="154"/>
      <c r="I302" s="154"/>
    </row>
    <row r="303" spans="1:9" x14ac:dyDescent="0.25">
      <c r="A303" s="2"/>
      <c r="B303" s="2"/>
      <c r="C303" s="2"/>
      <c r="D303" s="157"/>
      <c r="E303" s="157"/>
      <c r="F303" s="153"/>
      <c r="G303" s="154"/>
      <c r="H303" s="154"/>
      <c r="I303" s="154"/>
    </row>
    <row r="304" spans="1:9" x14ac:dyDescent="0.25">
      <c r="A304" s="2"/>
      <c r="B304" s="2"/>
      <c r="C304" s="2"/>
      <c r="D304" s="157"/>
      <c r="E304" s="157"/>
      <c r="F304" s="153"/>
      <c r="G304" s="154"/>
      <c r="H304" s="154"/>
      <c r="I304" s="154"/>
    </row>
    <row r="305" spans="1:9" x14ac:dyDescent="0.25">
      <c r="A305" s="2"/>
      <c r="B305" s="2"/>
      <c r="C305" s="2"/>
      <c r="D305" s="157"/>
      <c r="E305" s="157"/>
      <c r="F305" s="153"/>
      <c r="G305" s="154"/>
      <c r="H305" s="154"/>
      <c r="I305" s="154"/>
    </row>
    <row r="306" spans="1:9" x14ac:dyDescent="0.25">
      <c r="A306" s="2"/>
      <c r="B306" s="2"/>
      <c r="C306" s="2"/>
      <c r="D306" s="157"/>
      <c r="E306" s="157"/>
      <c r="F306" s="153"/>
      <c r="G306" s="154"/>
      <c r="H306" s="154"/>
      <c r="I306" s="154"/>
    </row>
    <row r="307" spans="1:9" x14ac:dyDescent="0.25">
      <c r="A307" s="2"/>
      <c r="B307" s="2"/>
      <c r="C307" s="2"/>
      <c r="D307" s="157"/>
      <c r="E307" s="157"/>
      <c r="F307" s="153"/>
      <c r="G307" s="154"/>
      <c r="H307" s="154"/>
      <c r="I307" s="154"/>
    </row>
    <row r="308" spans="1:9" x14ac:dyDescent="0.25">
      <c r="A308" s="2"/>
      <c r="B308" s="2"/>
      <c r="C308" s="2"/>
      <c r="D308" s="157"/>
      <c r="E308" s="157"/>
      <c r="F308" s="153"/>
      <c r="G308" s="154"/>
      <c r="H308" s="154"/>
      <c r="I308" s="154"/>
    </row>
    <row r="309" spans="1:9" x14ac:dyDescent="0.25">
      <c r="A309" s="2"/>
      <c r="B309" s="2"/>
      <c r="C309" s="2"/>
      <c r="D309" s="157"/>
      <c r="E309" s="157"/>
      <c r="F309" s="153"/>
      <c r="G309" s="154"/>
      <c r="H309" s="154"/>
      <c r="I309" s="154"/>
    </row>
    <row r="310" spans="1:9" x14ac:dyDescent="0.25">
      <c r="A310" s="2"/>
      <c r="B310" s="2"/>
      <c r="C310" s="2"/>
      <c r="D310" s="157"/>
      <c r="E310" s="157"/>
      <c r="F310" s="153"/>
      <c r="G310" s="154"/>
      <c r="H310" s="154"/>
      <c r="I310" s="154"/>
    </row>
    <row r="311" spans="1:9" x14ac:dyDescent="0.25">
      <c r="A311" s="2"/>
      <c r="B311" s="2"/>
      <c r="C311" s="2"/>
      <c r="D311" s="157"/>
      <c r="E311" s="157"/>
      <c r="F311" s="153"/>
      <c r="G311" s="154"/>
      <c r="H311" s="154"/>
      <c r="I311" s="154"/>
    </row>
    <row r="312" spans="1:9" x14ac:dyDescent="0.25">
      <c r="A312" s="2"/>
      <c r="B312" s="2"/>
      <c r="C312" s="2"/>
      <c r="D312" s="157"/>
      <c r="E312" s="157"/>
      <c r="F312" s="153"/>
      <c r="G312" s="154"/>
      <c r="H312" s="154"/>
      <c r="I312" s="154"/>
    </row>
    <row r="313" spans="1:9" x14ac:dyDescent="0.25">
      <c r="A313" s="2"/>
      <c r="B313" s="2"/>
      <c r="C313" s="2"/>
      <c r="D313" s="157"/>
      <c r="E313" s="157"/>
      <c r="F313" s="153"/>
      <c r="G313" s="154"/>
      <c r="H313" s="154"/>
      <c r="I313" s="154"/>
    </row>
    <row r="314" spans="1:9" x14ac:dyDescent="0.25">
      <c r="A314" s="2"/>
      <c r="B314" s="2"/>
      <c r="C314" s="2"/>
      <c r="D314" s="157"/>
      <c r="E314" s="157"/>
      <c r="F314" s="153"/>
      <c r="G314" s="154"/>
      <c r="H314" s="154"/>
      <c r="I314" s="154"/>
    </row>
    <row r="315" spans="1:9" x14ac:dyDescent="0.25">
      <c r="A315" s="2"/>
      <c r="B315" s="2"/>
      <c r="C315" s="2"/>
      <c r="D315" s="157"/>
      <c r="E315" s="157"/>
      <c r="F315" s="153"/>
      <c r="G315" s="154"/>
      <c r="H315" s="154"/>
      <c r="I315" s="154"/>
    </row>
    <row r="316" spans="1:9" x14ac:dyDescent="0.25">
      <c r="A316" s="2"/>
      <c r="B316" s="2"/>
      <c r="C316" s="2"/>
      <c r="D316" s="157"/>
      <c r="E316" s="157"/>
      <c r="F316" s="153"/>
      <c r="G316" s="154"/>
      <c r="H316" s="154"/>
      <c r="I316" s="154"/>
    </row>
    <row r="317" spans="1:9" x14ac:dyDescent="0.25">
      <c r="A317" s="2"/>
      <c r="B317" s="2"/>
      <c r="C317" s="2"/>
      <c r="D317" s="157"/>
      <c r="E317" s="157"/>
      <c r="F317" s="153"/>
      <c r="G317" s="154"/>
      <c r="H317" s="154"/>
      <c r="I317" s="154"/>
    </row>
    <row r="318" spans="1:9" x14ac:dyDescent="0.25">
      <c r="A318" s="2"/>
      <c r="B318" s="2"/>
      <c r="C318" s="2"/>
      <c r="D318" s="157"/>
      <c r="E318" s="157"/>
      <c r="F318" s="153"/>
      <c r="G318" s="154"/>
      <c r="H318" s="154"/>
      <c r="I318" s="154"/>
    </row>
    <row r="319" spans="1:9" x14ac:dyDescent="0.25">
      <c r="A319" s="2"/>
      <c r="B319" s="2"/>
      <c r="C319" s="2"/>
      <c r="D319" s="157"/>
      <c r="E319" s="157"/>
      <c r="F319" s="153"/>
      <c r="G319" s="154"/>
      <c r="H319" s="154"/>
      <c r="I319" s="154"/>
    </row>
    <row r="320" spans="1:9" x14ac:dyDescent="0.25">
      <c r="A320" s="2"/>
      <c r="B320" s="2"/>
      <c r="C320" s="2"/>
      <c r="D320" s="157"/>
      <c r="E320" s="157"/>
      <c r="F320" s="153"/>
      <c r="G320" s="154"/>
      <c r="H320" s="154"/>
      <c r="I320" s="154"/>
    </row>
    <row r="321" spans="1:9" x14ac:dyDescent="0.25">
      <c r="A321" s="2"/>
      <c r="B321" s="2"/>
      <c r="C321" s="2"/>
      <c r="D321" s="157"/>
      <c r="E321" s="157"/>
      <c r="F321" s="153"/>
      <c r="G321" s="154"/>
      <c r="H321" s="154"/>
      <c r="I321" s="154"/>
    </row>
    <row r="322" spans="1:9" x14ac:dyDescent="0.25">
      <c r="A322" s="2"/>
      <c r="B322" s="2"/>
      <c r="C322" s="2"/>
      <c r="D322" s="157"/>
      <c r="E322" s="157"/>
      <c r="F322" s="153"/>
      <c r="G322" s="154"/>
      <c r="H322" s="154"/>
      <c r="I322" s="154"/>
    </row>
    <row r="323" spans="1:9" x14ac:dyDescent="0.25">
      <c r="A323" s="2"/>
      <c r="B323" s="2"/>
      <c r="C323" s="2"/>
      <c r="D323" s="157"/>
      <c r="E323" s="157"/>
      <c r="F323" s="153"/>
      <c r="G323" s="154"/>
      <c r="H323" s="154"/>
      <c r="I323" s="154"/>
    </row>
    <row r="324" spans="1:9" x14ac:dyDescent="0.25">
      <c r="A324" s="2"/>
      <c r="B324" s="2"/>
      <c r="C324" s="2"/>
      <c r="D324" s="157"/>
      <c r="E324" s="157"/>
      <c r="F324" s="153"/>
      <c r="G324" s="154"/>
      <c r="H324" s="154"/>
      <c r="I324" s="154"/>
    </row>
    <row r="325" spans="1:9" x14ac:dyDescent="0.25">
      <c r="A325" s="2"/>
      <c r="B325" s="2"/>
      <c r="C325" s="2"/>
      <c r="D325" s="157"/>
      <c r="E325" s="157"/>
      <c r="F325" s="153"/>
      <c r="G325" s="154"/>
      <c r="H325" s="154"/>
      <c r="I325" s="154"/>
    </row>
    <row r="326" spans="1:9" x14ac:dyDescent="0.25">
      <c r="A326" s="2"/>
      <c r="B326" s="2"/>
      <c r="C326" s="2"/>
      <c r="D326" s="157"/>
      <c r="E326" s="157"/>
      <c r="F326" s="153"/>
      <c r="G326" s="154"/>
      <c r="H326" s="154"/>
      <c r="I326" s="154"/>
    </row>
    <row r="327" spans="1:9" x14ac:dyDescent="0.25">
      <c r="A327" s="2"/>
      <c r="B327" s="2"/>
      <c r="C327" s="2"/>
      <c r="D327" s="157"/>
      <c r="E327" s="157"/>
      <c r="F327" s="153"/>
      <c r="G327" s="154"/>
      <c r="H327" s="154"/>
      <c r="I327" s="154"/>
    </row>
    <row r="328" spans="1:9" x14ac:dyDescent="0.25">
      <c r="A328" s="2"/>
      <c r="B328" s="2"/>
      <c r="C328" s="2"/>
      <c r="D328" s="157"/>
      <c r="E328" s="157"/>
      <c r="F328" s="153"/>
      <c r="G328" s="154"/>
      <c r="H328" s="154"/>
      <c r="I328" s="154"/>
    </row>
    <row r="329" spans="1:9" x14ac:dyDescent="0.25">
      <c r="A329" s="2"/>
      <c r="B329" s="2"/>
      <c r="C329" s="2"/>
      <c r="D329" s="157"/>
      <c r="E329" s="157"/>
      <c r="F329" s="153"/>
      <c r="G329" s="154"/>
      <c r="H329" s="154"/>
      <c r="I329" s="154"/>
    </row>
    <row r="330" spans="1:9" x14ac:dyDescent="0.25">
      <c r="A330" s="2"/>
      <c r="B330" s="2"/>
      <c r="C330" s="2"/>
      <c r="D330" s="157"/>
      <c r="E330" s="157"/>
      <c r="F330" s="153"/>
      <c r="G330" s="154"/>
      <c r="H330" s="154"/>
      <c r="I330" s="154"/>
    </row>
    <row r="331" spans="1:9" x14ac:dyDescent="0.25">
      <c r="A331" s="2"/>
      <c r="B331" s="2"/>
      <c r="C331" s="2"/>
      <c r="D331" s="157"/>
      <c r="E331" s="157"/>
      <c r="F331" s="153"/>
      <c r="G331" s="154"/>
      <c r="H331" s="154"/>
      <c r="I331" s="154"/>
    </row>
    <row r="332" spans="1:9" x14ac:dyDescent="0.25">
      <c r="A332" s="2"/>
      <c r="B332" s="2"/>
      <c r="C332" s="2"/>
      <c r="D332" s="157"/>
      <c r="E332" s="157"/>
      <c r="F332" s="153"/>
      <c r="G332" s="154"/>
      <c r="H332" s="154"/>
      <c r="I332" s="154"/>
    </row>
    <row r="333" spans="1:9" x14ac:dyDescent="0.25">
      <c r="A333" s="2"/>
      <c r="B333" s="2"/>
      <c r="C333" s="2"/>
      <c r="D333" s="157"/>
      <c r="E333" s="157"/>
      <c r="F333" s="153"/>
      <c r="G333" s="154"/>
      <c r="H333" s="154"/>
      <c r="I333" s="154"/>
    </row>
    <row r="334" spans="1:9" x14ac:dyDescent="0.25">
      <c r="A334" s="2"/>
      <c r="B334" s="2"/>
      <c r="C334" s="2"/>
      <c r="D334" s="157"/>
      <c r="E334" s="157"/>
      <c r="F334" s="153"/>
      <c r="G334" s="154"/>
      <c r="H334" s="154"/>
      <c r="I334" s="154"/>
    </row>
    <row r="335" spans="1:9" x14ac:dyDescent="0.25">
      <c r="A335" s="2"/>
      <c r="B335" s="2"/>
      <c r="C335" s="2"/>
      <c r="D335" s="157"/>
      <c r="E335" s="157"/>
      <c r="F335" s="153"/>
      <c r="G335" s="154"/>
      <c r="H335" s="154"/>
      <c r="I335" s="154"/>
    </row>
    <row r="336" spans="1:9" x14ac:dyDescent="0.25">
      <c r="A336" s="2"/>
      <c r="B336" s="2"/>
      <c r="C336" s="2"/>
      <c r="D336" s="157"/>
      <c r="E336" s="157"/>
      <c r="F336" s="153"/>
      <c r="G336" s="154"/>
      <c r="H336" s="154"/>
      <c r="I336" s="154"/>
    </row>
    <row r="337" spans="1:9" x14ac:dyDescent="0.25">
      <c r="A337" s="2"/>
      <c r="B337" s="2"/>
      <c r="C337" s="2"/>
      <c r="D337" s="157"/>
      <c r="E337" s="157"/>
      <c r="F337" s="153"/>
      <c r="G337" s="154"/>
      <c r="H337" s="154"/>
      <c r="I337" s="154"/>
    </row>
    <row r="338" spans="1:9" x14ac:dyDescent="0.25">
      <c r="A338" s="2"/>
      <c r="B338" s="2"/>
      <c r="C338" s="2"/>
      <c r="D338" s="157"/>
      <c r="E338" s="157"/>
      <c r="F338" s="153"/>
      <c r="G338" s="154"/>
      <c r="H338" s="154"/>
      <c r="I338" s="154"/>
    </row>
    <row r="339" spans="1:9" x14ac:dyDescent="0.25">
      <c r="A339" s="2"/>
      <c r="B339" s="2"/>
      <c r="C339" s="2"/>
      <c r="D339" s="157"/>
      <c r="E339" s="157"/>
      <c r="F339" s="153"/>
      <c r="G339" s="154"/>
      <c r="H339" s="154"/>
      <c r="I339" s="154"/>
    </row>
    <row r="340" spans="1:9" x14ac:dyDescent="0.25">
      <c r="A340" s="2"/>
      <c r="B340" s="2"/>
      <c r="C340" s="2"/>
      <c r="D340" s="157"/>
      <c r="E340" s="157"/>
      <c r="F340" s="153"/>
      <c r="G340" s="154"/>
      <c r="H340" s="154"/>
      <c r="I340" s="154"/>
    </row>
    <row r="341" spans="1:9" x14ac:dyDescent="0.25">
      <c r="A341" s="2"/>
      <c r="B341" s="2"/>
      <c r="C341" s="2"/>
      <c r="D341" s="157"/>
      <c r="E341" s="157"/>
      <c r="F341" s="153"/>
      <c r="G341" s="154"/>
      <c r="H341" s="154"/>
      <c r="I341" s="154"/>
    </row>
    <row r="342" spans="1:9" x14ac:dyDescent="0.25">
      <c r="A342" s="2"/>
      <c r="B342" s="2"/>
      <c r="C342" s="2"/>
      <c r="D342" s="157"/>
      <c r="E342" s="157"/>
      <c r="F342" s="153"/>
      <c r="G342" s="154"/>
      <c r="H342" s="154"/>
      <c r="I342" s="154"/>
    </row>
    <row r="343" spans="1:9" x14ac:dyDescent="0.25">
      <c r="A343" s="2"/>
      <c r="B343" s="2"/>
      <c r="C343" s="2"/>
      <c r="D343" s="157"/>
      <c r="E343" s="157"/>
      <c r="F343" s="153"/>
      <c r="G343" s="154"/>
      <c r="H343" s="154"/>
      <c r="I343" s="154"/>
    </row>
    <row r="344" spans="1:9" x14ac:dyDescent="0.25">
      <c r="A344" s="2"/>
      <c r="B344" s="2"/>
      <c r="C344" s="2"/>
      <c r="D344" s="157"/>
      <c r="E344" s="157"/>
      <c r="F344" s="153"/>
      <c r="G344" s="154"/>
      <c r="H344" s="154"/>
      <c r="I344" s="154"/>
    </row>
    <row r="345" spans="1:9" x14ac:dyDescent="0.25">
      <c r="A345" s="2"/>
      <c r="B345" s="2"/>
      <c r="C345" s="2"/>
      <c r="D345" s="157"/>
      <c r="E345" s="157"/>
      <c r="F345" s="153"/>
      <c r="G345" s="154"/>
      <c r="H345" s="154"/>
      <c r="I345" s="154"/>
    </row>
    <row r="346" spans="1:9" x14ac:dyDescent="0.25">
      <c r="A346" s="2"/>
      <c r="B346" s="2"/>
      <c r="C346" s="2"/>
      <c r="D346" s="157"/>
      <c r="E346" s="157"/>
      <c r="F346" s="153"/>
      <c r="G346" s="154"/>
      <c r="H346" s="154"/>
      <c r="I346" s="154"/>
    </row>
    <row r="347" spans="1:9" x14ac:dyDescent="0.25">
      <c r="A347" s="2"/>
      <c r="B347" s="2"/>
      <c r="C347" s="2"/>
      <c r="D347" s="157"/>
      <c r="E347" s="157"/>
      <c r="F347" s="153"/>
      <c r="G347" s="154"/>
      <c r="H347" s="154"/>
      <c r="I347" s="154"/>
    </row>
    <row r="348" spans="1:9" x14ac:dyDescent="0.25">
      <c r="A348" s="2"/>
      <c r="B348" s="2"/>
      <c r="C348" s="2"/>
      <c r="D348" s="157"/>
      <c r="E348" s="157"/>
      <c r="F348" s="153"/>
      <c r="G348" s="154"/>
      <c r="H348" s="154"/>
      <c r="I348" s="154"/>
    </row>
    <row r="349" spans="1:9" x14ac:dyDescent="0.25">
      <c r="A349" s="2"/>
      <c r="B349" s="2"/>
      <c r="C349" s="2"/>
      <c r="D349" s="157"/>
      <c r="E349" s="157"/>
      <c r="F349" s="153"/>
      <c r="G349" s="154"/>
      <c r="H349" s="154"/>
      <c r="I349" s="154"/>
    </row>
    <row r="350" spans="1:9" x14ac:dyDescent="0.25">
      <c r="A350" s="2"/>
      <c r="B350" s="2"/>
      <c r="C350" s="2"/>
      <c r="D350" s="157"/>
      <c r="E350" s="157"/>
      <c r="F350" s="153"/>
      <c r="G350" s="154"/>
      <c r="H350" s="154"/>
      <c r="I350" s="154"/>
    </row>
    <row r="351" spans="1:9" x14ac:dyDescent="0.25">
      <c r="A351" s="2"/>
      <c r="B351" s="2"/>
      <c r="C351" s="2"/>
      <c r="D351" s="157"/>
      <c r="E351" s="157"/>
      <c r="F351" s="153"/>
      <c r="G351" s="154"/>
      <c r="H351" s="154"/>
      <c r="I351" s="154"/>
    </row>
    <row r="352" spans="1:9" x14ac:dyDescent="0.25">
      <c r="A352" s="2"/>
      <c r="B352" s="2"/>
      <c r="C352" s="2"/>
      <c r="D352" s="157"/>
      <c r="E352" s="157"/>
      <c r="F352" s="153"/>
      <c r="G352" s="154"/>
      <c r="H352" s="154"/>
      <c r="I352" s="154"/>
    </row>
    <row r="353" spans="1:9" x14ac:dyDescent="0.25">
      <c r="A353" s="2"/>
      <c r="B353" s="2"/>
      <c r="C353" s="2"/>
      <c r="D353" s="157"/>
      <c r="E353" s="157"/>
      <c r="F353" s="153"/>
      <c r="G353" s="154"/>
      <c r="H353" s="154"/>
      <c r="I353" s="154"/>
    </row>
    <row r="354" spans="1:9" x14ac:dyDescent="0.25">
      <c r="A354" s="2"/>
      <c r="B354" s="2"/>
      <c r="C354" s="2"/>
      <c r="D354" s="157"/>
      <c r="E354" s="157"/>
      <c r="F354" s="153"/>
      <c r="G354" s="154"/>
      <c r="H354" s="154"/>
      <c r="I354" s="154"/>
    </row>
    <row r="355" spans="1:9" x14ac:dyDescent="0.25">
      <c r="A355" s="2"/>
      <c r="B355" s="2"/>
      <c r="C355" s="2"/>
      <c r="D355" s="157"/>
      <c r="E355" s="157"/>
      <c r="F355" s="153"/>
      <c r="G355" s="154"/>
      <c r="H355" s="154"/>
      <c r="I355" s="154"/>
    </row>
    <row r="356" spans="1:9" x14ac:dyDescent="0.25">
      <c r="A356" s="2"/>
      <c r="B356" s="2"/>
      <c r="C356" s="2"/>
      <c r="D356" s="157"/>
      <c r="E356" s="157"/>
      <c r="F356" s="153"/>
      <c r="G356" s="154"/>
      <c r="H356" s="154"/>
      <c r="I356" s="154"/>
    </row>
    <row r="357" spans="1:9" x14ac:dyDescent="0.25">
      <c r="A357" s="2"/>
      <c r="B357" s="2"/>
      <c r="C357" s="2"/>
      <c r="D357" s="157"/>
      <c r="E357" s="157"/>
      <c r="F357" s="153"/>
      <c r="G357" s="154"/>
      <c r="H357" s="154"/>
      <c r="I357" s="154"/>
    </row>
    <row r="358" spans="1:9" x14ac:dyDescent="0.25">
      <c r="A358" s="2"/>
      <c r="B358" s="2"/>
      <c r="C358" s="2"/>
      <c r="D358" s="157"/>
      <c r="E358" s="157"/>
      <c r="F358" s="153"/>
      <c r="G358" s="154"/>
      <c r="H358" s="154"/>
      <c r="I358" s="154"/>
    </row>
    <row r="359" spans="1:9" x14ac:dyDescent="0.25">
      <c r="A359" s="2"/>
      <c r="B359" s="2"/>
      <c r="C359" s="2"/>
      <c r="D359" s="157"/>
      <c r="E359" s="157"/>
      <c r="F359" s="153"/>
      <c r="G359" s="154"/>
      <c r="H359" s="154"/>
      <c r="I359" s="154"/>
    </row>
    <row r="360" spans="1:9" x14ac:dyDescent="0.25">
      <c r="A360" s="2"/>
      <c r="B360" s="2"/>
      <c r="C360" s="2"/>
      <c r="D360" s="157"/>
      <c r="E360" s="157"/>
      <c r="F360" s="153"/>
      <c r="G360" s="154"/>
      <c r="H360" s="154"/>
      <c r="I360" s="154"/>
    </row>
    <row r="361" spans="1:9" x14ac:dyDescent="0.25">
      <c r="A361" s="2"/>
      <c r="B361" s="2"/>
      <c r="C361" s="2"/>
      <c r="D361" s="157"/>
      <c r="E361" s="157"/>
      <c r="F361" s="153"/>
      <c r="G361" s="154"/>
      <c r="H361" s="154"/>
      <c r="I361" s="154"/>
    </row>
    <row r="362" spans="1:9" x14ac:dyDescent="0.25">
      <c r="A362" s="2"/>
      <c r="B362" s="2"/>
      <c r="C362" s="2"/>
      <c r="D362" s="157"/>
      <c r="E362" s="157"/>
      <c r="F362" s="153"/>
      <c r="G362" s="154"/>
      <c r="H362" s="154"/>
      <c r="I362" s="154"/>
    </row>
    <row r="363" spans="1:9" x14ac:dyDescent="0.25">
      <c r="A363" s="2"/>
      <c r="B363" s="2"/>
      <c r="C363" s="2"/>
      <c r="D363" s="157"/>
      <c r="E363" s="157"/>
      <c r="F363" s="153"/>
      <c r="G363" s="154"/>
      <c r="H363" s="154"/>
      <c r="I363" s="154"/>
    </row>
    <row r="364" spans="1:9" x14ac:dyDescent="0.25">
      <c r="A364" s="2"/>
      <c r="B364" s="2"/>
      <c r="C364" s="2"/>
      <c r="D364" s="157"/>
      <c r="E364" s="157"/>
      <c r="F364" s="153"/>
      <c r="G364" s="154"/>
      <c r="H364" s="154"/>
      <c r="I364" s="154"/>
    </row>
    <row r="365" spans="1:9" x14ac:dyDescent="0.25">
      <c r="A365" s="2"/>
      <c r="B365" s="2"/>
      <c r="C365" s="2"/>
      <c r="D365" s="157"/>
      <c r="E365" s="157"/>
      <c r="F365" s="153"/>
      <c r="G365" s="154"/>
      <c r="H365" s="154"/>
      <c r="I365" s="154"/>
    </row>
    <row r="366" spans="1:9" x14ac:dyDescent="0.25">
      <c r="A366" s="2"/>
      <c r="B366" s="2"/>
      <c r="C366" s="2"/>
      <c r="D366" s="157"/>
      <c r="E366" s="157"/>
      <c r="F366" s="153"/>
      <c r="G366" s="154"/>
      <c r="H366" s="154"/>
      <c r="I366" s="154"/>
    </row>
    <row r="367" spans="1:9" x14ac:dyDescent="0.25">
      <c r="A367" s="2"/>
      <c r="B367" s="2"/>
      <c r="C367" s="2"/>
      <c r="D367" s="157"/>
      <c r="E367" s="157"/>
      <c r="F367" s="153"/>
      <c r="G367" s="154"/>
      <c r="H367" s="154"/>
      <c r="I367" s="154"/>
    </row>
    <row r="368" spans="1:9" x14ac:dyDescent="0.25">
      <c r="A368" s="2"/>
      <c r="B368" s="2"/>
      <c r="C368" s="2"/>
      <c r="D368" s="157"/>
      <c r="E368" s="157"/>
      <c r="F368" s="153"/>
      <c r="G368" s="154"/>
      <c r="H368" s="154"/>
      <c r="I368" s="154"/>
    </row>
    <row r="369" spans="1:9" x14ac:dyDescent="0.25">
      <c r="A369" s="2"/>
      <c r="B369" s="2"/>
      <c r="C369" s="2"/>
      <c r="D369" s="157"/>
      <c r="E369" s="157"/>
      <c r="F369" s="153"/>
      <c r="G369" s="154"/>
      <c r="H369" s="154"/>
      <c r="I369" s="154"/>
    </row>
    <row r="370" spans="1:9" x14ac:dyDescent="0.25">
      <c r="A370" s="2"/>
      <c r="B370" s="2"/>
      <c r="C370" s="2"/>
      <c r="D370" s="157"/>
      <c r="E370" s="157"/>
      <c r="F370" s="153"/>
      <c r="G370" s="154"/>
      <c r="H370" s="154"/>
      <c r="I370" s="154"/>
    </row>
    <row r="371" spans="1:9" x14ac:dyDescent="0.25">
      <c r="A371" s="2"/>
      <c r="B371" s="2"/>
      <c r="C371" s="2"/>
      <c r="D371" s="157"/>
      <c r="E371" s="157"/>
      <c r="F371" s="153"/>
      <c r="G371" s="154"/>
      <c r="H371" s="154"/>
      <c r="I371" s="154"/>
    </row>
    <row r="372" spans="1:9" x14ac:dyDescent="0.25">
      <c r="A372" s="2"/>
      <c r="B372" s="2"/>
      <c r="C372" s="2"/>
      <c r="D372" s="157"/>
      <c r="E372" s="157"/>
      <c r="F372" s="153"/>
      <c r="G372" s="154"/>
      <c r="H372" s="154"/>
      <c r="I372" s="154"/>
    </row>
    <row r="373" spans="1:9" x14ac:dyDescent="0.25">
      <c r="A373" s="2"/>
      <c r="B373" s="2"/>
      <c r="C373" s="2"/>
      <c r="D373" s="157"/>
      <c r="E373" s="157"/>
      <c r="F373" s="153"/>
      <c r="G373" s="154"/>
      <c r="H373" s="154"/>
      <c r="I373" s="154"/>
    </row>
    <row r="374" spans="1:9" x14ac:dyDescent="0.25">
      <c r="A374" s="2"/>
      <c r="B374" s="2"/>
      <c r="C374" s="2"/>
      <c r="D374" s="157"/>
      <c r="E374" s="157"/>
      <c r="F374" s="153"/>
      <c r="G374" s="154"/>
      <c r="H374" s="154"/>
      <c r="I374" s="154"/>
    </row>
    <row r="375" spans="1:9" x14ac:dyDescent="0.25">
      <c r="A375" s="2"/>
      <c r="B375" s="2"/>
      <c r="C375" s="2"/>
      <c r="D375" s="157"/>
      <c r="E375" s="157"/>
      <c r="F375" s="153"/>
      <c r="G375" s="154"/>
      <c r="H375" s="154"/>
      <c r="I375" s="154"/>
    </row>
    <row r="376" spans="1:9" x14ac:dyDescent="0.25">
      <c r="A376" s="2"/>
      <c r="B376" s="2"/>
      <c r="C376" s="2"/>
      <c r="D376" s="157"/>
      <c r="E376" s="157"/>
      <c r="F376" s="153"/>
      <c r="G376" s="154"/>
      <c r="H376" s="154"/>
      <c r="I376" s="154"/>
    </row>
    <row r="377" spans="1:9" x14ac:dyDescent="0.25">
      <c r="A377" s="2"/>
      <c r="B377" s="2"/>
      <c r="C377" s="2"/>
      <c r="D377" s="157"/>
      <c r="E377" s="157"/>
      <c r="F377" s="153"/>
      <c r="G377" s="154"/>
      <c r="H377" s="154"/>
      <c r="I377" s="154"/>
    </row>
    <row r="378" spans="1:9" x14ac:dyDescent="0.25">
      <c r="A378" s="2"/>
      <c r="B378" s="2"/>
      <c r="C378" s="2"/>
      <c r="D378" s="157"/>
      <c r="E378" s="157"/>
      <c r="F378" s="153"/>
      <c r="G378" s="154"/>
      <c r="H378" s="154"/>
      <c r="I378" s="154"/>
    </row>
    <row r="379" spans="1:9" x14ac:dyDescent="0.25">
      <c r="A379" s="2"/>
      <c r="B379" s="2"/>
      <c r="C379" s="2"/>
      <c r="D379" s="157"/>
      <c r="E379" s="157"/>
      <c r="F379" s="153"/>
      <c r="G379" s="154"/>
      <c r="H379" s="154"/>
      <c r="I379" s="154"/>
    </row>
    <row r="380" spans="1:9" x14ac:dyDescent="0.25">
      <c r="A380" s="2"/>
      <c r="B380" s="2"/>
      <c r="C380" s="2"/>
      <c r="D380" s="157"/>
      <c r="E380" s="157"/>
      <c r="F380" s="153"/>
      <c r="G380" s="154"/>
      <c r="H380" s="154"/>
      <c r="I380" s="154"/>
    </row>
    <row r="381" spans="1:9" x14ac:dyDescent="0.25">
      <c r="A381" s="2"/>
      <c r="B381" s="2"/>
      <c r="C381" s="2"/>
      <c r="D381" s="157"/>
      <c r="E381" s="157"/>
      <c r="F381" s="153"/>
      <c r="G381" s="154"/>
      <c r="H381" s="154"/>
      <c r="I381" s="154"/>
    </row>
    <row r="382" spans="1:9" x14ac:dyDescent="0.25">
      <c r="A382" s="2"/>
      <c r="B382" s="2"/>
      <c r="C382" s="2"/>
      <c r="D382" s="157"/>
      <c r="E382" s="157"/>
      <c r="F382" s="153"/>
      <c r="G382" s="154"/>
      <c r="H382" s="154"/>
      <c r="I382" s="154"/>
    </row>
    <row r="383" spans="1:9" x14ac:dyDescent="0.25">
      <c r="A383" s="2"/>
      <c r="B383" s="2"/>
      <c r="C383" s="2"/>
      <c r="D383" s="157"/>
      <c r="E383" s="157"/>
      <c r="F383" s="153"/>
      <c r="G383" s="154"/>
      <c r="H383" s="154"/>
      <c r="I383" s="154"/>
    </row>
    <row r="384" spans="1:9" x14ac:dyDescent="0.25">
      <c r="A384" s="2"/>
      <c r="B384" s="2"/>
      <c r="C384" s="2"/>
      <c r="D384" s="157"/>
      <c r="E384" s="157"/>
      <c r="F384" s="153"/>
      <c r="G384" s="154"/>
      <c r="H384" s="154"/>
      <c r="I384" s="154"/>
    </row>
    <row r="385" spans="1:9" x14ac:dyDescent="0.25">
      <c r="A385" s="2"/>
      <c r="B385" s="2"/>
      <c r="C385" s="2"/>
      <c r="D385" s="157"/>
      <c r="E385" s="157"/>
      <c r="F385" s="153"/>
      <c r="G385" s="154"/>
      <c r="H385" s="154"/>
      <c r="I385" s="154"/>
    </row>
    <row r="386" spans="1:9" x14ac:dyDescent="0.25">
      <c r="A386" s="2"/>
      <c r="B386" s="2"/>
      <c r="C386" s="2"/>
      <c r="D386" s="157"/>
      <c r="E386" s="157"/>
      <c r="F386" s="153"/>
      <c r="G386" s="154"/>
      <c r="H386" s="154"/>
      <c r="I386" s="154"/>
    </row>
    <row r="387" spans="1:9" x14ac:dyDescent="0.25">
      <c r="A387" s="2"/>
      <c r="B387" s="2"/>
      <c r="C387" s="2"/>
      <c r="D387" s="157"/>
      <c r="E387" s="157"/>
      <c r="F387" s="153"/>
      <c r="G387" s="154"/>
      <c r="H387" s="154"/>
      <c r="I387" s="154"/>
    </row>
    <row r="388" spans="1:9" x14ac:dyDescent="0.25">
      <c r="A388" s="2"/>
      <c r="B388" s="2"/>
      <c r="C388" s="2"/>
      <c r="D388" s="157"/>
      <c r="E388" s="157"/>
      <c r="F388" s="153"/>
      <c r="G388" s="154"/>
      <c r="H388" s="154"/>
      <c r="I388" s="154"/>
    </row>
    <row r="389" spans="1:9" x14ac:dyDescent="0.25">
      <c r="A389" s="2"/>
      <c r="B389" s="2"/>
      <c r="C389" s="2"/>
      <c r="D389" s="157"/>
      <c r="E389" s="157"/>
      <c r="F389" s="153"/>
      <c r="G389" s="154"/>
      <c r="H389" s="154"/>
      <c r="I389" s="154"/>
    </row>
    <row r="390" spans="1:9" x14ac:dyDescent="0.25">
      <c r="A390" s="2"/>
      <c r="B390" s="2"/>
      <c r="C390" s="2"/>
      <c r="D390" s="157"/>
      <c r="E390" s="157"/>
      <c r="F390" s="153"/>
      <c r="G390" s="154"/>
      <c r="H390" s="154"/>
      <c r="I390" s="154"/>
    </row>
    <row r="391" spans="1:9" x14ac:dyDescent="0.25">
      <c r="A391" s="2"/>
      <c r="B391" s="2"/>
      <c r="C391" s="2"/>
      <c r="D391" s="157"/>
      <c r="E391" s="157"/>
      <c r="F391" s="153"/>
      <c r="G391" s="154"/>
      <c r="H391" s="154"/>
      <c r="I391" s="154"/>
    </row>
    <row r="392" spans="1:9" x14ac:dyDescent="0.25">
      <c r="A392" s="2"/>
      <c r="B392" s="2"/>
      <c r="C392" s="2"/>
      <c r="D392" s="157"/>
      <c r="E392" s="157"/>
      <c r="F392" s="153"/>
      <c r="G392" s="154"/>
      <c r="H392" s="154"/>
      <c r="I392" s="154"/>
    </row>
    <row r="393" spans="1:9" x14ac:dyDescent="0.25">
      <c r="A393" s="2"/>
      <c r="B393" s="2"/>
      <c r="C393" s="2"/>
      <c r="D393" s="157"/>
      <c r="E393" s="157"/>
      <c r="F393" s="153"/>
      <c r="G393" s="154"/>
      <c r="H393" s="154"/>
      <c r="I393" s="154"/>
    </row>
    <row r="394" spans="1:9" x14ac:dyDescent="0.25">
      <c r="A394" s="2"/>
      <c r="B394" s="2"/>
      <c r="C394" s="2"/>
      <c r="D394" s="157"/>
      <c r="E394" s="157"/>
      <c r="F394" s="153"/>
      <c r="G394" s="154"/>
      <c r="H394" s="154"/>
      <c r="I394" s="154"/>
    </row>
    <row r="395" spans="1:9" x14ac:dyDescent="0.25">
      <c r="A395" s="2"/>
      <c r="B395" s="2"/>
      <c r="C395" s="2"/>
      <c r="D395" s="157"/>
      <c r="E395" s="157"/>
      <c r="F395" s="153"/>
      <c r="G395" s="154"/>
      <c r="H395" s="154"/>
      <c r="I395" s="154"/>
    </row>
    <row r="396" spans="1:9" x14ac:dyDescent="0.25">
      <c r="A396" s="2"/>
      <c r="B396" s="2"/>
      <c r="C396" s="2"/>
      <c r="D396" s="157"/>
      <c r="E396" s="157"/>
      <c r="F396" s="153"/>
      <c r="G396" s="154"/>
      <c r="H396" s="154"/>
      <c r="I396" s="154"/>
    </row>
    <row r="397" spans="1:9" x14ac:dyDescent="0.25">
      <c r="A397" s="2"/>
      <c r="B397" s="2"/>
      <c r="C397" s="2"/>
      <c r="D397" s="157"/>
      <c r="E397" s="157"/>
      <c r="F397" s="153"/>
      <c r="G397" s="154"/>
      <c r="H397" s="154"/>
      <c r="I397" s="154"/>
    </row>
    <row r="398" spans="1:9" x14ac:dyDescent="0.25">
      <c r="A398" s="2"/>
      <c r="B398" s="2"/>
      <c r="C398" s="2"/>
      <c r="D398" s="157"/>
      <c r="E398" s="157"/>
      <c r="F398" s="153"/>
      <c r="G398" s="154"/>
      <c r="H398" s="154"/>
      <c r="I398" s="154"/>
    </row>
    <row r="399" spans="1:9" x14ac:dyDescent="0.25">
      <c r="A399" s="2"/>
      <c r="B399" s="2"/>
      <c r="C399" s="2"/>
      <c r="D399" s="157"/>
      <c r="E399" s="157"/>
      <c r="F399" s="153"/>
      <c r="G399" s="154"/>
      <c r="H399" s="154"/>
      <c r="I399" s="154"/>
    </row>
    <row r="400" spans="1:9" x14ac:dyDescent="0.25">
      <c r="A400" s="2"/>
      <c r="B400" s="2"/>
      <c r="C400" s="2"/>
      <c r="D400" s="157"/>
      <c r="E400" s="157"/>
      <c r="F400" s="153"/>
      <c r="G400" s="154"/>
      <c r="H400" s="154"/>
      <c r="I400" s="154"/>
    </row>
    <row r="401" spans="1:9" x14ac:dyDescent="0.25">
      <c r="A401" s="2"/>
      <c r="B401" s="2"/>
      <c r="C401" s="2"/>
      <c r="D401" s="157"/>
      <c r="E401" s="157"/>
      <c r="F401" s="153"/>
      <c r="G401" s="154"/>
      <c r="H401" s="154"/>
      <c r="I401" s="154"/>
    </row>
    <row r="402" spans="1:9" x14ac:dyDescent="0.25">
      <c r="A402" s="2"/>
      <c r="B402" s="2"/>
      <c r="C402" s="2"/>
      <c r="D402" s="157"/>
      <c r="E402" s="157"/>
      <c r="F402" s="153"/>
      <c r="G402" s="154"/>
      <c r="H402" s="154"/>
      <c r="I402" s="154"/>
    </row>
    <row r="403" spans="1:9" x14ac:dyDescent="0.25">
      <c r="A403" s="2"/>
      <c r="B403" s="2"/>
      <c r="C403" s="2"/>
      <c r="D403" s="157"/>
      <c r="E403" s="157"/>
      <c r="F403" s="153"/>
      <c r="G403" s="154"/>
      <c r="H403" s="154"/>
      <c r="I403" s="154"/>
    </row>
    <row r="404" spans="1:9" x14ac:dyDescent="0.25">
      <c r="A404" s="2"/>
      <c r="B404" s="2"/>
      <c r="C404" s="2"/>
      <c r="D404" s="157"/>
      <c r="E404" s="157"/>
      <c r="F404" s="153"/>
      <c r="G404" s="154"/>
      <c r="H404" s="154"/>
      <c r="I404" s="154"/>
    </row>
    <row r="405" spans="1:9" x14ac:dyDescent="0.25">
      <c r="A405" s="2"/>
      <c r="B405" s="2"/>
      <c r="C405" s="2"/>
      <c r="D405" s="157"/>
      <c r="E405" s="157"/>
      <c r="F405" s="153"/>
      <c r="G405" s="154"/>
      <c r="H405" s="154"/>
      <c r="I405" s="154"/>
    </row>
    <row r="406" spans="1:9" x14ac:dyDescent="0.25">
      <c r="A406" s="2"/>
      <c r="B406" s="2"/>
      <c r="C406" s="2"/>
      <c r="D406" s="157"/>
      <c r="E406" s="157"/>
      <c r="F406" s="153"/>
      <c r="G406" s="154"/>
      <c r="H406" s="154"/>
      <c r="I406" s="154"/>
    </row>
    <row r="407" spans="1:9" x14ac:dyDescent="0.25">
      <c r="A407" s="2"/>
      <c r="B407" s="2"/>
      <c r="C407" s="2"/>
      <c r="D407" s="157"/>
      <c r="E407" s="157"/>
      <c r="F407" s="153"/>
      <c r="G407" s="154"/>
      <c r="H407" s="154"/>
      <c r="I407" s="154"/>
    </row>
    <row r="408" spans="1:9" x14ac:dyDescent="0.25">
      <c r="A408" s="2"/>
      <c r="B408" s="2"/>
      <c r="C408" s="2"/>
      <c r="D408" s="157"/>
      <c r="E408" s="157"/>
      <c r="F408" s="153"/>
      <c r="G408" s="154"/>
      <c r="H408" s="154"/>
      <c r="I408" s="154"/>
    </row>
    <row r="409" spans="1:9" x14ac:dyDescent="0.25">
      <c r="A409" s="2"/>
      <c r="B409" s="2"/>
      <c r="C409" s="2"/>
      <c r="D409" s="157"/>
      <c r="E409" s="157"/>
      <c r="F409" s="153"/>
      <c r="G409" s="154"/>
      <c r="H409" s="154"/>
      <c r="I409" s="154"/>
    </row>
    <row r="410" spans="1:9" x14ac:dyDescent="0.25">
      <c r="A410" s="2"/>
      <c r="B410" s="2"/>
      <c r="C410" s="2"/>
      <c r="D410" s="157"/>
      <c r="E410" s="157"/>
      <c r="F410" s="153"/>
      <c r="G410" s="154"/>
      <c r="H410" s="154"/>
      <c r="I410" s="154"/>
    </row>
    <row r="411" spans="1:9" x14ac:dyDescent="0.25">
      <c r="A411" s="2"/>
      <c r="B411" s="2"/>
      <c r="C411" s="2"/>
      <c r="D411" s="157"/>
      <c r="E411" s="157"/>
      <c r="F411" s="153"/>
      <c r="G411" s="154"/>
      <c r="H411" s="154"/>
      <c r="I411" s="154"/>
    </row>
    <row r="412" spans="1:9" x14ac:dyDescent="0.25">
      <c r="A412" s="2"/>
      <c r="B412" s="2"/>
      <c r="C412" s="2"/>
      <c r="D412" s="157"/>
      <c r="E412" s="157"/>
      <c r="F412" s="153"/>
      <c r="G412" s="154"/>
      <c r="H412" s="154"/>
      <c r="I412" s="154"/>
    </row>
    <row r="413" spans="1:9" x14ac:dyDescent="0.25">
      <c r="A413" s="2"/>
      <c r="B413" s="2"/>
      <c r="C413" s="2"/>
      <c r="D413" s="157"/>
      <c r="E413" s="157"/>
      <c r="F413" s="153"/>
      <c r="G413" s="154"/>
      <c r="H413" s="154"/>
      <c r="I413" s="154"/>
    </row>
    <row r="414" spans="1:9" x14ac:dyDescent="0.25">
      <c r="A414" s="2"/>
      <c r="B414" s="2"/>
      <c r="C414" s="2"/>
      <c r="D414" s="157"/>
      <c r="E414" s="157"/>
      <c r="F414" s="153"/>
      <c r="G414" s="154"/>
      <c r="H414" s="154"/>
      <c r="I414" s="154"/>
    </row>
    <row r="415" spans="1:9" x14ac:dyDescent="0.25">
      <c r="A415" s="2"/>
      <c r="B415" s="2"/>
      <c r="C415" s="2"/>
      <c r="D415" s="157"/>
      <c r="E415" s="157"/>
      <c r="F415" s="153"/>
      <c r="G415" s="154"/>
      <c r="H415" s="154"/>
      <c r="I415" s="154"/>
    </row>
    <row r="416" spans="1:9" x14ac:dyDescent="0.25">
      <c r="A416" s="2"/>
      <c r="B416" s="2"/>
      <c r="C416" s="2"/>
      <c r="D416" s="157"/>
      <c r="E416" s="157"/>
      <c r="F416" s="153"/>
      <c r="G416" s="154"/>
      <c r="H416" s="154"/>
      <c r="I416" s="154"/>
    </row>
    <row r="417" spans="1:9" x14ac:dyDescent="0.25">
      <c r="A417" s="2"/>
      <c r="B417" s="2"/>
      <c r="C417" s="2"/>
      <c r="D417" s="157"/>
      <c r="E417" s="157"/>
      <c r="F417" s="153"/>
      <c r="G417" s="154"/>
      <c r="H417" s="154"/>
      <c r="I417" s="154"/>
    </row>
    <row r="418" spans="1:9" x14ac:dyDescent="0.25">
      <c r="A418" s="2"/>
      <c r="B418" s="2"/>
      <c r="C418" s="2"/>
      <c r="D418" s="157"/>
      <c r="E418" s="157"/>
      <c r="F418" s="153"/>
      <c r="G418" s="154"/>
      <c r="H418" s="154"/>
      <c r="I418" s="154"/>
    </row>
    <row r="419" spans="1:9" x14ac:dyDescent="0.25">
      <c r="A419" s="2"/>
      <c r="B419" s="2"/>
      <c r="C419" s="2"/>
      <c r="D419" s="157"/>
      <c r="E419" s="157"/>
      <c r="F419" s="153"/>
      <c r="G419" s="154"/>
      <c r="H419" s="154"/>
      <c r="I419" s="154"/>
    </row>
    <row r="420" spans="1:9" x14ac:dyDescent="0.25">
      <c r="A420" s="2"/>
      <c r="B420" s="2"/>
      <c r="C420" s="2"/>
      <c r="D420" s="157"/>
      <c r="E420" s="157"/>
      <c r="F420" s="153"/>
      <c r="G420" s="154"/>
      <c r="H420" s="154"/>
      <c r="I420" s="154"/>
    </row>
    <row r="421" spans="1:9" x14ac:dyDescent="0.25">
      <c r="A421" s="2"/>
      <c r="B421" s="2"/>
      <c r="C421" s="2"/>
      <c r="D421" s="157"/>
      <c r="E421" s="157"/>
      <c r="F421" s="153"/>
      <c r="G421" s="154"/>
      <c r="H421" s="154"/>
      <c r="I421" s="154"/>
    </row>
    <row r="422" spans="1:9" x14ac:dyDescent="0.25">
      <c r="A422" s="2"/>
      <c r="B422" s="2"/>
      <c r="C422" s="2"/>
      <c r="D422" s="157"/>
      <c r="E422" s="157"/>
      <c r="F422" s="153"/>
      <c r="G422" s="154"/>
      <c r="H422" s="154"/>
      <c r="I422" s="154"/>
    </row>
    <row r="423" spans="1:9" x14ac:dyDescent="0.25">
      <c r="A423" s="2"/>
      <c r="B423" s="2"/>
      <c r="C423" s="2"/>
      <c r="D423" s="157"/>
      <c r="E423" s="157"/>
      <c r="F423" s="153"/>
      <c r="G423" s="154"/>
      <c r="H423" s="154"/>
      <c r="I423" s="154"/>
    </row>
    <row r="424" spans="1:9" x14ac:dyDescent="0.25">
      <c r="A424" s="2"/>
      <c r="B424" s="2"/>
      <c r="C424" s="2"/>
      <c r="D424" s="157"/>
      <c r="E424" s="157"/>
      <c r="F424" s="153"/>
      <c r="G424" s="154"/>
      <c r="H424" s="154"/>
      <c r="I424" s="154"/>
    </row>
    <row r="425" spans="1:9" x14ac:dyDescent="0.25">
      <c r="A425" s="2"/>
      <c r="B425" s="2"/>
      <c r="C425" s="2"/>
      <c r="D425" s="157"/>
      <c r="E425" s="157"/>
      <c r="F425" s="153"/>
      <c r="G425" s="154"/>
      <c r="H425" s="154"/>
      <c r="I425" s="154"/>
    </row>
    <row r="426" spans="1:9" x14ac:dyDescent="0.25">
      <c r="A426" s="2"/>
      <c r="B426" s="2"/>
      <c r="C426" s="2"/>
      <c r="D426" s="157"/>
      <c r="E426" s="157"/>
      <c r="F426" s="153"/>
      <c r="G426" s="154"/>
      <c r="H426" s="154"/>
      <c r="I426" s="154"/>
    </row>
    <row r="427" spans="1:9" x14ac:dyDescent="0.25">
      <c r="A427" s="2"/>
      <c r="B427" s="2"/>
      <c r="C427" s="2"/>
      <c r="D427" s="157"/>
      <c r="E427" s="157"/>
      <c r="F427" s="153"/>
      <c r="G427" s="154"/>
      <c r="H427" s="154"/>
      <c r="I427" s="154"/>
    </row>
    <row r="428" spans="1:9" x14ac:dyDescent="0.25">
      <c r="A428" s="2"/>
      <c r="B428" s="2"/>
      <c r="C428" s="2"/>
      <c r="D428" s="157"/>
      <c r="E428" s="157"/>
      <c r="F428" s="153"/>
      <c r="G428" s="154"/>
      <c r="H428" s="154"/>
      <c r="I428" s="154"/>
    </row>
    <row r="429" spans="1:9" x14ac:dyDescent="0.25">
      <c r="A429" s="2"/>
      <c r="B429" s="2"/>
      <c r="C429" s="2"/>
      <c r="D429" s="157"/>
      <c r="E429" s="157"/>
      <c r="F429" s="153"/>
      <c r="G429" s="154"/>
      <c r="H429" s="154"/>
      <c r="I429" s="154"/>
    </row>
    <row r="430" spans="1:9" x14ac:dyDescent="0.25">
      <c r="A430" s="2"/>
      <c r="B430" s="2"/>
      <c r="C430" s="2"/>
      <c r="D430" s="157"/>
      <c r="E430" s="157"/>
      <c r="F430" s="153"/>
      <c r="G430" s="154"/>
      <c r="H430" s="154"/>
      <c r="I430" s="154"/>
    </row>
    <row r="431" spans="1:9" x14ac:dyDescent="0.25">
      <c r="A431" s="2"/>
      <c r="B431" s="2"/>
      <c r="C431" s="2"/>
      <c r="D431" s="157"/>
      <c r="E431" s="157"/>
      <c r="F431" s="153"/>
      <c r="G431" s="154"/>
      <c r="H431" s="154"/>
      <c r="I431" s="154"/>
    </row>
    <row r="432" spans="1:9" x14ac:dyDescent="0.25">
      <c r="A432" s="2"/>
      <c r="B432" s="2"/>
      <c r="C432" s="2"/>
      <c r="D432" s="157"/>
      <c r="E432" s="157"/>
      <c r="F432" s="153"/>
      <c r="G432" s="154"/>
      <c r="H432" s="154"/>
      <c r="I432" s="154"/>
    </row>
    <row r="433" spans="1:9" x14ac:dyDescent="0.25">
      <c r="A433" s="2"/>
      <c r="B433" s="2"/>
      <c r="C433" s="2"/>
      <c r="D433" s="157"/>
      <c r="E433" s="157"/>
      <c r="F433" s="153"/>
      <c r="G433" s="154"/>
      <c r="H433" s="154"/>
      <c r="I433" s="154"/>
    </row>
    <row r="434" spans="1:9" x14ac:dyDescent="0.25">
      <c r="A434" s="2"/>
      <c r="B434" s="2"/>
      <c r="C434" s="2"/>
      <c r="D434" s="157"/>
      <c r="E434" s="157"/>
      <c r="F434" s="153"/>
      <c r="G434" s="154"/>
      <c r="H434" s="154"/>
      <c r="I434" s="154"/>
    </row>
    <row r="435" spans="1:9" x14ac:dyDescent="0.25">
      <c r="A435" s="2"/>
      <c r="B435" s="2"/>
      <c r="C435" s="2"/>
      <c r="D435" s="157"/>
      <c r="E435" s="157"/>
      <c r="F435" s="153"/>
      <c r="G435" s="154"/>
      <c r="H435" s="154"/>
      <c r="I435" s="154"/>
    </row>
    <row r="436" spans="1:9" x14ac:dyDescent="0.25">
      <c r="A436" s="2"/>
      <c r="B436" s="2"/>
      <c r="C436" s="2"/>
      <c r="D436" s="157"/>
      <c r="E436" s="157"/>
      <c r="F436" s="153"/>
      <c r="G436" s="154"/>
      <c r="H436" s="154"/>
      <c r="I436" s="154"/>
    </row>
    <row r="437" spans="1:9" x14ac:dyDescent="0.25">
      <c r="A437" s="2"/>
      <c r="B437" s="2"/>
      <c r="C437" s="2"/>
      <c r="D437" s="157"/>
      <c r="E437" s="157"/>
      <c r="F437" s="153"/>
      <c r="G437" s="154"/>
      <c r="H437" s="154"/>
      <c r="I437" s="154"/>
    </row>
    <row r="438" spans="1:9" x14ac:dyDescent="0.25">
      <c r="A438" s="2"/>
      <c r="B438" s="2"/>
      <c r="C438" s="2"/>
      <c r="D438" s="157"/>
      <c r="E438" s="157"/>
      <c r="F438" s="153"/>
      <c r="G438" s="154"/>
      <c r="H438" s="154"/>
      <c r="I438" s="154"/>
    </row>
    <row r="439" spans="1:9" x14ac:dyDescent="0.25">
      <c r="A439" s="2"/>
      <c r="B439" s="2"/>
      <c r="C439" s="2"/>
      <c r="D439" s="157"/>
      <c r="E439" s="157"/>
      <c r="F439" s="153"/>
      <c r="G439" s="154"/>
      <c r="H439" s="154"/>
      <c r="I439" s="154"/>
    </row>
    <row r="440" spans="1:9" x14ac:dyDescent="0.25">
      <c r="A440" s="2"/>
      <c r="B440" s="2"/>
      <c r="C440" s="2"/>
      <c r="D440" s="157"/>
      <c r="E440" s="157"/>
      <c r="F440" s="153"/>
      <c r="G440" s="154"/>
      <c r="H440" s="154"/>
      <c r="I440" s="154"/>
    </row>
    <row r="441" spans="1:9" x14ac:dyDescent="0.25">
      <c r="A441" s="2"/>
      <c r="B441" s="2"/>
      <c r="C441" s="2"/>
      <c r="D441" s="157"/>
      <c r="E441" s="157"/>
      <c r="F441" s="153"/>
      <c r="G441" s="154"/>
      <c r="H441" s="154"/>
      <c r="I441" s="154"/>
    </row>
    <row r="442" spans="1:9" x14ac:dyDescent="0.25">
      <c r="A442" s="2"/>
      <c r="B442" s="2"/>
      <c r="C442" s="2"/>
      <c r="D442" s="157"/>
      <c r="E442" s="157"/>
      <c r="F442" s="153"/>
      <c r="G442" s="154"/>
      <c r="H442" s="154"/>
      <c r="I442" s="154"/>
    </row>
    <row r="443" spans="1:9" x14ac:dyDescent="0.25">
      <c r="A443" s="2"/>
      <c r="B443" s="2"/>
      <c r="C443" s="2"/>
      <c r="D443" s="157"/>
      <c r="E443" s="157"/>
      <c r="F443" s="153"/>
      <c r="G443" s="154"/>
      <c r="H443" s="154"/>
      <c r="I443" s="154"/>
    </row>
    <row r="444" spans="1:9" x14ac:dyDescent="0.25">
      <c r="A444" s="2"/>
      <c r="B444" s="2"/>
      <c r="C444" s="2"/>
      <c r="D444" s="157"/>
      <c r="E444" s="157"/>
      <c r="F444" s="153"/>
      <c r="G444" s="154"/>
      <c r="H444" s="154"/>
      <c r="I444" s="154"/>
    </row>
    <row r="445" spans="1:9" x14ac:dyDescent="0.25">
      <c r="A445" s="2"/>
      <c r="B445" s="2"/>
      <c r="C445" s="2"/>
      <c r="D445" s="157"/>
      <c r="E445" s="157"/>
      <c r="F445" s="153"/>
      <c r="G445" s="154"/>
      <c r="H445" s="154"/>
      <c r="I445" s="154"/>
    </row>
    <row r="446" spans="1:9" x14ac:dyDescent="0.25">
      <c r="A446" s="2"/>
      <c r="B446" s="2"/>
      <c r="C446" s="2"/>
      <c r="D446" s="157"/>
      <c r="E446" s="157"/>
      <c r="F446" s="153"/>
      <c r="G446" s="154"/>
      <c r="H446" s="154"/>
      <c r="I446" s="154"/>
    </row>
    <row r="447" spans="1:9" x14ac:dyDescent="0.25">
      <c r="A447" s="2"/>
      <c r="B447" s="2"/>
      <c r="C447" s="2"/>
      <c r="D447" s="157"/>
      <c r="E447" s="157"/>
      <c r="F447" s="153"/>
      <c r="G447" s="154"/>
      <c r="H447" s="154"/>
      <c r="I447" s="154"/>
    </row>
    <row r="448" spans="1:9" x14ac:dyDescent="0.25">
      <c r="A448" s="2"/>
      <c r="B448" s="2"/>
      <c r="C448" s="2"/>
      <c r="D448" s="157"/>
      <c r="E448" s="157"/>
      <c r="F448" s="153"/>
      <c r="G448" s="154"/>
      <c r="H448" s="154"/>
      <c r="I448" s="154"/>
    </row>
    <row r="449" spans="1:9" x14ac:dyDescent="0.25">
      <c r="A449" s="2"/>
      <c r="B449" s="2"/>
      <c r="C449" s="2"/>
      <c r="D449" s="157"/>
      <c r="E449" s="157"/>
      <c r="F449" s="153"/>
      <c r="G449" s="154"/>
      <c r="H449" s="154"/>
      <c r="I449" s="154"/>
    </row>
    <row r="450" spans="1:9" x14ac:dyDescent="0.25">
      <c r="A450" s="2"/>
      <c r="B450" s="2"/>
      <c r="C450" s="2"/>
      <c r="D450" s="157"/>
      <c r="E450" s="157"/>
      <c r="F450" s="153"/>
      <c r="G450" s="154"/>
      <c r="H450" s="154"/>
      <c r="I450" s="154"/>
    </row>
    <row r="451" spans="1:9" x14ac:dyDescent="0.25">
      <c r="A451" s="2"/>
      <c r="B451" s="2"/>
      <c r="C451" s="2"/>
      <c r="D451" s="157"/>
      <c r="E451" s="157"/>
      <c r="F451" s="153"/>
      <c r="G451" s="154"/>
      <c r="H451" s="154"/>
      <c r="I451" s="154"/>
    </row>
    <row r="452" spans="1:9" x14ac:dyDescent="0.25">
      <c r="A452" s="2"/>
      <c r="B452" s="2"/>
      <c r="C452" s="2"/>
      <c r="D452" s="157"/>
      <c r="E452" s="157"/>
      <c r="F452" s="153"/>
      <c r="G452" s="154"/>
      <c r="H452" s="154"/>
      <c r="I452" s="154"/>
    </row>
    <row r="453" spans="1:9" x14ac:dyDescent="0.25">
      <c r="A453" s="2"/>
      <c r="B453" s="2"/>
      <c r="C453" s="2"/>
      <c r="D453" s="157"/>
      <c r="E453" s="157"/>
      <c r="F453" s="153"/>
      <c r="G453" s="154"/>
      <c r="H453" s="154"/>
      <c r="I453" s="154"/>
    </row>
    <row r="454" spans="1:9" x14ac:dyDescent="0.25">
      <c r="A454" s="2"/>
      <c r="B454" s="2"/>
      <c r="C454" s="2"/>
      <c r="D454" s="157"/>
      <c r="E454" s="157"/>
      <c r="F454" s="153"/>
      <c r="G454" s="154"/>
      <c r="H454" s="154"/>
      <c r="I454" s="154"/>
    </row>
    <row r="455" spans="1:9" x14ac:dyDescent="0.25">
      <c r="A455" s="2"/>
      <c r="B455" s="2"/>
      <c r="C455" s="2"/>
      <c r="D455" s="157"/>
      <c r="E455" s="157"/>
      <c r="F455" s="153"/>
      <c r="G455" s="154"/>
      <c r="H455" s="154"/>
      <c r="I455" s="154"/>
    </row>
    <row r="456" spans="1:9" x14ac:dyDescent="0.25">
      <c r="A456" s="2"/>
      <c r="B456" s="2"/>
      <c r="C456" s="2"/>
      <c r="D456" s="157"/>
      <c r="E456" s="157"/>
      <c r="F456" s="153"/>
      <c r="G456" s="154"/>
      <c r="H456" s="154"/>
      <c r="I456" s="154"/>
    </row>
    <row r="457" spans="1:9" x14ac:dyDescent="0.25">
      <c r="A457" s="2"/>
      <c r="B457" s="2"/>
      <c r="C457" s="2"/>
      <c r="D457" s="157"/>
      <c r="E457" s="157"/>
      <c r="F457" s="153"/>
      <c r="G457" s="154"/>
      <c r="H457" s="154"/>
      <c r="I457" s="154"/>
    </row>
    <row r="458" spans="1:9" x14ac:dyDescent="0.25">
      <c r="A458" s="2"/>
      <c r="B458" s="2"/>
      <c r="C458" s="2"/>
      <c r="D458" s="157"/>
      <c r="E458" s="157"/>
      <c r="F458" s="153"/>
      <c r="G458" s="154"/>
      <c r="H458" s="154"/>
      <c r="I458" s="154"/>
    </row>
    <row r="459" spans="1:9" x14ac:dyDescent="0.25">
      <c r="A459" s="2"/>
      <c r="B459" s="2"/>
      <c r="C459" s="2"/>
      <c r="D459" s="157"/>
      <c r="E459" s="157"/>
      <c r="F459" s="153"/>
      <c r="G459" s="154"/>
      <c r="H459" s="154"/>
      <c r="I459" s="154"/>
    </row>
    <row r="460" spans="1:9" x14ac:dyDescent="0.25">
      <c r="A460" s="2"/>
      <c r="B460" s="2"/>
      <c r="C460" s="2"/>
      <c r="D460" s="157"/>
      <c r="E460" s="157"/>
      <c r="F460" s="153"/>
      <c r="G460" s="154"/>
      <c r="H460" s="154"/>
      <c r="I460" s="154"/>
    </row>
    <row r="461" spans="1:9" x14ac:dyDescent="0.25">
      <c r="A461" s="2"/>
      <c r="B461" s="2"/>
      <c r="C461" s="2"/>
      <c r="D461" s="157"/>
      <c r="E461" s="157"/>
      <c r="F461" s="153"/>
      <c r="G461" s="154"/>
      <c r="H461" s="154"/>
      <c r="I461" s="154"/>
    </row>
    <row r="462" spans="1:9" x14ac:dyDescent="0.25">
      <c r="A462" s="2"/>
      <c r="B462" s="2"/>
      <c r="C462" s="2"/>
      <c r="D462" s="157"/>
      <c r="E462" s="157"/>
      <c r="F462" s="153"/>
      <c r="G462" s="154"/>
      <c r="H462" s="154"/>
      <c r="I462" s="154"/>
    </row>
    <row r="463" spans="1:9" x14ac:dyDescent="0.25">
      <c r="A463" s="2"/>
      <c r="B463" s="2"/>
      <c r="C463" s="2"/>
      <c r="D463" s="157"/>
      <c r="E463" s="157"/>
      <c r="F463" s="153"/>
      <c r="G463" s="154"/>
      <c r="H463" s="154"/>
      <c r="I463" s="154"/>
    </row>
    <row r="464" spans="1:9" x14ac:dyDescent="0.25">
      <c r="A464" s="2"/>
      <c r="B464" s="2"/>
      <c r="C464" s="2"/>
      <c r="D464" s="157"/>
      <c r="E464" s="157"/>
      <c r="F464" s="153"/>
      <c r="G464" s="154"/>
      <c r="H464" s="154"/>
      <c r="I464" s="154"/>
    </row>
    <row r="465" spans="1:9" x14ac:dyDescent="0.25">
      <c r="A465" s="2"/>
      <c r="B465" s="2"/>
      <c r="C465" s="2"/>
      <c r="D465" s="157"/>
      <c r="E465" s="157"/>
      <c r="F465" s="153"/>
      <c r="G465" s="154"/>
      <c r="H465" s="154"/>
      <c r="I465" s="154"/>
    </row>
    <row r="466" spans="1:9" x14ac:dyDescent="0.25">
      <c r="A466" s="2"/>
      <c r="B466" s="2"/>
      <c r="C466" s="2"/>
      <c r="D466" s="157"/>
      <c r="E466" s="157"/>
      <c r="F466" s="153"/>
      <c r="G466" s="154"/>
      <c r="H466" s="154"/>
      <c r="I466" s="154"/>
    </row>
    <row r="467" spans="1:9" x14ac:dyDescent="0.25">
      <c r="A467" s="2"/>
      <c r="B467" s="2"/>
      <c r="C467" s="2"/>
      <c r="D467" s="157"/>
      <c r="E467" s="157"/>
      <c r="F467" s="153"/>
      <c r="G467" s="154"/>
      <c r="H467" s="154"/>
      <c r="I467" s="154"/>
    </row>
    <row r="468" spans="1:9" x14ac:dyDescent="0.25">
      <c r="A468" s="2"/>
      <c r="B468" s="2"/>
      <c r="C468" s="2"/>
      <c r="D468" s="157"/>
      <c r="E468" s="157"/>
      <c r="F468" s="153"/>
      <c r="G468" s="154"/>
      <c r="H468" s="154"/>
      <c r="I468" s="154"/>
    </row>
    <row r="469" spans="1:9" x14ac:dyDescent="0.25">
      <c r="A469" s="2"/>
      <c r="B469" s="2"/>
      <c r="C469" s="2"/>
      <c r="D469" s="157"/>
      <c r="E469" s="157"/>
      <c r="F469" s="153"/>
      <c r="G469" s="154"/>
      <c r="H469" s="154"/>
      <c r="I469" s="154"/>
    </row>
    <row r="470" spans="1:9" x14ac:dyDescent="0.25">
      <c r="A470" s="2"/>
      <c r="B470" s="2"/>
      <c r="C470" s="2"/>
      <c r="D470" s="157"/>
      <c r="E470" s="157"/>
      <c r="F470" s="153"/>
      <c r="G470" s="154"/>
      <c r="H470" s="154"/>
      <c r="I470" s="154"/>
    </row>
    <row r="471" spans="1:9" x14ac:dyDescent="0.25">
      <c r="A471" s="2"/>
      <c r="B471" s="2"/>
      <c r="C471" s="2"/>
      <c r="D471" s="157"/>
      <c r="E471" s="157"/>
      <c r="F471" s="153"/>
      <c r="G471" s="154"/>
      <c r="H471" s="154"/>
      <c r="I471" s="154"/>
    </row>
    <row r="472" spans="1:9" x14ac:dyDescent="0.25">
      <c r="A472" s="2"/>
      <c r="B472" s="2"/>
      <c r="C472" s="2"/>
      <c r="D472" s="157"/>
      <c r="E472" s="157"/>
      <c r="F472" s="153"/>
      <c r="G472" s="154"/>
      <c r="H472" s="154"/>
      <c r="I472" s="154"/>
    </row>
    <row r="473" spans="1:9" x14ac:dyDescent="0.25">
      <c r="A473" s="2"/>
      <c r="B473" s="2"/>
      <c r="C473" s="2"/>
      <c r="D473" s="157"/>
      <c r="E473" s="157"/>
      <c r="F473" s="153"/>
      <c r="G473" s="154"/>
      <c r="H473" s="154"/>
      <c r="I473" s="154"/>
    </row>
    <row r="474" spans="1:9" x14ac:dyDescent="0.25">
      <c r="A474" s="2"/>
      <c r="B474" s="2"/>
      <c r="C474" s="2"/>
      <c r="D474" s="157"/>
      <c r="E474" s="157"/>
      <c r="F474" s="153"/>
      <c r="G474" s="154"/>
      <c r="H474" s="154"/>
      <c r="I474" s="154"/>
    </row>
    <row r="475" spans="1:9" x14ac:dyDescent="0.25">
      <c r="A475" s="2"/>
      <c r="B475" s="2"/>
      <c r="C475" s="2"/>
      <c r="D475" s="157"/>
      <c r="E475" s="157"/>
      <c r="F475" s="153"/>
      <c r="G475" s="154"/>
      <c r="H475" s="154"/>
      <c r="I475" s="154"/>
    </row>
    <row r="476" spans="1:9" x14ac:dyDescent="0.25">
      <c r="A476" s="2"/>
      <c r="B476" s="2"/>
      <c r="C476" s="2"/>
      <c r="D476" s="157"/>
      <c r="E476" s="157"/>
      <c r="F476" s="153"/>
      <c r="G476" s="154"/>
      <c r="H476" s="154"/>
      <c r="I476" s="154"/>
    </row>
    <row r="477" spans="1:9" x14ac:dyDescent="0.25">
      <c r="A477" s="2"/>
      <c r="B477" s="2"/>
      <c r="C477" s="2"/>
      <c r="D477" s="157"/>
      <c r="E477" s="157"/>
      <c r="F477" s="153"/>
      <c r="G477" s="154"/>
      <c r="H477" s="154"/>
      <c r="I477" s="154"/>
    </row>
    <row r="478" spans="1:9" x14ac:dyDescent="0.25">
      <c r="A478" s="2"/>
      <c r="B478" s="2"/>
      <c r="C478" s="2"/>
      <c r="D478" s="157"/>
      <c r="E478" s="157"/>
      <c r="F478" s="153"/>
      <c r="G478" s="154"/>
      <c r="H478" s="154"/>
      <c r="I478" s="154"/>
    </row>
    <row r="479" spans="1:9" x14ac:dyDescent="0.25">
      <c r="A479" s="2"/>
      <c r="B479" s="2"/>
      <c r="C479" s="2"/>
      <c r="D479" s="157"/>
      <c r="E479" s="157"/>
      <c r="F479" s="153"/>
      <c r="G479" s="154"/>
      <c r="H479" s="154"/>
      <c r="I479" s="154"/>
    </row>
    <row r="480" spans="1:9" x14ac:dyDescent="0.25">
      <c r="A480" s="2"/>
      <c r="B480" s="2"/>
      <c r="C480" s="2"/>
      <c r="D480" s="157"/>
      <c r="E480" s="157"/>
      <c r="F480" s="153"/>
      <c r="G480" s="154"/>
      <c r="H480" s="154"/>
      <c r="I480" s="154"/>
    </row>
    <row r="481" spans="1:9" x14ac:dyDescent="0.25">
      <c r="A481" s="2"/>
      <c r="B481" s="2"/>
      <c r="C481" s="2"/>
      <c r="D481" s="157"/>
      <c r="E481" s="157"/>
      <c r="F481" s="153"/>
      <c r="G481" s="154"/>
      <c r="H481" s="154"/>
      <c r="I481" s="154"/>
    </row>
    <row r="482" spans="1:9" x14ac:dyDescent="0.25">
      <c r="A482" s="2"/>
      <c r="B482" s="2"/>
      <c r="C482" s="2"/>
      <c r="D482" s="157"/>
      <c r="E482" s="157"/>
      <c r="F482" s="153"/>
      <c r="G482" s="154"/>
      <c r="H482" s="154"/>
      <c r="I482" s="154"/>
    </row>
    <row r="483" spans="1:9" x14ac:dyDescent="0.25">
      <c r="A483" s="2"/>
      <c r="B483" s="2"/>
      <c r="C483" s="2"/>
      <c r="D483" s="157"/>
      <c r="E483" s="157"/>
      <c r="F483" s="153"/>
      <c r="G483" s="154"/>
      <c r="H483" s="154"/>
      <c r="I483" s="154"/>
    </row>
    <row r="484" spans="1:9" x14ac:dyDescent="0.25">
      <c r="A484" s="2"/>
      <c r="B484" s="2"/>
      <c r="C484" s="2"/>
      <c r="D484" s="157"/>
      <c r="E484" s="157"/>
      <c r="F484" s="153"/>
      <c r="G484" s="154"/>
      <c r="H484" s="154"/>
      <c r="I484" s="154"/>
    </row>
    <row r="485" spans="1:9" x14ac:dyDescent="0.25">
      <c r="A485" s="2"/>
      <c r="B485" s="2"/>
      <c r="C485" s="2"/>
      <c r="D485" s="157"/>
      <c r="E485" s="157"/>
      <c r="F485" s="153"/>
      <c r="G485" s="154"/>
      <c r="H485" s="154"/>
      <c r="I485" s="154"/>
    </row>
    <row r="486" spans="1:9" x14ac:dyDescent="0.25">
      <c r="A486" s="2"/>
      <c r="B486" s="2"/>
      <c r="C486" s="2"/>
      <c r="D486" s="157"/>
      <c r="E486" s="157"/>
      <c r="F486" s="153"/>
      <c r="G486" s="154"/>
      <c r="H486" s="154"/>
      <c r="I486" s="154"/>
    </row>
    <row r="487" spans="1:9" x14ac:dyDescent="0.25">
      <c r="A487" s="2"/>
      <c r="B487" s="2"/>
      <c r="C487" s="2"/>
      <c r="D487" s="157"/>
      <c r="E487" s="157"/>
      <c r="F487" s="153"/>
      <c r="G487" s="154"/>
      <c r="H487" s="154"/>
      <c r="I487" s="154"/>
    </row>
    <row r="488" spans="1:9" x14ac:dyDescent="0.25">
      <c r="A488" s="2"/>
      <c r="B488" s="2"/>
      <c r="C488" s="2"/>
      <c r="D488" s="157"/>
      <c r="E488" s="157"/>
      <c r="F488" s="153"/>
      <c r="G488" s="154"/>
      <c r="H488" s="154"/>
      <c r="I488" s="154"/>
    </row>
    <row r="489" spans="1:9" x14ac:dyDescent="0.25">
      <c r="A489" s="2"/>
      <c r="B489" s="2"/>
      <c r="C489" s="2"/>
      <c r="D489" s="157"/>
      <c r="E489" s="157"/>
      <c r="F489" s="153"/>
      <c r="G489" s="154"/>
      <c r="H489" s="154"/>
      <c r="I489" s="154"/>
    </row>
    <row r="490" spans="1:9" x14ac:dyDescent="0.25">
      <c r="A490" s="2"/>
      <c r="B490" s="2"/>
      <c r="C490" s="2"/>
      <c r="D490" s="157"/>
      <c r="E490" s="157"/>
      <c r="F490" s="153"/>
      <c r="G490" s="154"/>
      <c r="H490" s="154"/>
      <c r="I490" s="154"/>
    </row>
    <row r="491" spans="1:9" x14ac:dyDescent="0.25">
      <c r="A491" s="2"/>
      <c r="B491" s="2"/>
      <c r="C491" s="2"/>
      <c r="D491" s="157"/>
      <c r="E491" s="157"/>
      <c r="F491" s="153"/>
      <c r="G491" s="154"/>
      <c r="H491" s="154"/>
      <c r="I491" s="154"/>
    </row>
    <row r="492" spans="1:9" x14ac:dyDescent="0.25">
      <c r="A492" s="2"/>
      <c r="B492" s="2"/>
      <c r="C492" s="2"/>
      <c r="D492" s="157"/>
      <c r="E492" s="157"/>
      <c r="F492" s="153"/>
      <c r="G492" s="154"/>
      <c r="H492" s="154"/>
      <c r="I492" s="154"/>
    </row>
    <row r="493" spans="1:9" x14ac:dyDescent="0.25">
      <c r="A493" s="2"/>
      <c r="B493" s="2"/>
      <c r="C493" s="2"/>
      <c r="D493" s="157"/>
      <c r="E493" s="157"/>
      <c r="F493" s="153"/>
      <c r="G493" s="154"/>
      <c r="H493" s="154"/>
      <c r="I493" s="154"/>
    </row>
    <row r="494" spans="1:9" x14ac:dyDescent="0.25">
      <c r="A494" s="2"/>
      <c r="B494" s="2"/>
      <c r="C494" s="2"/>
      <c r="D494" s="157"/>
      <c r="E494" s="157"/>
      <c r="F494" s="153"/>
      <c r="G494" s="154"/>
      <c r="H494" s="154"/>
      <c r="I494" s="154"/>
    </row>
    <row r="495" spans="1:9" x14ac:dyDescent="0.25">
      <c r="A495" s="2"/>
      <c r="B495" s="2"/>
      <c r="C495" s="2"/>
      <c r="D495" s="157"/>
      <c r="E495" s="157"/>
      <c r="F495" s="153"/>
      <c r="G495" s="154"/>
      <c r="H495" s="154"/>
      <c r="I495" s="154"/>
    </row>
    <row r="496" spans="1:9" x14ac:dyDescent="0.25">
      <c r="A496" s="2"/>
      <c r="B496" s="2"/>
      <c r="C496" s="2"/>
      <c r="D496" s="157"/>
      <c r="E496" s="157"/>
      <c r="F496" s="153"/>
      <c r="G496" s="154"/>
      <c r="H496" s="154"/>
      <c r="I496" s="154"/>
    </row>
    <row r="497" spans="1:9" x14ac:dyDescent="0.25">
      <c r="A497" s="2"/>
      <c r="B497" s="2"/>
      <c r="C497" s="2"/>
      <c r="D497" s="157"/>
      <c r="E497" s="157"/>
      <c r="F497" s="153"/>
      <c r="G497" s="154"/>
      <c r="H497" s="154"/>
      <c r="I497" s="154"/>
    </row>
    <row r="498" spans="1:9" x14ac:dyDescent="0.25">
      <c r="A498" s="2"/>
      <c r="B498" s="2"/>
      <c r="C498" s="2"/>
      <c r="D498" s="157"/>
      <c r="E498" s="157"/>
      <c r="F498" s="153"/>
      <c r="G498" s="154"/>
      <c r="H498" s="154"/>
      <c r="I498" s="154"/>
    </row>
    <row r="499" spans="1:9" x14ac:dyDescent="0.25">
      <c r="A499" s="2"/>
      <c r="B499" s="2"/>
      <c r="C499" s="2"/>
      <c r="D499" s="157"/>
      <c r="E499" s="157"/>
      <c r="F499" s="153"/>
      <c r="G499" s="154"/>
      <c r="H499" s="154"/>
      <c r="I499" s="154"/>
    </row>
    <row r="500" spans="1:9" x14ac:dyDescent="0.25">
      <c r="A500" s="2"/>
      <c r="B500" s="2"/>
      <c r="C500" s="2"/>
      <c r="D500" s="157"/>
      <c r="E500" s="157"/>
      <c r="F500" s="153"/>
      <c r="G500" s="154"/>
      <c r="H500" s="154"/>
      <c r="I500" s="154"/>
    </row>
    <row r="501" spans="1:9" x14ac:dyDescent="0.25">
      <c r="A501" s="2"/>
      <c r="B501" s="2"/>
      <c r="C501" s="2"/>
      <c r="D501" s="157"/>
      <c r="E501" s="157"/>
      <c r="F501" s="153"/>
      <c r="G501" s="154"/>
      <c r="H501" s="154"/>
      <c r="I501" s="154"/>
    </row>
    <row r="502" spans="1:9" x14ac:dyDescent="0.25">
      <c r="A502" s="2"/>
      <c r="B502" s="2"/>
      <c r="C502" s="2"/>
      <c r="D502" s="157"/>
      <c r="E502" s="157"/>
      <c r="F502" s="153"/>
      <c r="G502" s="154"/>
      <c r="H502" s="154"/>
      <c r="I502" s="154"/>
    </row>
    <row r="503" spans="1:9" x14ac:dyDescent="0.25">
      <c r="A503" s="2"/>
      <c r="B503" s="2"/>
      <c r="C503" s="2"/>
      <c r="D503" s="157"/>
      <c r="E503" s="157"/>
      <c r="F503" s="153"/>
      <c r="G503" s="154"/>
      <c r="H503" s="154"/>
      <c r="I503" s="154"/>
    </row>
    <row r="504" spans="1:9" x14ac:dyDescent="0.25">
      <c r="A504" s="2"/>
      <c r="B504" s="2"/>
      <c r="C504" s="2"/>
      <c r="D504" s="157"/>
      <c r="E504" s="157"/>
      <c r="F504" s="153"/>
      <c r="G504" s="154"/>
      <c r="H504" s="154"/>
      <c r="I504" s="154"/>
    </row>
    <row r="505" spans="1:9" x14ac:dyDescent="0.25">
      <c r="A505" s="2"/>
      <c r="B505" s="2"/>
      <c r="C505" s="2"/>
      <c r="D505" s="157"/>
      <c r="E505" s="157"/>
      <c r="F505" s="153"/>
      <c r="G505" s="154"/>
      <c r="H505" s="154"/>
      <c r="I505" s="154"/>
    </row>
    <row r="506" spans="1:9" x14ac:dyDescent="0.25">
      <c r="A506" s="2"/>
      <c r="B506" s="2"/>
      <c r="C506" s="2"/>
      <c r="D506" s="157"/>
      <c r="E506" s="157"/>
      <c r="F506" s="153"/>
      <c r="G506" s="154"/>
      <c r="H506" s="154"/>
      <c r="I506" s="154"/>
    </row>
    <row r="507" spans="1:9" x14ac:dyDescent="0.25">
      <c r="A507" s="2"/>
      <c r="B507" s="2"/>
      <c r="C507" s="2"/>
      <c r="D507" s="157"/>
      <c r="E507" s="157"/>
      <c r="F507" s="153"/>
      <c r="G507" s="154"/>
      <c r="H507" s="154"/>
      <c r="I507" s="154"/>
    </row>
    <row r="508" spans="1:9" x14ac:dyDescent="0.25">
      <c r="A508" s="2"/>
      <c r="B508" s="2"/>
      <c r="C508" s="2"/>
      <c r="D508" s="157"/>
      <c r="E508" s="157"/>
      <c r="F508" s="153"/>
      <c r="G508" s="154"/>
      <c r="H508" s="154"/>
      <c r="I508" s="154"/>
    </row>
    <row r="509" spans="1:9" x14ac:dyDescent="0.25">
      <c r="A509" s="2"/>
      <c r="B509" s="2"/>
      <c r="C509" s="2"/>
      <c r="D509" s="157"/>
      <c r="E509" s="157"/>
      <c r="F509" s="153"/>
      <c r="G509" s="154"/>
      <c r="H509" s="154"/>
      <c r="I509" s="154"/>
    </row>
    <row r="510" spans="1:9" x14ac:dyDescent="0.25">
      <c r="A510" s="2"/>
      <c r="B510" s="2"/>
      <c r="C510" s="2"/>
      <c r="D510" s="157"/>
      <c r="E510" s="157"/>
      <c r="F510" s="153"/>
      <c r="G510" s="154"/>
      <c r="H510" s="154"/>
      <c r="I510" s="154"/>
    </row>
    <row r="511" spans="1:9" x14ac:dyDescent="0.25">
      <c r="A511" s="2"/>
      <c r="B511" s="2"/>
      <c r="C511" s="2"/>
      <c r="D511" s="157"/>
      <c r="E511" s="157"/>
      <c r="F511" s="153"/>
      <c r="G511" s="154"/>
      <c r="H511" s="154"/>
      <c r="I511" s="154"/>
    </row>
    <row r="512" spans="1:9" x14ac:dyDescent="0.25">
      <c r="A512" s="2"/>
      <c r="B512" s="2"/>
      <c r="C512" s="2"/>
      <c r="D512" s="157"/>
      <c r="E512" s="157"/>
      <c r="F512" s="153"/>
      <c r="G512" s="154"/>
      <c r="H512" s="154"/>
      <c r="I512" s="154"/>
    </row>
    <row r="513" spans="1:9" x14ac:dyDescent="0.25">
      <c r="A513" s="2"/>
      <c r="B513" s="2"/>
      <c r="C513" s="2"/>
      <c r="D513" s="157"/>
      <c r="E513" s="157"/>
      <c r="F513" s="153"/>
      <c r="G513" s="154"/>
      <c r="H513" s="154"/>
      <c r="I513" s="154"/>
    </row>
    <row r="514" spans="1:9" x14ac:dyDescent="0.25">
      <c r="A514" s="2"/>
      <c r="B514" s="2"/>
      <c r="C514" s="2"/>
      <c r="D514" s="157"/>
      <c r="E514" s="157"/>
      <c r="F514" s="153"/>
      <c r="G514" s="154"/>
      <c r="H514" s="154"/>
      <c r="I514" s="154"/>
    </row>
    <row r="515" spans="1:9" x14ac:dyDescent="0.25">
      <c r="A515" s="2"/>
      <c r="B515" s="2"/>
      <c r="C515" s="2"/>
      <c r="D515" s="157"/>
      <c r="E515" s="157"/>
      <c r="F515" s="153"/>
      <c r="G515" s="154"/>
      <c r="H515" s="154"/>
      <c r="I515" s="154"/>
    </row>
    <row r="516" spans="1:9" x14ac:dyDescent="0.25">
      <c r="A516" s="2"/>
      <c r="B516" s="2"/>
      <c r="C516" s="2"/>
      <c r="D516" s="157"/>
      <c r="E516" s="157"/>
      <c r="F516" s="153"/>
      <c r="G516" s="154"/>
      <c r="H516" s="154"/>
      <c r="I516" s="154"/>
    </row>
    <row r="517" spans="1:9" x14ac:dyDescent="0.25">
      <c r="A517" s="2"/>
      <c r="B517" s="2"/>
      <c r="C517" s="2"/>
      <c r="D517" s="157"/>
      <c r="E517" s="157"/>
      <c r="F517" s="153"/>
      <c r="G517" s="154"/>
      <c r="H517" s="154"/>
      <c r="I517" s="154"/>
    </row>
    <row r="518" spans="1:9" x14ac:dyDescent="0.25">
      <c r="A518" s="2"/>
      <c r="B518" s="2"/>
      <c r="C518" s="2"/>
      <c r="D518" s="157"/>
      <c r="E518" s="157"/>
      <c r="F518" s="153"/>
      <c r="G518" s="154"/>
      <c r="H518" s="154"/>
      <c r="I518" s="154"/>
    </row>
    <row r="519" spans="1:9" x14ac:dyDescent="0.25">
      <c r="A519" s="2"/>
      <c r="B519" s="2"/>
      <c r="C519" s="2"/>
      <c r="D519" s="157"/>
      <c r="E519" s="157"/>
      <c r="F519" s="153"/>
      <c r="G519" s="154"/>
      <c r="H519" s="154"/>
      <c r="I519" s="154"/>
    </row>
    <row r="520" spans="1:9" x14ac:dyDescent="0.25">
      <c r="A520" s="2"/>
      <c r="B520" s="2"/>
      <c r="C520" s="2"/>
      <c r="D520" s="157"/>
      <c r="E520" s="157"/>
      <c r="F520" s="153"/>
      <c r="G520" s="154"/>
      <c r="H520" s="154"/>
      <c r="I520" s="154"/>
    </row>
    <row r="521" spans="1:9" x14ac:dyDescent="0.25">
      <c r="A521" s="2"/>
      <c r="B521" s="2"/>
      <c r="C521" s="2"/>
      <c r="D521" s="157"/>
      <c r="E521" s="157"/>
      <c r="F521" s="153"/>
      <c r="G521" s="154"/>
      <c r="H521" s="154"/>
      <c r="I521" s="154"/>
    </row>
    <row r="522" spans="1:9" x14ac:dyDescent="0.25">
      <c r="A522" s="2"/>
      <c r="B522" s="2"/>
      <c r="C522" s="2"/>
      <c r="D522" s="157"/>
      <c r="E522" s="157"/>
      <c r="F522" s="153"/>
      <c r="G522" s="154"/>
      <c r="H522" s="154"/>
      <c r="I522" s="154"/>
    </row>
    <row r="523" spans="1:9" x14ac:dyDescent="0.25">
      <c r="A523" s="2"/>
      <c r="B523" s="2"/>
      <c r="C523" s="2"/>
      <c r="D523" s="157"/>
      <c r="E523" s="157"/>
      <c r="F523" s="153"/>
      <c r="G523" s="154"/>
      <c r="H523" s="154"/>
      <c r="I523" s="154"/>
    </row>
    <row r="524" spans="1:9" x14ac:dyDescent="0.25">
      <c r="A524" s="2"/>
      <c r="B524" s="2"/>
      <c r="C524" s="2"/>
      <c r="D524" s="157"/>
      <c r="E524" s="157"/>
      <c r="F524" s="153"/>
      <c r="G524" s="154"/>
      <c r="H524" s="154"/>
      <c r="I524" s="154"/>
    </row>
    <row r="525" spans="1:9" x14ac:dyDescent="0.25">
      <c r="A525" s="2"/>
      <c r="B525" s="2"/>
      <c r="C525" s="2"/>
      <c r="D525" s="157"/>
      <c r="E525" s="157"/>
      <c r="F525" s="153"/>
      <c r="G525" s="154"/>
      <c r="H525" s="154"/>
      <c r="I525" s="154"/>
    </row>
    <row r="526" spans="1:9" x14ac:dyDescent="0.25">
      <c r="A526" s="2"/>
      <c r="B526" s="2"/>
      <c r="C526" s="2"/>
      <c r="D526" s="157"/>
      <c r="E526" s="157"/>
      <c r="F526" s="153"/>
      <c r="G526" s="154"/>
      <c r="H526" s="154"/>
      <c r="I526" s="154"/>
    </row>
    <row r="527" spans="1:9" x14ac:dyDescent="0.25">
      <c r="A527" s="2"/>
      <c r="B527" s="2"/>
      <c r="C527" s="2"/>
      <c r="D527" s="157"/>
      <c r="E527" s="157"/>
      <c r="F527" s="153"/>
      <c r="G527" s="154"/>
      <c r="H527" s="154"/>
      <c r="I527" s="154"/>
    </row>
    <row r="528" spans="1:9" x14ac:dyDescent="0.25">
      <c r="A528" s="2"/>
      <c r="B528" s="2"/>
      <c r="C528" s="2"/>
      <c r="D528" s="157"/>
      <c r="E528" s="157"/>
      <c r="F528" s="153"/>
      <c r="G528" s="154"/>
      <c r="H528" s="154"/>
      <c r="I528" s="154"/>
    </row>
    <row r="529" spans="1:9" x14ac:dyDescent="0.25">
      <c r="A529" s="2"/>
      <c r="B529" s="2"/>
      <c r="C529" s="2"/>
      <c r="D529" s="157"/>
      <c r="E529" s="157"/>
      <c r="F529" s="153"/>
      <c r="G529" s="154"/>
      <c r="H529" s="154"/>
      <c r="I529" s="154"/>
    </row>
    <row r="530" spans="1:9" x14ac:dyDescent="0.25">
      <c r="A530" s="2"/>
      <c r="B530" s="2"/>
      <c r="C530" s="2"/>
      <c r="D530" s="157"/>
      <c r="E530" s="157"/>
      <c r="F530" s="153"/>
      <c r="G530" s="154"/>
      <c r="H530" s="154"/>
      <c r="I530" s="154"/>
    </row>
    <row r="531" spans="1:9" x14ac:dyDescent="0.25">
      <c r="A531" s="2"/>
      <c r="B531" s="2"/>
      <c r="C531" s="2"/>
      <c r="D531" s="157"/>
      <c r="E531" s="157"/>
      <c r="F531" s="153"/>
      <c r="G531" s="154"/>
      <c r="H531" s="154"/>
      <c r="I531" s="154"/>
    </row>
    <row r="532" spans="1:9" x14ac:dyDescent="0.25">
      <c r="A532" s="2"/>
      <c r="B532" s="2"/>
      <c r="C532" s="2"/>
      <c r="D532" s="157"/>
      <c r="E532" s="157"/>
      <c r="F532" s="153"/>
      <c r="G532" s="154"/>
      <c r="H532" s="154"/>
      <c r="I532" s="154"/>
    </row>
    <row r="533" spans="1:9" x14ac:dyDescent="0.25">
      <c r="A533" s="2"/>
      <c r="B533" s="2"/>
      <c r="C533" s="2"/>
      <c r="D533" s="157"/>
      <c r="E533" s="157"/>
      <c r="F533" s="153"/>
      <c r="G533" s="154"/>
      <c r="H533" s="154"/>
      <c r="I533" s="154"/>
    </row>
    <row r="534" spans="1:9" x14ac:dyDescent="0.25">
      <c r="A534" s="2"/>
      <c r="B534" s="2"/>
      <c r="C534" s="2"/>
      <c r="D534" s="157"/>
      <c r="E534" s="157"/>
      <c r="F534" s="153"/>
      <c r="G534" s="154"/>
      <c r="H534" s="154"/>
      <c r="I534" s="154"/>
    </row>
    <row r="535" spans="1:9" x14ac:dyDescent="0.25">
      <c r="A535" s="2"/>
      <c r="B535" s="2"/>
      <c r="C535" s="2"/>
      <c r="D535" s="157"/>
      <c r="E535" s="157"/>
      <c r="F535" s="153"/>
      <c r="G535" s="154"/>
      <c r="H535" s="154"/>
      <c r="I535" s="154"/>
    </row>
    <row r="536" spans="1:9" x14ac:dyDescent="0.25">
      <c r="A536" s="2"/>
      <c r="B536" s="2"/>
      <c r="C536" s="2"/>
      <c r="D536" s="157"/>
      <c r="E536" s="157"/>
      <c r="F536" s="153"/>
      <c r="G536" s="154"/>
      <c r="H536" s="154"/>
      <c r="I536" s="154"/>
    </row>
    <row r="537" spans="1:9" x14ac:dyDescent="0.25">
      <c r="A537" s="2"/>
      <c r="B537" s="2"/>
      <c r="C537" s="2"/>
      <c r="D537" s="157"/>
      <c r="E537" s="157"/>
      <c r="F537" s="153"/>
      <c r="G537" s="154"/>
      <c r="H537" s="154"/>
      <c r="I537" s="154"/>
    </row>
    <row r="538" spans="1:9" x14ac:dyDescent="0.25">
      <c r="A538" s="2"/>
      <c r="B538" s="2"/>
      <c r="C538" s="2"/>
      <c r="D538" s="157"/>
      <c r="E538" s="157"/>
      <c r="F538" s="153"/>
      <c r="G538" s="154"/>
      <c r="H538" s="154"/>
      <c r="I538" s="154"/>
    </row>
    <row r="539" spans="1:9" x14ac:dyDescent="0.25">
      <c r="A539" s="2"/>
      <c r="B539" s="2"/>
      <c r="C539" s="2"/>
      <c r="D539" s="157"/>
      <c r="E539" s="157"/>
      <c r="F539" s="153"/>
      <c r="G539" s="154"/>
      <c r="H539" s="154"/>
      <c r="I539" s="154"/>
    </row>
    <row r="540" spans="1:9" x14ac:dyDescent="0.25">
      <c r="A540" s="2"/>
      <c r="B540" s="2"/>
      <c r="C540" s="2"/>
      <c r="D540" s="157"/>
      <c r="E540" s="157"/>
      <c r="F540" s="153"/>
      <c r="G540" s="154"/>
      <c r="H540" s="154"/>
      <c r="I540" s="154"/>
    </row>
    <row r="541" spans="1:9" x14ac:dyDescent="0.25">
      <c r="A541" s="2"/>
      <c r="B541" s="2"/>
      <c r="C541" s="2"/>
      <c r="D541" s="157"/>
      <c r="E541" s="157"/>
      <c r="F541" s="153"/>
      <c r="G541" s="154"/>
      <c r="H541" s="154"/>
      <c r="I541" s="154"/>
    </row>
    <row r="542" spans="1:9" x14ac:dyDescent="0.25">
      <c r="A542" s="2"/>
      <c r="B542" s="2"/>
      <c r="C542" s="2"/>
      <c r="D542" s="157"/>
      <c r="E542" s="157"/>
      <c r="F542" s="153"/>
      <c r="G542" s="154"/>
      <c r="H542" s="154"/>
      <c r="I542" s="154"/>
    </row>
    <row r="543" spans="1:9" x14ac:dyDescent="0.25">
      <c r="A543" s="2"/>
      <c r="B543" s="2"/>
      <c r="C543" s="2"/>
      <c r="D543" s="157"/>
      <c r="E543" s="157"/>
      <c r="F543" s="153"/>
      <c r="G543" s="154"/>
      <c r="H543" s="154"/>
      <c r="I543" s="154"/>
    </row>
    <row r="544" spans="1:9" x14ac:dyDescent="0.25">
      <c r="A544" s="2"/>
      <c r="B544" s="2"/>
      <c r="C544" s="2"/>
      <c r="D544" s="157"/>
      <c r="E544" s="157"/>
      <c r="F544" s="153"/>
      <c r="G544" s="154"/>
      <c r="H544" s="154"/>
      <c r="I544" s="154"/>
    </row>
    <row r="545" spans="1:9" x14ac:dyDescent="0.25">
      <c r="A545" s="2"/>
      <c r="B545" s="2"/>
      <c r="C545" s="2"/>
      <c r="D545" s="157"/>
      <c r="E545" s="157"/>
      <c r="F545" s="153"/>
      <c r="G545" s="154"/>
      <c r="H545" s="154"/>
      <c r="I545" s="154"/>
    </row>
    <row r="546" spans="1:9" x14ac:dyDescent="0.25">
      <c r="A546" s="2"/>
      <c r="B546" s="2"/>
      <c r="C546" s="2"/>
      <c r="D546" s="157"/>
      <c r="E546" s="157"/>
      <c r="F546" s="153"/>
      <c r="G546" s="154"/>
      <c r="H546" s="154"/>
      <c r="I546" s="154"/>
    </row>
    <row r="547" spans="1:9" x14ac:dyDescent="0.25">
      <c r="A547" s="2"/>
      <c r="B547" s="2"/>
      <c r="C547" s="2"/>
      <c r="D547" s="157"/>
      <c r="E547" s="157"/>
      <c r="F547" s="153"/>
      <c r="G547" s="154"/>
      <c r="H547" s="154"/>
      <c r="I547" s="154"/>
    </row>
    <row r="548" spans="1:9" x14ac:dyDescent="0.25">
      <c r="A548" s="2"/>
      <c r="B548" s="2"/>
      <c r="C548" s="2"/>
      <c r="D548" s="157"/>
      <c r="E548" s="157"/>
      <c r="F548" s="153"/>
      <c r="G548" s="154"/>
      <c r="H548" s="154"/>
      <c r="I548" s="154"/>
    </row>
    <row r="549" spans="1:9" x14ac:dyDescent="0.25">
      <c r="A549" s="2"/>
      <c r="B549" s="2"/>
      <c r="C549" s="2"/>
      <c r="D549" s="157"/>
      <c r="E549" s="157"/>
      <c r="F549" s="153"/>
      <c r="G549" s="154"/>
      <c r="H549" s="154"/>
      <c r="I549" s="154"/>
    </row>
    <row r="550" spans="1:9" x14ac:dyDescent="0.25">
      <c r="A550" s="2"/>
      <c r="B550" s="2"/>
      <c r="C550" s="2"/>
      <c r="D550" s="157"/>
      <c r="E550" s="157"/>
      <c r="F550" s="153"/>
      <c r="G550" s="154"/>
      <c r="H550" s="154"/>
      <c r="I550" s="154"/>
    </row>
    <row r="551" spans="1:9" x14ac:dyDescent="0.25">
      <c r="A551" s="2"/>
      <c r="B551" s="2"/>
      <c r="C551" s="2"/>
      <c r="D551" s="157"/>
      <c r="E551" s="157"/>
      <c r="F551" s="153"/>
      <c r="G551" s="154"/>
      <c r="H551" s="154"/>
      <c r="I551" s="154"/>
    </row>
    <row r="552" spans="1:9" x14ac:dyDescent="0.25">
      <c r="A552" s="2"/>
      <c r="B552" s="2"/>
      <c r="C552" s="2"/>
      <c r="D552" s="157"/>
      <c r="E552" s="157"/>
      <c r="F552" s="153"/>
      <c r="G552" s="154"/>
      <c r="H552" s="154"/>
      <c r="I552" s="154"/>
    </row>
    <row r="553" spans="1:9" x14ac:dyDescent="0.25">
      <c r="A553" s="2"/>
      <c r="B553" s="2"/>
      <c r="C553" s="2"/>
      <c r="D553" s="157"/>
      <c r="E553" s="157"/>
      <c r="F553" s="153"/>
      <c r="G553" s="154"/>
      <c r="H553" s="154"/>
      <c r="I553" s="154"/>
    </row>
    <row r="554" spans="1:9" x14ac:dyDescent="0.25">
      <c r="A554" s="2"/>
      <c r="B554" s="2"/>
      <c r="C554" s="2"/>
      <c r="D554" s="157"/>
      <c r="E554" s="157"/>
      <c r="F554" s="153"/>
      <c r="G554" s="154"/>
      <c r="H554" s="154"/>
      <c r="I554" s="154"/>
    </row>
    <row r="555" spans="1:9" x14ac:dyDescent="0.25">
      <c r="A555" s="2"/>
      <c r="B555" s="2"/>
      <c r="C555" s="2"/>
      <c r="D555" s="157"/>
      <c r="E555" s="157"/>
      <c r="F555" s="153"/>
      <c r="G555" s="154"/>
      <c r="H555" s="154"/>
      <c r="I555" s="154"/>
    </row>
    <row r="556" spans="1:9" x14ac:dyDescent="0.25">
      <c r="A556" s="2"/>
      <c r="B556" s="2"/>
      <c r="C556" s="2"/>
      <c r="D556" s="157"/>
      <c r="E556" s="157"/>
      <c r="F556" s="153"/>
      <c r="G556" s="154"/>
      <c r="H556" s="154"/>
      <c r="I556" s="154"/>
    </row>
    <row r="557" spans="1:9" x14ac:dyDescent="0.25">
      <c r="A557" s="2"/>
      <c r="B557" s="2"/>
      <c r="C557" s="2"/>
      <c r="D557" s="157"/>
      <c r="E557" s="157"/>
      <c r="F557" s="153"/>
      <c r="G557" s="154"/>
      <c r="H557" s="154"/>
      <c r="I557" s="154"/>
    </row>
    <row r="558" spans="1:9" x14ac:dyDescent="0.25">
      <c r="A558" s="2"/>
      <c r="B558" s="2"/>
      <c r="C558" s="2"/>
      <c r="D558" s="157"/>
      <c r="E558" s="157"/>
      <c r="F558" s="153"/>
      <c r="G558" s="154"/>
      <c r="H558" s="154"/>
      <c r="I558" s="154"/>
    </row>
    <row r="559" spans="1:9" x14ac:dyDescent="0.25">
      <c r="A559" s="2"/>
      <c r="B559" s="2"/>
      <c r="C559" s="2"/>
      <c r="D559" s="157"/>
      <c r="E559" s="157"/>
      <c r="F559" s="153"/>
      <c r="G559" s="154"/>
      <c r="H559" s="154"/>
      <c r="I559" s="154"/>
    </row>
    <row r="560" spans="1:9" x14ac:dyDescent="0.25">
      <c r="A560" s="2"/>
      <c r="B560" s="2"/>
      <c r="C560" s="2"/>
      <c r="D560" s="157"/>
      <c r="E560" s="157"/>
      <c r="F560" s="153"/>
      <c r="G560" s="154"/>
      <c r="H560" s="154"/>
      <c r="I560" s="154"/>
    </row>
    <row r="561" spans="1:9" x14ac:dyDescent="0.25">
      <c r="A561" s="2"/>
      <c r="B561" s="2"/>
      <c r="C561" s="2"/>
      <c r="D561" s="157"/>
      <c r="E561" s="157"/>
      <c r="F561" s="153"/>
      <c r="G561" s="154"/>
      <c r="H561" s="154"/>
      <c r="I561" s="154"/>
    </row>
    <row r="562" spans="1:9" x14ac:dyDescent="0.25">
      <c r="A562" s="2"/>
      <c r="B562" s="2"/>
      <c r="C562" s="2"/>
      <c r="D562" s="157"/>
      <c r="E562" s="157"/>
      <c r="F562" s="153"/>
      <c r="G562" s="154"/>
      <c r="H562" s="154"/>
      <c r="I562" s="154"/>
    </row>
    <row r="563" spans="1:9" x14ac:dyDescent="0.25">
      <c r="A563" s="2"/>
      <c r="B563" s="2"/>
      <c r="C563" s="2"/>
      <c r="D563" s="157"/>
      <c r="E563" s="157"/>
      <c r="F563" s="153"/>
      <c r="G563" s="154"/>
      <c r="H563" s="154"/>
      <c r="I563" s="154"/>
    </row>
    <row r="564" spans="1:9" x14ac:dyDescent="0.25">
      <c r="A564" s="2"/>
      <c r="B564" s="2"/>
      <c r="C564" s="2"/>
      <c r="D564" s="157"/>
      <c r="E564" s="157"/>
      <c r="F564" s="153"/>
      <c r="G564" s="154"/>
      <c r="H564" s="154"/>
      <c r="I564" s="154"/>
    </row>
    <row r="565" spans="1:9" x14ac:dyDescent="0.25">
      <c r="A565" s="2"/>
      <c r="B565" s="2"/>
      <c r="C565" s="2"/>
      <c r="D565" s="157"/>
      <c r="E565" s="157"/>
      <c r="F565" s="153"/>
      <c r="G565" s="154"/>
      <c r="H565" s="154"/>
      <c r="I565" s="154"/>
    </row>
    <row r="566" spans="1:9" x14ac:dyDescent="0.25">
      <c r="A566" s="2"/>
      <c r="B566" s="2"/>
      <c r="C566" s="2"/>
      <c r="D566" s="157"/>
      <c r="E566" s="157"/>
      <c r="F566" s="153"/>
      <c r="G566" s="154"/>
      <c r="H566" s="154"/>
      <c r="I566" s="154"/>
    </row>
    <row r="567" spans="1:9" x14ac:dyDescent="0.25">
      <c r="A567" s="2"/>
      <c r="B567" s="2"/>
      <c r="C567" s="2"/>
      <c r="D567" s="157"/>
      <c r="E567" s="157"/>
      <c r="F567" s="153"/>
      <c r="G567" s="154"/>
      <c r="H567" s="154"/>
      <c r="I567" s="154"/>
    </row>
    <row r="568" spans="1:9" x14ac:dyDescent="0.25">
      <c r="A568" s="2"/>
      <c r="B568" s="2"/>
      <c r="C568" s="2"/>
      <c r="D568" s="157"/>
      <c r="E568" s="157"/>
      <c r="F568" s="153"/>
      <c r="G568" s="154"/>
      <c r="H568" s="154"/>
      <c r="I568" s="154"/>
    </row>
    <row r="569" spans="1:9" x14ac:dyDescent="0.25">
      <c r="A569" s="2"/>
      <c r="B569" s="2"/>
      <c r="C569" s="2"/>
      <c r="D569" s="157"/>
      <c r="E569" s="157"/>
      <c r="F569" s="153"/>
      <c r="G569" s="154"/>
      <c r="H569" s="154"/>
      <c r="I569" s="154"/>
    </row>
    <row r="570" spans="1:9" x14ac:dyDescent="0.25">
      <c r="A570" s="2"/>
      <c r="B570" s="2"/>
      <c r="C570" s="2"/>
      <c r="D570" s="157"/>
      <c r="E570" s="157"/>
      <c r="F570" s="153"/>
      <c r="G570" s="154"/>
      <c r="H570" s="154"/>
      <c r="I570" s="154"/>
    </row>
    <row r="571" spans="1:9" x14ac:dyDescent="0.25">
      <c r="A571" s="2"/>
      <c r="B571" s="2"/>
      <c r="C571" s="2"/>
      <c r="D571" s="157"/>
      <c r="E571" s="157"/>
      <c r="F571" s="153"/>
      <c r="G571" s="154"/>
      <c r="H571" s="154"/>
      <c r="I571" s="154"/>
    </row>
    <row r="572" spans="1:9" x14ac:dyDescent="0.25">
      <c r="A572" s="2"/>
      <c r="B572" s="2"/>
      <c r="C572" s="2"/>
      <c r="D572" s="157"/>
      <c r="E572" s="157"/>
      <c r="F572" s="153"/>
      <c r="G572" s="154"/>
      <c r="H572" s="154"/>
      <c r="I572" s="154"/>
    </row>
    <row r="573" spans="1:9" x14ac:dyDescent="0.25">
      <c r="A573" s="2"/>
      <c r="B573" s="2"/>
      <c r="C573" s="2"/>
      <c r="D573" s="157"/>
      <c r="E573" s="157"/>
      <c r="F573" s="153"/>
      <c r="G573" s="154"/>
      <c r="H573" s="154"/>
      <c r="I573" s="154"/>
    </row>
    <row r="574" spans="1:9" x14ac:dyDescent="0.25">
      <c r="A574" s="2"/>
      <c r="B574" s="2"/>
      <c r="C574" s="2"/>
      <c r="D574" s="157"/>
      <c r="E574" s="157"/>
      <c r="F574" s="153"/>
      <c r="G574" s="154"/>
      <c r="H574" s="154"/>
      <c r="I574" s="154"/>
    </row>
    <row r="575" spans="1:9" x14ac:dyDescent="0.25">
      <c r="A575" s="2"/>
      <c r="B575" s="2"/>
      <c r="C575" s="2"/>
      <c r="D575" s="157"/>
      <c r="E575" s="157"/>
      <c r="F575" s="153"/>
      <c r="G575" s="154"/>
      <c r="H575" s="154"/>
      <c r="I575" s="154"/>
    </row>
    <row r="576" spans="1:9" x14ac:dyDescent="0.25">
      <c r="A576" s="2"/>
      <c r="B576" s="2"/>
      <c r="C576" s="2"/>
      <c r="D576" s="157"/>
      <c r="E576" s="157"/>
      <c r="F576" s="153"/>
      <c r="G576" s="154"/>
      <c r="H576" s="154"/>
      <c r="I576" s="154"/>
    </row>
    <row r="577" spans="1:9" x14ac:dyDescent="0.25">
      <c r="A577" s="2"/>
      <c r="B577" s="2"/>
      <c r="C577" s="2"/>
      <c r="D577" s="157"/>
      <c r="E577" s="157"/>
      <c r="F577" s="153"/>
      <c r="G577" s="154"/>
      <c r="H577" s="154"/>
      <c r="I577" s="154"/>
    </row>
    <row r="578" spans="1:9" x14ac:dyDescent="0.25">
      <c r="A578" s="2"/>
      <c r="B578" s="2"/>
      <c r="C578" s="2"/>
      <c r="D578" s="157"/>
      <c r="E578" s="157"/>
      <c r="F578" s="153"/>
      <c r="G578" s="154"/>
      <c r="H578" s="154"/>
      <c r="I578" s="154"/>
    </row>
    <row r="579" spans="1:9" x14ac:dyDescent="0.25">
      <c r="A579" s="2"/>
      <c r="B579" s="2"/>
      <c r="C579" s="2"/>
      <c r="D579" s="157"/>
      <c r="E579" s="157"/>
      <c r="F579" s="153"/>
      <c r="G579" s="154"/>
      <c r="H579" s="154"/>
      <c r="I579" s="154"/>
    </row>
    <row r="580" spans="1:9" x14ac:dyDescent="0.25">
      <c r="A580" s="2"/>
      <c r="B580" s="2"/>
      <c r="C580" s="2"/>
      <c r="D580" s="157"/>
      <c r="E580" s="157"/>
      <c r="F580" s="153"/>
      <c r="G580" s="154"/>
      <c r="H580" s="154"/>
      <c r="I580" s="154"/>
    </row>
    <row r="581" spans="1:9" x14ac:dyDescent="0.25">
      <c r="A581" s="2"/>
      <c r="B581" s="2"/>
      <c r="C581" s="2"/>
      <c r="D581" s="157"/>
      <c r="E581" s="157"/>
      <c r="F581" s="153"/>
      <c r="G581" s="154"/>
      <c r="H581" s="154"/>
      <c r="I581" s="154"/>
    </row>
    <row r="582" spans="1:9" x14ac:dyDescent="0.25">
      <c r="A582" s="2"/>
      <c r="B582" s="2"/>
      <c r="C582" s="2"/>
      <c r="D582" s="157"/>
      <c r="E582" s="157"/>
      <c r="F582" s="153"/>
      <c r="G582" s="154"/>
      <c r="H582" s="154"/>
      <c r="I582" s="154"/>
    </row>
    <row r="583" spans="1:9" x14ac:dyDescent="0.25">
      <c r="A583" s="2"/>
      <c r="B583" s="2"/>
      <c r="C583" s="2"/>
      <c r="D583" s="157"/>
      <c r="E583" s="157"/>
      <c r="F583" s="153"/>
      <c r="G583" s="154"/>
      <c r="H583" s="154"/>
      <c r="I583" s="154"/>
    </row>
    <row r="584" spans="1:9" x14ac:dyDescent="0.25">
      <c r="A584" s="2"/>
      <c r="B584" s="2"/>
      <c r="C584" s="2"/>
      <c r="D584" s="157"/>
      <c r="E584" s="157"/>
      <c r="F584" s="153"/>
      <c r="G584" s="154"/>
      <c r="H584" s="154"/>
      <c r="I584" s="154"/>
    </row>
    <row r="585" spans="1:9" x14ac:dyDescent="0.25">
      <c r="A585" s="2"/>
      <c r="B585" s="2"/>
      <c r="C585" s="2"/>
      <c r="D585" s="157"/>
      <c r="E585" s="157"/>
      <c r="F585" s="153"/>
      <c r="G585" s="154"/>
      <c r="H585" s="154"/>
      <c r="I585" s="154"/>
    </row>
    <row r="586" spans="1:9" x14ac:dyDescent="0.25">
      <c r="A586" s="2"/>
      <c r="B586" s="2"/>
      <c r="C586" s="2"/>
      <c r="D586" s="157"/>
      <c r="E586" s="157"/>
      <c r="F586" s="153"/>
      <c r="G586" s="154"/>
      <c r="H586" s="154"/>
      <c r="I586" s="154"/>
    </row>
    <row r="587" spans="1:9" x14ac:dyDescent="0.25">
      <c r="A587" s="2"/>
      <c r="B587" s="2"/>
      <c r="C587" s="2"/>
      <c r="D587" s="157"/>
      <c r="E587" s="157"/>
      <c r="F587" s="153"/>
      <c r="G587" s="154"/>
      <c r="H587" s="154"/>
      <c r="I587" s="154"/>
    </row>
    <row r="588" spans="1:9" x14ac:dyDescent="0.25">
      <c r="A588" s="2"/>
      <c r="B588" s="2"/>
      <c r="C588" s="2"/>
      <c r="D588" s="157"/>
      <c r="E588" s="157"/>
      <c r="F588" s="153"/>
      <c r="G588" s="154"/>
      <c r="H588" s="154"/>
      <c r="I588" s="154"/>
    </row>
    <row r="589" spans="1:9" x14ac:dyDescent="0.25">
      <c r="A589" s="2"/>
      <c r="B589" s="2"/>
      <c r="C589" s="2"/>
      <c r="D589" s="157"/>
      <c r="E589" s="157"/>
      <c r="F589" s="153"/>
      <c r="G589" s="154"/>
      <c r="H589" s="154"/>
      <c r="I589" s="154"/>
    </row>
    <row r="590" spans="1:9" x14ac:dyDescent="0.25">
      <c r="A590" s="2"/>
      <c r="B590" s="2"/>
      <c r="C590" s="2"/>
      <c r="D590" s="157"/>
      <c r="E590" s="157"/>
      <c r="F590" s="153"/>
      <c r="G590" s="154"/>
      <c r="H590" s="154"/>
      <c r="I590" s="154"/>
    </row>
    <row r="591" spans="1:9" x14ac:dyDescent="0.25">
      <c r="A591" s="2"/>
      <c r="B591" s="2"/>
      <c r="C591" s="2"/>
      <c r="D591" s="157"/>
      <c r="E591" s="157"/>
      <c r="F591" s="153"/>
      <c r="G591" s="154"/>
      <c r="H591" s="154"/>
      <c r="I591" s="154"/>
    </row>
    <row r="592" spans="1:9" x14ac:dyDescent="0.25">
      <c r="A592" s="2"/>
      <c r="B592" s="2"/>
      <c r="C592" s="2"/>
      <c r="D592" s="157"/>
      <c r="E592" s="157"/>
      <c r="F592" s="153"/>
      <c r="G592" s="154"/>
      <c r="H592" s="154"/>
      <c r="I592" s="154"/>
    </row>
    <row r="593" spans="1:9" x14ac:dyDescent="0.25">
      <c r="A593" s="2"/>
      <c r="B593" s="2"/>
      <c r="C593" s="2"/>
      <c r="D593" s="157"/>
      <c r="E593" s="157"/>
      <c r="F593" s="153"/>
      <c r="G593" s="154"/>
      <c r="H593" s="154"/>
      <c r="I593" s="154"/>
    </row>
    <row r="594" spans="1:9" x14ac:dyDescent="0.25">
      <c r="A594" s="2"/>
      <c r="B594" s="2"/>
      <c r="C594" s="2"/>
      <c r="D594" s="157"/>
      <c r="E594" s="157"/>
      <c r="F594" s="153"/>
      <c r="G594" s="154"/>
      <c r="H594" s="154"/>
      <c r="I594" s="154"/>
    </row>
    <row r="595" spans="1:9" x14ac:dyDescent="0.25">
      <c r="A595" s="2"/>
      <c r="B595" s="2"/>
      <c r="C595" s="2"/>
      <c r="D595" s="157"/>
      <c r="E595" s="157"/>
      <c r="F595" s="153"/>
      <c r="G595" s="154"/>
      <c r="H595" s="154"/>
      <c r="I595" s="154"/>
    </row>
    <row r="596" spans="1:9" x14ac:dyDescent="0.25">
      <c r="A596" s="2"/>
      <c r="B596" s="2"/>
      <c r="C596" s="2"/>
      <c r="D596" s="157"/>
      <c r="E596" s="157"/>
      <c r="F596" s="153"/>
      <c r="G596" s="154"/>
      <c r="H596" s="154"/>
      <c r="I596" s="154"/>
    </row>
    <row r="597" spans="1:9" x14ac:dyDescent="0.25">
      <c r="A597" s="2"/>
      <c r="B597" s="2"/>
      <c r="C597" s="2"/>
      <c r="D597" s="157"/>
      <c r="E597" s="157"/>
      <c r="F597" s="153"/>
      <c r="G597" s="154"/>
      <c r="H597" s="154"/>
      <c r="I597" s="154"/>
    </row>
    <row r="598" spans="1:9" x14ac:dyDescent="0.25">
      <c r="A598" s="2"/>
      <c r="B598" s="2"/>
      <c r="C598" s="2"/>
      <c r="D598" s="157"/>
      <c r="E598" s="157"/>
      <c r="F598" s="153"/>
      <c r="G598" s="154"/>
      <c r="H598" s="154"/>
      <c r="I598" s="154"/>
    </row>
    <row r="599" spans="1:9" x14ac:dyDescent="0.25">
      <c r="A599" s="2"/>
      <c r="B599" s="2"/>
      <c r="C599" s="2"/>
      <c r="D599" s="157"/>
      <c r="E599" s="157"/>
      <c r="F599" s="153"/>
      <c r="G599" s="154"/>
      <c r="H599" s="154"/>
      <c r="I599" s="154"/>
    </row>
    <row r="600" spans="1:9" x14ac:dyDescent="0.25">
      <c r="A600" s="2"/>
      <c r="B600" s="2"/>
      <c r="C600" s="2"/>
      <c r="D600" s="157"/>
      <c r="E600" s="157"/>
      <c r="F600" s="153"/>
      <c r="G600" s="154"/>
      <c r="H600" s="154"/>
      <c r="I600" s="154"/>
    </row>
    <row r="601" spans="1:9" x14ac:dyDescent="0.25">
      <c r="A601" s="2"/>
      <c r="B601" s="2"/>
      <c r="C601" s="2"/>
      <c r="D601" s="157"/>
      <c r="E601" s="157"/>
      <c r="F601" s="153"/>
      <c r="G601" s="154"/>
      <c r="H601" s="154"/>
      <c r="I601" s="154"/>
    </row>
    <row r="602" spans="1:9" x14ac:dyDescent="0.25">
      <c r="A602" s="2"/>
      <c r="B602" s="2"/>
      <c r="C602" s="2"/>
      <c r="D602" s="157"/>
      <c r="E602" s="157"/>
      <c r="F602" s="153"/>
      <c r="G602" s="154"/>
      <c r="H602" s="154"/>
      <c r="I602" s="154"/>
    </row>
    <row r="603" spans="1:9" x14ac:dyDescent="0.25">
      <c r="A603" s="2"/>
      <c r="B603" s="2"/>
      <c r="C603" s="2"/>
      <c r="D603" s="157"/>
      <c r="E603" s="157"/>
      <c r="F603" s="153"/>
      <c r="G603" s="154"/>
      <c r="H603" s="154"/>
      <c r="I603" s="154"/>
    </row>
    <row r="604" spans="1:9" x14ac:dyDescent="0.25">
      <c r="A604" s="2"/>
      <c r="B604" s="2"/>
      <c r="C604" s="2"/>
      <c r="D604" s="157"/>
      <c r="E604" s="157"/>
      <c r="F604" s="153"/>
      <c r="G604" s="154"/>
      <c r="H604" s="154"/>
      <c r="I604" s="154"/>
    </row>
    <row r="605" spans="1:9" x14ac:dyDescent="0.25">
      <c r="A605" s="2"/>
      <c r="B605" s="2"/>
      <c r="C605" s="2"/>
      <c r="D605" s="157"/>
      <c r="E605" s="157"/>
      <c r="F605" s="153"/>
      <c r="G605" s="154"/>
      <c r="H605" s="154"/>
      <c r="I605" s="154"/>
    </row>
    <row r="606" spans="1:9" x14ac:dyDescent="0.25">
      <c r="A606" s="2"/>
      <c r="B606" s="2"/>
      <c r="C606" s="2"/>
      <c r="D606" s="157"/>
      <c r="E606" s="157"/>
      <c r="F606" s="153"/>
      <c r="G606" s="154"/>
      <c r="H606" s="154"/>
      <c r="I606" s="154"/>
    </row>
    <row r="607" spans="1:9" x14ac:dyDescent="0.25">
      <c r="A607" s="2"/>
      <c r="B607" s="2"/>
      <c r="C607" s="2"/>
      <c r="D607" s="157"/>
      <c r="E607" s="157"/>
      <c r="F607" s="153"/>
      <c r="G607" s="154"/>
      <c r="H607" s="154"/>
      <c r="I607" s="154"/>
    </row>
    <row r="608" spans="1:9" x14ac:dyDescent="0.25">
      <c r="A608" s="2"/>
      <c r="B608" s="2"/>
      <c r="C608" s="2"/>
      <c r="D608" s="157"/>
      <c r="E608" s="157"/>
      <c r="F608" s="153"/>
      <c r="G608" s="154"/>
      <c r="H608" s="154"/>
      <c r="I608" s="154"/>
    </row>
    <row r="609" spans="1:9" x14ac:dyDescent="0.25">
      <c r="A609" s="2"/>
      <c r="B609" s="2"/>
      <c r="C609" s="2"/>
      <c r="D609" s="157"/>
      <c r="E609" s="157"/>
      <c r="F609" s="153"/>
      <c r="G609" s="154"/>
      <c r="H609" s="154"/>
      <c r="I609" s="154"/>
    </row>
    <row r="610" spans="1:9" x14ac:dyDescent="0.25">
      <c r="A610" s="2"/>
      <c r="B610" s="2"/>
      <c r="C610" s="2"/>
      <c r="D610" s="157"/>
      <c r="E610" s="157"/>
      <c r="F610" s="153"/>
      <c r="G610" s="154"/>
      <c r="H610" s="154"/>
      <c r="I610" s="154"/>
    </row>
    <row r="611" spans="1:9" x14ac:dyDescent="0.25">
      <c r="A611" s="2"/>
      <c r="B611" s="2"/>
      <c r="C611" s="2"/>
      <c r="D611" s="157"/>
      <c r="E611" s="157"/>
      <c r="F611" s="153"/>
      <c r="G611" s="154"/>
      <c r="H611" s="154"/>
      <c r="I611" s="154"/>
    </row>
    <row r="612" spans="1:9" x14ac:dyDescent="0.25">
      <c r="A612" s="2"/>
      <c r="B612" s="2"/>
      <c r="C612" s="2"/>
      <c r="D612" s="157"/>
      <c r="E612" s="157"/>
      <c r="F612" s="153"/>
      <c r="G612" s="154"/>
      <c r="H612" s="154"/>
      <c r="I612" s="154"/>
    </row>
    <row r="613" spans="1:9" x14ac:dyDescent="0.25">
      <c r="A613" s="2"/>
      <c r="B613" s="2"/>
      <c r="C613" s="2"/>
      <c r="D613" s="157"/>
      <c r="E613" s="157"/>
      <c r="F613" s="153"/>
      <c r="G613" s="154"/>
      <c r="H613" s="154"/>
      <c r="I613" s="154"/>
    </row>
    <row r="614" spans="1:9" x14ac:dyDescent="0.25">
      <c r="A614" s="2"/>
      <c r="B614" s="2"/>
      <c r="C614" s="2"/>
      <c r="D614" s="157"/>
      <c r="E614" s="157"/>
      <c r="F614" s="153"/>
      <c r="G614" s="154"/>
      <c r="H614" s="154"/>
      <c r="I614" s="154"/>
    </row>
    <row r="615" spans="1:9" x14ac:dyDescent="0.25">
      <c r="A615" s="2"/>
      <c r="B615" s="2"/>
      <c r="C615" s="2"/>
      <c r="D615" s="157"/>
      <c r="E615" s="157"/>
      <c r="F615" s="153"/>
      <c r="G615" s="154"/>
      <c r="H615" s="154"/>
      <c r="I615" s="154"/>
    </row>
    <row r="616" spans="1:9" x14ac:dyDescent="0.25">
      <c r="A616" s="2"/>
      <c r="B616" s="2"/>
      <c r="C616" s="2"/>
      <c r="D616" s="157"/>
      <c r="E616" s="157"/>
      <c r="F616" s="153"/>
      <c r="G616" s="154"/>
      <c r="H616" s="154"/>
      <c r="I616" s="154"/>
    </row>
    <row r="617" spans="1:9" x14ac:dyDescent="0.25">
      <c r="A617" s="2"/>
      <c r="B617" s="2"/>
      <c r="C617" s="2"/>
      <c r="D617" s="157"/>
      <c r="E617" s="157"/>
      <c r="F617" s="153"/>
      <c r="G617" s="154"/>
      <c r="H617" s="154"/>
      <c r="I617" s="154"/>
    </row>
    <row r="618" spans="1:9" x14ac:dyDescent="0.25">
      <c r="A618" s="2"/>
      <c r="B618" s="2"/>
      <c r="C618" s="2"/>
      <c r="D618" s="157"/>
      <c r="E618" s="157"/>
      <c r="F618" s="153"/>
      <c r="G618" s="154"/>
      <c r="H618" s="154"/>
      <c r="I618" s="154"/>
    </row>
    <row r="619" spans="1:9" x14ac:dyDescent="0.25">
      <c r="A619" s="2"/>
      <c r="B619" s="2"/>
      <c r="C619" s="2"/>
      <c r="D619" s="157"/>
      <c r="E619" s="157"/>
      <c r="F619" s="153"/>
      <c r="G619" s="154"/>
      <c r="H619" s="154"/>
      <c r="I619" s="154"/>
    </row>
    <row r="620" spans="1:9" x14ac:dyDescent="0.25">
      <c r="A620" s="2"/>
      <c r="B620" s="2"/>
      <c r="C620" s="2"/>
      <c r="D620" s="157"/>
      <c r="E620" s="157"/>
      <c r="F620" s="153"/>
      <c r="G620" s="154"/>
      <c r="H620" s="154"/>
      <c r="I620" s="154"/>
    </row>
    <row r="621" spans="1:9" x14ac:dyDescent="0.25">
      <c r="A621" s="2"/>
      <c r="B621" s="2"/>
      <c r="C621" s="2"/>
      <c r="D621" s="157"/>
      <c r="E621" s="157"/>
      <c r="F621" s="153"/>
      <c r="G621" s="154"/>
      <c r="H621" s="154"/>
      <c r="I621" s="154"/>
    </row>
    <row r="622" spans="1:9" x14ac:dyDescent="0.25">
      <c r="A622" s="2"/>
      <c r="B622" s="2"/>
      <c r="C622" s="2"/>
      <c r="D622" s="157"/>
      <c r="E622" s="157"/>
      <c r="F622" s="153"/>
      <c r="G622" s="154"/>
      <c r="H622" s="154"/>
      <c r="I622" s="154"/>
    </row>
    <row r="623" spans="1:9" x14ac:dyDescent="0.25">
      <c r="A623" s="2"/>
      <c r="B623" s="2"/>
      <c r="C623" s="2"/>
      <c r="D623" s="157"/>
      <c r="E623" s="157"/>
      <c r="F623" s="153"/>
      <c r="G623" s="154"/>
      <c r="H623" s="154"/>
      <c r="I623" s="154"/>
    </row>
    <row r="624" spans="1:9" x14ac:dyDescent="0.25">
      <c r="A624" s="2"/>
      <c r="B624" s="2"/>
      <c r="C624" s="2"/>
      <c r="D624" s="157"/>
      <c r="E624" s="157"/>
      <c r="F624" s="153"/>
      <c r="G624" s="154"/>
      <c r="H624" s="154"/>
      <c r="I624" s="154"/>
    </row>
    <row r="625" spans="1:9" x14ac:dyDescent="0.25">
      <c r="A625" s="2"/>
      <c r="B625" s="2"/>
      <c r="C625" s="2"/>
      <c r="D625" s="157"/>
      <c r="E625" s="157"/>
      <c r="F625" s="153"/>
      <c r="G625" s="154"/>
      <c r="H625" s="154"/>
      <c r="I625" s="154"/>
    </row>
    <row r="626" spans="1:9" x14ac:dyDescent="0.25">
      <c r="A626" s="2"/>
      <c r="B626" s="2"/>
      <c r="C626" s="2"/>
      <c r="D626" s="157"/>
      <c r="E626" s="157"/>
      <c r="F626" s="153"/>
      <c r="G626" s="154"/>
      <c r="H626" s="154"/>
      <c r="I626" s="154"/>
    </row>
    <row r="627" spans="1:9" x14ac:dyDescent="0.25">
      <c r="A627" s="2"/>
      <c r="B627" s="2"/>
      <c r="C627" s="2"/>
      <c r="D627" s="157"/>
      <c r="E627" s="157"/>
      <c r="F627" s="153"/>
      <c r="G627" s="154"/>
      <c r="H627" s="154"/>
      <c r="I627" s="154"/>
    </row>
    <row r="628" spans="1:9" x14ac:dyDescent="0.25">
      <c r="A628" s="2"/>
      <c r="B628" s="2"/>
      <c r="C628" s="2"/>
      <c r="D628" s="157"/>
      <c r="E628" s="157"/>
      <c r="F628" s="153"/>
      <c r="G628" s="154"/>
      <c r="H628" s="154"/>
      <c r="I628" s="154"/>
    </row>
    <row r="629" spans="1:9" x14ac:dyDescent="0.25">
      <c r="A629" s="2"/>
      <c r="B629" s="2"/>
      <c r="C629" s="2"/>
      <c r="D629" s="157"/>
      <c r="E629" s="157"/>
      <c r="F629" s="153"/>
      <c r="G629" s="154"/>
      <c r="H629" s="154"/>
      <c r="I629" s="154"/>
    </row>
    <row r="630" spans="1:9" x14ac:dyDescent="0.25">
      <c r="A630" s="2"/>
      <c r="B630" s="2"/>
      <c r="C630" s="2"/>
      <c r="D630" s="157"/>
      <c r="E630" s="157"/>
      <c r="F630" s="153"/>
      <c r="G630" s="154"/>
      <c r="H630" s="154"/>
      <c r="I630" s="154"/>
    </row>
    <row r="631" spans="1:9" x14ac:dyDescent="0.25">
      <c r="A631" s="2"/>
      <c r="B631" s="2"/>
      <c r="C631" s="2"/>
      <c r="D631" s="157"/>
      <c r="E631" s="157"/>
      <c r="F631" s="153"/>
      <c r="G631" s="154"/>
      <c r="H631" s="154"/>
      <c r="I631" s="154"/>
    </row>
    <row r="632" spans="1:9" x14ac:dyDescent="0.25">
      <c r="A632" s="2"/>
      <c r="B632" s="2"/>
      <c r="C632" s="2"/>
      <c r="D632" s="157"/>
      <c r="E632" s="157"/>
      <c r="F632" s="153"/>
      <c r="G632" s="154"/>
      <c r="H632" s="154"/>
      <c r="I632" s="154"/>
    </row>
    <row r="633" spans="1:9" x14ac:dyDescent="0.25">
      <c r="A633" s="2"/>
      <c r="B633" s="2"/>
      <c r="C633" s="2"/>
      <c r="D633" s="157"/>
      <c r="E633" s="157"/>
      <c r="F633" s="153"/>
      <c r="G633" s="154"/>
      <c r="H633" s="154"/>
      <c r="I633" s="154"/>
    </row>
    <row r="634" spans="1:9" x14ac:dyDescent="0.25">
      <c r="A634" s="2"/>
      <c r="B634" s="2"/>
      <c r="C634" s="2"/>
      <c r="D634" s="157"/>
      <c r="E634" s="157"/>
      <c r="F634" s="153"/>
      <c r="G634" s="154"/>
      <c r="H634" s="154"/>
      <c r="I634" s="154"/>
    </row>
    <row r="635" spans="1:9" x14ac:dyDescent="0.25">
      <c r="A635" s="2"/>
      <c r="B635" s="2"/>
      <c r="C635" s="2"/>
      <c r="D635" s="157"/>
      <c r="E635" s="157"/>
      <c r="F635" s="153"/>
      <c r="G635" s="154"/>
      <c r="H635" s="154"/>
      <c r="I635" s="154"/>
    </row>
    <row r="636" spans="1:9" x14ac:dyDescent="0.25">
      <c r="A636" s="2"/>
      <c r="B636" s="2"/>
      <c r="C636" s="2"/>
      <c r="D636" s="157"/>
      <c r="E636" s="157"/>
      <c r="F636" s="153"/>
      <c r="G636" s="154"/>
      <c r="H636" s="154"/>
      <c r="I636" s="154"/>
    </row>
    <row r="637" spans="1:9" x14ac:dyDescent="0.25">
      <c r="A637" s="2"/>
      <c r="B637" s="2"/>
      <c r="C637" s="2"/>
      <c r="D637" s="157"/>
      <c r="E637" s="157"/>
      <c r="F637" s="153"/>
      <c r="G637" s="154"/>
      <c r="H637" s="154"/>
      <c r="I637" s="154"/>
    </row>
    <row r="638" spans="1:9" x14ac:dyDescent="0.25">
      <c r="A638" s="2"/>
      <c r="B638" s="2"/>
      <c r="C638" s="2"/>
      <c r="D638" s="157"/>
      <c r="E638" s="157"/>
      <c r="F638" s="153"/>
      <c r="G638" s="154"/>
      <c r="H638" s="154"/>
      <c r="I638" s="154"/>
    </row>
    <row r="639" spans="1:9" x14ac:dyDescent="0.25">
      <c r="A639" s="2"/>
      <c r="B639" s="2"/>
      <c r="C639" s="2"/>
      <c r="D639" s="157"/>
      <c r="E639" s="157"/>
      <c r="F639" s="153"/>
      <c r="G639" s="154"/>
      <c r="H639" s="154"/>
      <c r="I639" s="154"/>
    </row>
    <row r="640" spans="1:9" x14ac:dyDescent="0.25">
      <c r="A640" s="2"/>
      <c r="B640" s="2"/>
      <c r="C640" s="2"/>
      <c r="D640" s="157"/>
      <c r="E640" s="157"/>
      <c r="F640" s="153"/>
      <c r="G640" s="154"/>
      <c r="H640" s="154"/>
      <c r="I640" s="154"/>
    </row>
    <row r="641" spans="1:9" x14ac:dyDescent="0.25">
      <c r="A641" s="2"/>
      <c r="B641" s="2"/>
      <c r="C641" s="2"/>
      <c r="D641" s="157"/>
      <c r="E641" s="157"/>
      <c r="F641" s="153"/>
      <c r="G641" s="154"/>
      <c r="H641" s="154"/>
      <c r="I641" s="154"/>
    </row>
    <row r="642" spans="1:9" x14ac:dyDescent="0.25">
      <c r="A642" s="2"/>
      <c r="B642" s="2"/>
      <c r="C642" s="2"/>
      <c r="D642" s="157"/>
      <c r="E642" s="157"/>
      <c r="F642" s="153"/>
      <c r="G642" s="154"/>
      <c r="H642" s="154"/>
      <c r="I642" s="154"/>
    </row>
    <row r="643" spans="1:9" x14ac:dyDescent="0.25">
      <c r="A643" s="2"/>
      <c r="B643" s="2"/>
      <c r="C643" s="2"/>
      <c r="D643" s="157"/>
      <c r="E643" s="157"/>
      <c r="F643" s="153"/>
      <c r="G643" s="154"/>
      <c r="H643" s="154"/>
      <c r="I643" s="154"/>
    </row>
    <row r="644" spans="1:9" x14ac:dyDescent="0.25">
      <c r="A644" s="2"/>
      <c r="B644" s="2"/>
      <c r="C644" s="2"/>
      <c r="D644" s="157"/>
      <c r="E644" s="157"/>
      <c r="F644" s="153"/>
      <c r="G644" s="154"/>
      <c r="H644" s="154"/>
      <c r="I644" s="154"/>
    </row>
    <row r="645" spans="1:9" x14ac:dyDescent="0.25">
      <c r="A645" s="2"/>
      <c r="B645" s="2"/>
      <c r="C645" s="2"/>
      <c r="D645" s="157"/>
      <c r="E645" s="157"/>
      <c r="F645" s="153"/>
      <c r="G645" s="154"/>
      <c r="H645" s="154"/>
      <c r="I645" s="154"/>
    </row>
    <row r="646" spans="1:9" x14ac:dyDescent="0.25">
      <c r="A646" s="2"/>
      <c r="B646" s="2"/>
      <c r="C646" s="2"/>
      <c r="D646" s="157"/>
      <c r="E646" s="157"/>
      <c r="F646" s="153"/>
      <c r="G646" s="154"/>
      <c r="H646" s="154"/>
      <c r="I646" s="154"/>
    </row>
    <row r="647" spans="1:9" x14ac:dyDescent="0.25">
      <c r="A647" s="2"/>
      <c r="B647" s="2"/>
      <c r="C647" s="2"/>
      <c r="D647" s="157"/>
      <c r="E647" s="157"/>
      <c r="F647" s="153"/>
      <c r="G647" s="154"/>
      <c r="H647" s="154"/>
      <c r="I647" s="154"/>
    </row>
    <row r="648" spans="1:9" x14ac:dyDescent="0.25">
      <c r="A648" s="2"/>
      <c r="B648" s="2"/>
      <c r="C648" s="2"/>
      <c r="D648" s="157"/>
      <c r="E648" s="157"/>
      <c r="F648" s="153"/>
      <c r="G648" s="154"/>
      <c r="H648" s="154"/>
      <c r="I648" s="154"/>
    </row>
    <row r="649" spans="1:9" x14ac:dyDescent="0.25">
      <c r="A649" s="2"/>
      <c r="B649" s="2"/>
      <c r="C649" s="2"/>
      <c r="D649" s="157"/>
      <c r="E649" s="157"/>
      <c r="F649" s="153"/>
      <c r="G649" s="154"/>
      <c r="H649" s="154"/>
      <c r="I649" s="154"/>
    </row>
    <row r="650" spans="1:9" x14ac:dyDescent="0.25">
      <c r="A650" s="2"/>
      <c r="B650" s="2"/>
      <c r="C650" s="2"/>
      <c r="D650" s="157"/>
      <c r="E650" s="157"/>
      <c r="F650" s="153"/>
      <c r="G650" s="154"/>
      <c r="H650" s="154"/>
      <c r="I650" s="154"/>
    </row>
    <row r="651" spans="1:9" x14ac:dyDescent="0.25">
      <c r="A651" s="2"/>
      <c r="B651" s="2"/>
      <c r="C651" s="2"/>
      <c r="D651" s="157"/>
      <c r="E651" s="157"/>
      <c r="F651" s="153"/>
      <c r="G651" s="154"/>
      <c r="H651" s="154"/>
      <c r="I651" s="154"/>
    </row>
    <row r="652" spans="1:9" x14ac:dyDescent="0.25">
      <c r="A652" s="2"/>
      <c r="B652" s="2"/>
      <c r="C652" s="2"/>
      <c r="D652" s="157"/>
      <c r="E652" s="157"/>
      <c r="F652" s="153"/>
      <c r="G652" s="154"/>
      <c r="H652" s="154"/>
      <c r="I652" s="154"/>
    </row>
    <row r="653" spans="1:9" x14ac:dyDescent="0.25">
      <c r="A653" s="2"/>
      <c r="B653" s="2"/>
      <c r="C653" s="2"/>
      <c r="D653" s="157"/>
      <c r="E653" s="157"/>
      <c r="F653" s="153"/>
      <c r="G653" s="154"/>
      <c r="H653" s="154"/>
      <c r="I653" s="154"/>
    </row>
    <row r="654" spans="1:9" x14ac:dyDescent="0.25">
      <c r="A654" s="2"/>
      <c r="B654" s="2"/>
      <c r="C654" s="2"/>
      <c r="D654" s="157"/>
      <c r="E654" s="157"/>
      <c r="F654" s="153"/>
      <c r="G654" s="154"/>
      <c r="H654" s="154"/>
      <c r="I654" s="154"/>
    </row>
    <row r="655" spans="1:9" x14ac:dyDescent="0.25">
      <c r="A655" s="2"/>
      <c r="B655" s="2"/>
      <c r="C655" s="2"/>
      <c r="D655" s="157"/>
      <c r="E655" s="157"/>
      <c r="F655" s="153"/>
      <c r="G655" s="154"/>
      <c r="H655" s="154"/>
      <c r="I655" s="154"/>
    </row>
    <row r="656" spans="1:9" x14ac:dyDescent="0.25">
      <c r="A656" s="2"/>
      <c r="B656" s="2"/>
      <c r="C656" s="2"/>
      <c r="D656" s="157"/>
      <c r="E656" s="157"/>
      <c r="F656" s="153"/>
      <c r="G656" s="154"/>
      <c r="H656" s="154"/>
      <c r="I656" s="154"/>
    </row>
    <row r="657" spans="1:9" x14ac:dyDescent="0.25">
      <c r="A657" s="2"/>
      <c r="B657" s="2"/>
      <c r="C657" s="2"/>
      <c r="D657" s="157"/>
      <c r="E657" s="157"/>
      <c r="F657" s="153"/>
      <c r="G657" s="154"/>
      <c r="H657" s="154"/>
      <c r="I657" s="154"/>
    </row>
    <row r="658" spans="1:9" x14ac:dyDescent="0.25">
      <c r="A658" s="2"/>
      <c r="B658" s="2"/>
      <c r="C658" s="2"/>
      <c r="D658" s="157"/>
      <c r="E658" s="157"/>
      <c r="F658" s="153"/>
      <c r="G658" s="154"/>
      <c r="H658" s="154"/>
      <c r="I658" s="154"/>
    </row>
    <row r="659" spans="1:9" x14ac:dyDescent="0.25">
      <c r="A659" s="2"/>
      <c r="B659" s="2"/>
      <c r="C659" s="2"/>
      <c r="D659" s="157"/>
      <c r="E659" s="157"/>
      <c r="F659" s="153"/>
      <c r="G659" s="154"/>
      <c r="H659" s="154"/>
      <c r="I659" s="154"/>
    </row>
    <row r="660" spans="1:9" x14ac:dyDescent="0.25">
      <c r="A660" s="2"/>
      <c r="B660" s="2"/>
      <c r="C660" s="2"/>
      <c r="D660" s="157"/>
      <c r="E660" s="157"/>
      <c r="F660" s="153"/>
      <c r="G660" s="154"/>
      <c r="H660" s="154"/>
      <c r="I660" s="154"/>
    </row>
    <row r="661" spans="1:9" x14ac:dyDescent="0.25">
      <c r="A661" s="2"/>
      <c r="B661" s="2"/>
      <c r="C661" s="2"/>
      <c r="D661" s="157"/>
      <c r="E661" s="157"/>
      <c r="F661" s="153"/>
      <c r="G661" s="154"/>
      <c r="H661" s="154"/>
      <c r="I661" s="154"/>
    </row>
    <row r="662" spans="1:9" x14ac:dyDescent="0.25">
      <c r="A662" s="2"/>
      <c r="B662" s="2"/>
      <c r="C662" s="2"/>
      <c r="D662" s="157"/>
      <c r="E662" s="157"/>
      <c r="F662" s="153"/>
      <c r="G662" s="154"/>
      <c r="H662" s="154"/>
      <c r="I662" s="154"/>
    </row>
    <row r="663" spans="1:9" x14ac:dyDescent="0.25">
      <c r="A663" s="2"/>
      <c r="B663" s="2"/>
      <c r="C663" s="2"/>
      <c r="D663" s="157"/>
      <c r="E663" s="157"/>
      <c r="F663" s="153"/>
      <c r="G663" s="154"/>
      <c r="H663" s="154"/>
      <c r="I663" s="154"/>
    </row>
    <row r="664" spans="1:9" x14ac:dyDescent="0.25">
      <c r="A664" s="2"/>
      <c r="B664" s="2"/>
      <c r="C664" s="2"/>
      <c r="D664" s="157"/>
      <c r="E664" s="157"/>
      <c r="F664" s="153"/>
      <c r="G664" s="154"/>
      <c r="H664" s="154"/>
      <c r="I664" s="154"/>
    </row>
    <row r="665" spans="1:9" x14ac:dyDescent="0.25">
      <c r="A665" s="2"/>
      <c r="B665" s="2"/>
      <c r="C665" s="2"/>
      <c r="D665" s="157"/>
      <c r="E665" s="157"/>
      <c r="F665" s="153"/>
      <c r="G665" s="154"/>
      <c r="H665" s="154"/>
      <c r="I665" s="154"/>
    </row>
    <row r="666" spans="1:9" x14ac:dyDescent="0.25">
      <c r="A666" s="2"/>
      <c r="B666" s="2"/>
      <c r="C666" s="2"/>
      <c r="D666" s="157"/>
      <c r="E666" s="157"/>
      <c r="F666" s="153"/>
      <c r="G666" s="154"/>
      <c r="H666" s="154"/>
      <c r="I666" s="154"/>
    </row>
    <row r="667" spans="1:9" x14ac:dyDescent="0.25">
      <c r="A667" s="2"/>
      <c r="B667" s="2"/>
      <c r="C667" s="2"/>
      <c r="D667" s="157"/>
      <c r="E667" s="157"/>
      <c r="F667" s="153"/>
      <c r="G667" s="154"/>
      <c r="H667" s="154"/>
      <c r="I667" s="154"/>
    </row>
    <row r="668" spans="1:9" x14ac:dyDescent="0.25">
      <c r="A668" s="2"/>
      <c r="B668" s="2"/>
      <c r="C668" s="2"/>
      <c r="D668" s="157"/>
      <c r="E668" s="157"/>
      <c r="F668" s="153"/>
      <c r="G668" s="154"/>
      <c r="H668" s="154"/>
      <c r="I668" s="154"/>
    </row>
    <row r="669" spans="1:9" x14ac:dyDescent="0.25">
      <c r="A669" s="2"/>
      <c r="B669" s="2"/>
      <c r="C669" s="2"/>
      <c r="D669" s="157"/>
      <c r="E669" s="157"/>
      <c r="F669" s="153"/>
      <c r="G669" s="154"/>
      <c r="H669" s="154"/>
      <c r="I669" s="154"/>
    </row>
    <row r="670" spans="1:9" x14ac:dyDescent="0.25">
      <c r="A670" s="2"/>
      <c r="B670" s="2"/>
      <c r="C670" s="2"/>
      <c r="D670" s="157"/>
      <c r="E670" s="157"/>
      <c r="F670" s="153"/>
      <c r="G670" s="154"/>
      <c r="H670" s="154"/>
      <c r="I670" s="154"/>
    </row>
    <row r="671" spans="1:9" x14ac:dyDescent="0.25">
      <c r="A671" s="2"/>
      <c r="B671" s="2"/>
      <c r="C671" s="2"/>
      <c r="D671" s="157"/>
      <c r="E671" s="157"/>
      <c r="F671" s="153"/>
      <c r="G671" s="154"/>
      <c r="H671" s="154"/>
      <c r="I671" s="154"/>
    </row>
    <row r="672" spans="1:9" x14ac:dyDescent="0.25">
      <c r="A672" s="2"/>
      <c r="B672" s="2"/>
      <c r="C672" s="2"/>
      <c r="D672" s="157"/>
      <c r="E672" s="157"/>
      <c r="F672" s="153"/>
      <c r="G672" s="154"/>
      <c r="H672" s="154"/>
      <c r="I672" s="154"/>
    </row>
    <row r="673" spans="1:9" x14ac:dyDescent="0.25">
      <c r="A673" s="2"/>
      <c r="B673" s="2"/>
      <c r="C673" s="2"/>
      <c r="D673" s="157"/>
      <c r="E673" s="157"/>
      <c r="F673" s="153"/>
      <c r="G673" s="154"/>
      <c r="H673" s="154"/>
      <c r="I673" s="154"/>
    </row>
    <row r="674" spans="1:9" x14ac:dyDescent="0.25">
      <c r="A674" s="2"/>
      <c r="B674" s="2"/>
      <c r="C674" s="2"/>
      <c r="D674" s="157"/>
      <c r="E674" s="157"/>
      <c r="F674" s="153"/>
      <c r="G674" s="154"/>
      <c r="H674" s="154"/>
      <c r="I674" s="154"/>
    </row>
    <row r="675" spans="1:9" x14ac:dyDescent="0.25">
      <c r="A675" s="2"/>
      <c r="B675" s="2"/>
      <c r="C675" s="2"/>
      <c r="D675" s="157"/>
      <c r="E675" s="157"/>
      <c r="F675" s="153"/>
      <c r="G675" s="154"/>
      <c r="H675" s="154"/>
      <c r="I675" s="154"/>
    </row>
    <row r="676" spans="1:9" x14ac:dyDescent="0.25">
      <c r="A676" s="2"/>
      <c r="B676" s="2"/>
      <c r="C676" s="2"/>
      <c r="D676" s="157"/>
      <c r="E676" s="157"/>
      <c r="F676" s="153"/>
      <c r="G676" s="154"/>
      <c r="H676" s="154"/>
      <c r="I676" s="154"/>
    </row>
    <row r="677" spans="1:9" x14ac:dyDescent="0.25">
      <c r="A677" s="2"/>
      <c r="B677" s="2"/>
      <c r="C677" s="2"/>
      <c r="D677" s="157"/>
      <c r="E677" s="157"/>
      <c r="F677" s="153"/>
      <c r="G677" s="154"/>
      <c r="H677" s="154"/>
      <c r="I677" s="154"/>
    </row>
    <row r="678" spans="1:9" x14ac:dyDescent="0.25">
      <c r="A678" s="2"/>
      <c r="B678" s="2"/>
      <c r="C678" s="2"/>
      <c r="D678" s="157"/>
      <c r="E678" s="157"/>
      <c r="F678" s="153"/>
      <c r="G678" s="154"/>
      <c r="H678" s="154"/>
      <c r="I678" s="154"/>
    </row>
    <row r="679" spans="1:9" x14ac:dyDescent="0.25">
      <c r="A679" s="2"/>
      <c r="B679" s="2"/>
      <c r="C679" s="2"/>
      <c r="D679" s="157"/>
      <c r="E679" s="157"/>
      <c r="F679" s="153"/>
      <c r="G679" s="154"/>
      <c r="H679" s="154"/>
      <c r="I679" s="154"/>
    </row>
    <row r="680" spans="1:9" x14ac:dyDescent="0.25">
      <c r="A680" s="2"/>
      <c r="B680" s="2"/>
      <c r="C680" s="2"/>
      <c r="D680" s="157"/>
      <c r="E680" s="157"/>
      <c r="F680" s="153"/>
      <c r="G680" s="154"/>
      <c r="H680" s="154"/>
      <c r="I680" s="154"/>
    </row>
    <row r="681" spans="1:9" x14ac:dyDescent="0.25">
      <c r="A681" s="2"/>
      <c r="B681" s="2"/>
      <c r="C681" s="2"/>
      <c r="D681" s="157"/>
      <c r="E681" s="157"/>
      <c r="F681" s="153"/>
      <c r="G681" s="154"/>
      <c r="H681" s="154"/>
      <c r="I681" s="154"/>
    </row>
    <row r="682" spans="1:9" x14ac:dyDescent="0.25">
      <c r="A682" s="2"/>
      <c r="B682" s="2"/>
      <c r="C682" s="2"/>
      <c r="D682" s="157"/>
      <c r="E682" s="157"/>
      <c r="F682" s="153"/>
      <c r="G682" s="154"/>
      <c r="H682" s="154"/>
      <c r="I682" s="154"/>
    </row>
    <row r="683" spans="1:9" x14ac:dyDescent="0.25">
      <c r="A683" s="2"/>
      <c r="B683" s="2"/>
      <c r="C683" s="2"/>
      <c r="D683" s="157"/>
      <c r="E683" s="157"/>
      <c r="F683" s="153"/>
      <c r="G683" s="154"/>
      <c r="H683" s="154"/>
      <c r="I683" s="154"/>
    </row>
    <row r="684" spans="1:9" x14ac:dyDescent="0.25">
      <c r="A684" s="2"/>
      <c r="B684" s="2"/>
      <c r="C684" s="2"/>
      <c r="D684" s="157"/>
      <c r="E684" s="157"/>
      <c r="F684" s="153"/>
      <c r="G684" s="154"/>
      <c r="H684" s="154"/>
      <c r="I684" s="154"/>
    </row>
    <row r="685" spans="1:9" x14ac:dyDescent="0.25">
      <c r="A685" s="2"/>
      <c r="B685" s="2"/>
      <c r="C685" s="2"/>
      <c r="D685" s="157"/>
      <c r="E685" s="157"/>
      <c r="F685" s="153"/>
      <c r="G685" s="154"/>
      <c r="H685" s="154"/>
      <c r="I685" s="154"/>
    </row>
    <row r="686" spans="1:9" x14ac:dyDescent="0.25">
      <c r="A686" s="2"/>
      <c r="B686" s="2"/>
      <c r="C686" s="2"/>
      <c r="D686" s="157"/>
      <c r="E686" s="157"/>
      <c r="F686" s="153"/>
      <c r="G686" s="154"/>
      <c r="H686" s="154"/>
      <c r="I686" s="154"/>
    </row>
    <row r="687" spans="1:9" x14ac:dyDescent="0.25">
      <c r="A687" s="2"/>
      <c r="B687" s="2"/>
      <c r="C687" s="2"/>
      <c r="D687" s="157"/>
      <c r="E687" s="157"/>
      <c r="F687" s="153"/>
      <c r="G687" s="154"/>
      <c r="H687" s="154"/>
      <c r="I687" s="154"/>
    </row>
    <row r="688" spans="1:9" x14ac:dyDescent="0.25">
      <c r="A688" s="2"/>
      <c r="B688" s="2"/>
      <c r="C688" s="2"/>
      <c r="D688" s="157"/>
      <c r="E688" s="157"/>
      <c r="F688" s="153"/>
      <c r="G688" s="154"/>
      <c r="H688" s="154"/>
      <c r="I688" s="154"/>
    </row>
    <row r="689" spans="1:9" x14ac:dyDescent="0.25">
      <c r="A689" s="2"/>
      <c r="B689" s="2"/>
      <c r="C689" s="2"/>
      <c r="D689" s="157"/>
      <c r="E689" s="157"/>
      <c r="F689" s="153"/>
      <c r="G689" s="154"/>
      <c r="H689" s="154"/>
      <c r="I689" s="154"/>
    </row>
    <row r="690" spans="1:9" x14ac:dyDescent="0.25">
      <c r="A690" s="2"/>
      <c r="B690" s="2"/>
      <c r="C690" s="2"/>
      <c r="D690" s="157"/>
      <c r="E690" s="157"/>
      <c r="F690" s="153"/>
      <c r="G690" s="154"/>
      <c r="H690" s="154"/>
      <c r="I690" s="154"/>
    </row>
    <row r="691" spans="1:9" x14ac:dyDescent="0.25">
      <c r="A691" s="2"/>
      <c r="B691" s="2"/>
      <c r="C691" s="2"/>
      <c r="D691" s="157"/>
      <c r="E691" s="157"/>
      <c r="F691" s="153"/>
      <c r="G691" s="154"/>
      <c r="H691" s="154"/>
      <c r="I691" s="154"/>
    </row>
    <row r="692" spans="1:9" x14ac:dyDescent="0.25">
      <c r="A692" s="2"/>
      <c r="B692" s="2"/>
      <c r="C692" s="2"/>
      <c r="D692" s="157"/>
      <c r="E692" s="157"/>
      <c r="F692" s="153"/>
      <c r="G692" s="154"/>
      <c r="H692" s="154"/>
      <c r="I692" s="154"/>
    </row>
    <row r="693" spans="1:9" x14ac:dyDescent="0.25">
      <c r="A693" s="2"/>
      <c r="B693" s="2"/>
      <c r="C693" s="2"/>
      <c r="D693" s="157"/>
      <c r="E693" s="157"/>
      <c r="F693" s="153"/>
      <c r="G693" s="154"/>
      <c r="H693" s="154"/>
      <c r="I693" s="154"/>
    </row>
    <row r="694" spans="1:9" x14ac:dyDescent="0.25">
      <c r="A694" s="2"/>
      <c r="B694" s="2"/>
      <c r="C694" s="2"/>
      <c r="D694" s="157"/>
      <c r="E694" s="157"/>
      <c r="F694" s="153"/>
      <c r="G694" s="154"/>
      <c r="H694" s="154"/>
      <c r="I694" s="154"/>
    </row>
    <row r="695" spans="1:9" x14ac:dyDescent="0.25">
      <c r="A695" s="2"/>
      <c r="B695" s="2"/>
      <c r="C695" s="2"/>
      <c r="D695" s="157"/>
      <c r="E695" s="157"/>
      <c r="F695" s="153"/>
      <c r="G695" s="154"/>
      <c r="H695" s="154"/>
      <c r="I695" s="154"/>
    </row>
    <row r="696" spans="1:9" x14ac:dyDescent="0.25">
      <c r="A696" s="2"/>
      <c r="B696" s="2"/>
      <c r="C696" s="2"/>
      <c r="D696" s="157"/>
      <c r="E696" s="157"/>
      <c r="F696" s="153"/>
      <c r="G696" s="154"/>
      <c r="H696" s="154"/>
      <c r="I696" s="154"/>
    </row>
    <row r="697" spans="1:9" x14ac:dyDescent="0.25">
      <c r="A697" s="2"/>
      <c r="B697" s="2"/>
      <c r="C697" s="2"/>
      <c r="D697" s="157"/>
      <c r="E697" s="157"/>
      <c r="F697" s="153"/>
      <c r="G697" s="154"/>
      <c r="H697" s="154"/>
      <c r="I697" s="154"/>
    </row>
    <row r="698" spans="1:9" x14ac:dyDescent="0.25">
      <c r="A698" s="2"/>
      <c r="B698" s="2"/>
      <c r="C698" s="2"/>
      <c r="D698" s="157"/>
      <c r="E698" s="157"/>
      <c r="F698" s="153"/>
      <c r="G698" s="154"/>
      <c r="H698" s="154"/>
      <c r="I698" s="154"/>
    </row>
    <row r="699" spans="1:9" x14ac:dyDescent="0.25">
      <c r="A699" s="2"/>
      <c r="B699" s="2"/>
      <c r="C699" s="2"/>
      <c r="D699" s="157"/>
      <c r="E699" s="157"/>
      <c r="F699" s="153"/>
      <c r="G699" s="154"/>
      <c r="H699" s="154"/>
      <c r="I699" s="154"/>
    </row>
    <row r="700" spans="1:9" x14ac:dyDescent="0.25">
      <c r="A700" s="2"/>
      <c r="B700" s="2"/>
      <c r="C700" s="2"/>
      <c r="D700" s="157"/>
      <c r="E700" s="157"/>
      <c r="F700" s="153"/>
      <c r="G700" s="154"/>
      <c r="H700" s="154"/>
      <c r="I700" s="154"/>
    </row>
    <row r="701" spans="1:9" x14ac:dyDescent="0.25">
      <c r="A701" s="2"/>
      <c r="B701" s="2"/>
      <c r="C701" s="2"/>
      <c r="D701" s="157"/>
      <c r="E701" s="157"/>
      <c r="F701" s="153"/>
      <c r="G701" s="154"/>
      <c r="H701" s="154"/>
      <c r="I701" s="154"/>
    </row>
    <row r="702" spans="1:9" x14ac:dyDescent="0.25">
      <c r="A702" s="2"/>
      <c r="B702" s="2"/>
      <c r="C702" s="2"/>
      <c r="D702" s="157"/>
      <c r="E702" s="157"/>
      <c r="F702" s="153"/>
      <c r="G702" s="154"/>
      <c r="H702" s="154"/>
      <c r="I702" s="154"/>
    </row>
    <row r="703" spans="1:9" x14ac:dyDescent="0.25">
      <c r="A703" s="2"/>
      <c r="B703" s="2"/>
      <c r="C703" s="2"/>
      <c r="D703" s="157"/>
      <c r="E703" s="157"/>
      <c r="F703" s="153"/>
      <c r="G703" s="154"/>
      <c r="H703" s="154"/>
      <c r="I703" s="154"/>
    </row>
    <row r="704" spans="1:9" x14ac:dyDescent="0.25">
      <c r="A704" s="2"/>
      <c r="B704" s="2"/>
      <c r="C704" s="2"/>
      <c r="D704" s="157"/>
      <c r="E704" s="157"/>
      <c r="F704" s="153"/>
      <c r="G704" s="154"/>
      <c r="H704" s="154"/>
      <c r="I704" s="154"/>
    </row>
    <row r="705" spans="1:9" x14ac:dyDescent="0.25">
      <c r="A705" s="2"/>
      <c r="B705" s="2"/>
      <c r="C705" s="2"/>
      <c r="D705" s="157"/>
      <c r="E705" s="157"/>
      <c r="F705" s="153"/>
      <c r="G705" s="154"/>
      <c r="H705" s="154"/>
      <c r="I705" s="154"/>
    </row>
    <row r="706" spans="1:9" x14ac:dyDescent="0.25">
      <c r="A706" s="2"/>
      <c r="B706" s="2"/>
      <c r="C706" s="2"/>
      <c r="D706" s="157"/>
      <c r="E706" s="157"/>
      <c r="F706" s="153"/>
      <c r="G706" s="154"/>
      <c r="H706" s="154"/>
      <c r="I706" s="154"/>
    </row>
    <row r="707" spans="1:9" x14ac:dyDescent="0.25">
      <c r="A707" s="2"/>
      <c r="B707" s="2"/>
      <c r="C707" s="2"/>
      <c r="D707" s="157"/>
      <c r="E707" s="157"/>
      <c r="F707" s="153"/>
      <c r="G707" s="154"/>
      <c r="H707" s="154"/>
      <c r="I707" s="154"/>
    </row>
    <row r="708" spans="1:9" x14ac:dyDescent="0.25">
      <c r="A708" s="2"/>
      <c r="B708" s="2"/>
      <c r="C708" s="2"/>
      <c r="D708" s="157"/>
      <c r="E708" s="157"/>
      <c r="F708" s="153"/>
      <c r="G708" s="154"/>
      <c r="H708" s="154"/>
      <c r="I708" s="154"/>
    </row>
    <row r="709" spans="1:9" x14ac:dyDescent="0.25">
      <c r="A709" s="2"/>
      <c r="B709" s="2"/>
      <c r="C709" s="2"/>
      <c r="D709" s="157"/>
      <c r="E709" s="157"/>
      <c r="F709" s="153"/>
      <c r="G709" s="154"/>
      <c r="H709" s="154"/>
      <c r="I709" s="154"/>
    </row>
    <row r="710" spans="1:9" x14ac:dyDescent="0.25">
      <c r="A710" s="2"/>
      <c r="B710" s="2"/>
      <c r="C710" s="2"/>
      <c r="D710" s="157"/>
      <c r="E710" s="157"/>
      <c r="F710" s="153"/>
      <c r="G710" s="154"/>
      <c r="H710" s="154"/>
      <c r="I710" s="154"/>
    </row>
    <row r="711" spans="1:9" x14ac:dyDescent="0.25">
      <c r="A711" s="2"/>
      <c r="B711" s="2"/>
      <c r="C711" s="2"/>
      <c r="D711" s="157"/>
      <c r="E711" s="157"/>
      <c r="F711" s="153"/>
      <c r="G711" s="154"/>
      <c r="H711" s="154"/>
      <c r="I711" s="154"/>
    </row>
    <row r="712" spans="1:9" x14ac:dyDescent="0.25">
      <c r="A712" s="2"/>
      <c r="B712" s="2"/>
      <c r="C712" s="2"/>
      <c r="D712" s="157"/>
      <c r="E712" s="157"/>
      <c r="F712" s="153"/>
      <c r="G712" s="154"/>
      <c r="H712" s="154"/>
      <c r="I712" s="154"/>
    </row>
    <row r="713" spans="1:9" x14ac:dyDescent="0.25">
      <c r="A713" s="2"/>
      <c r="B713" s="2"/>
      <c r="C713" s="2"/>
      <c r="D713" s="157"/>
      <c r="E713" s="157"/>
      <c r="F713" s="153"/>
      <c r="G713" s="154"/>
      <c r="H713" s="154"/>
      <c r="I713" s="154"/>
    </row>
    <row r="714" spans="1:9" x14ac:dyDescent="0.25">
      <c r="A714" s="2"/>
      <c r="B714" s="2"/>
      <c r="C714" s="2"/>
      <c r="D714" s="157"/>
      <c r="E714" s="157"/>
      <c r="F714" s="153"/>
      <c r="G714" s="154"/>
      <c r="H714" s="154"/>
      <c r="I714" s="154"/>
    </row>
    <row r="715" spans="1:9" x14ac:dyDescent="0.25">
      <c r="A715" s="2"/>
      <c r="B715" s="2"/>
      <c r="C715" s="2"/>
      <c r="D715" s="157"/>
      <c r="E715" s="157"/>
      <c r="F715" s="153"/>
      <c r="G715" s="154"/>
      <c r="H715" s="154"/>
      <c r="I715" s="154"/>
    </row>
    <row r="716" spans="1:9" x14ac:dyDescent="0.25">
      <c r="A716" s="2"/>
      <c r="B716" s="2"/>
      <c r="C716" s="2"/>
      <c r="D716" s="157"/>
      <c r="E716" s="157"/>
      <c r="F716" s="153"/>
      <c r="G716" s="154"/>
      <c r="H716" s="154"/>
      <c r="I716" s="154"/>
    </row>
    <row r="717" spans="1:9" x14ac:dyDescent="0.25">
      <c r="A717" s="2"/>
      <c r="B717" s="2"/>
      <c r="C717" s="2"/>
      <c r="D717" s="157"/>
      <c r="E717" s="157"/>
      <c r="F717" s="153"/>
      <c r="G717" s="154"/>
      <c r="H717" s="154"/>
      <c r="I717" s="154"/>
    </row>
    <row r="718" spans="1:9" x14ac:dyDescent="0.25">
      <c r="A718" s="2"/>
      <c r="B718" s="2"/>
      <c r="C718" s="2"/>
      <c r="D718" s="157"/>
      <c r="E718" s="157"/>
      <c r="F718" s="153"/>
      <c r="G718" s="154"/>
      <c r="H718" s="154"/>
      <c r="I718" s="154"/>
    </row>
    <row r="719" spans="1:9" x14ac:dyDescent="0.25">
      <c r="A719" s="2"/>
      <c r="B719" s="2"/>
      <c r="C719" s="2"/>
      <c r="D719" s="157"/>
      <c r="E719" s="157"/>
      <c r="F719" s="153"/>
      <c r="G719" s="154"/>
      <c r="H719" s="154"/>
      <c r="I719" s="154"/>
    </row>
    <row r="720" spans="1:9" x14ac:dyDescent="0.25">
      <c r="A720" s="2"/>
      <c r="B720" s="2"/>
      <c r="C720" s="2"/>
      <c r="D720" s="157"/>
      <c r="E720" s="157"/>
      <c r="F720" s="153"/>
      <c r="G720" s="154"/>
      <c r="H720" s="154"/>
      <c r="I720" s="154"/>
    </row>
    <row r="721" spans="1:9" x14ac:dyDescent="0.25">
      <c r="A721" s="2"/>
      <c r="B721" s="2"/>
      <c r="C721" s="2"/>
      <c r="D721" s="157"/>
      <c r="E721" s="157"/>
      <c r="F721" s="153"/>
      <c r="G721" s="154"/>
      <c r="H721" s="154"/>
      <c r="I721" s="154"/>
    </row>
    <row r="722" spans="1:9" x14ac:dyDescent="0.25">
      <c r="A722" s="2"/>
      <c r="B722" s="2"/>
      <c r="C722" s="2"/>
      <c r="D722" s="157"/>
      <c r="E722" s="157"/>
      <c r="F722" s="153"/>
      <c r="G722" s="154"/>
      <c r="H722" s="154"/>
      <c r="I722" s="154"/>
    </row>
    <row r="723" spans="1:9" x14ac:dyDescent="0.25">
      <c r="A723" s="2"/>
      <c r="B723" s="2"/>
      <c r="C723" s="2"/>
      <c r="D723" s="157"/>
      <c r="E723" s="157"/>
      <c r="F723" s="153"/>
      <c r="G723" s="154"/>
      <c r="H723" s="154"/>
      <c r="I723" s="154"/>
    </row>
    <row r="724" spans="1:9" x14ac:dyDescent="0.25">
      <c r="A724" s="2"/>
      <c r="B724" s="2"/>
      <c r="C724" s="2"/>
      <c r="D724" s="157"/>
      <c r="E724" s="157"/>
      <c r="F724" s="153"/>
      <c r="G724" s="154"/>
      <c r="H724" s="154"/>
      <c r="I724" s="154"/>
    </row>
    <row r="725" spans="1:9" x14ac:dyDescent="0.25">
      <c r="A725" s="2"/>
      <c r="B725" s="2"/>
      <c r="C725" s="2"/>
      <c r="D725" s="157"/>
      <c r="E725" s="157"/>
      <c r="F725" s="153"/>
      <c r="G725" s="154"/>
      <c r="H725" s="154"/>
      <c r="I725" s="154"/>
    </row>
    <row r="726" spans="1:9" x14ac:dyDescent="0.25">
      <c r="A726" s="2"/>
      <c r="B726" s="2"/>
      <c r="C726" s="2"/>
      <c r="D726" s="157"/>
      <c r="E726" s="157"/>
      <c r="F726" s="153"/>
      <c r="G726" s="154"/>
      <c r="H726" s="154"/>
      <c r="I726" s="154"/>
    </row>
    <row r="727" spans="1:9" x14ac:dyDescent="0.25">
      <c r="A727" s="2"/>
      <c r="B727" s="2"/>
      <c r="C727" s="2"/>
      <c r="D727" s="157"/>
      <c r="E727" s="157"/>
      <c r="F727" s="153"/>
      <c r="G727" s="154"/>
      <c r="H727" s="154"/>
      <c r="I727" s="154"/>
    </row>
    <row r="728" spans="1:9" x14ac:dyDescent="0.25">
      <c r="A728" s="2"/>
      <c r="B728" s="2"/>
      <c r="C728" s="2"/>
      <c r="D728" s="157"/>
      <c r="E728" s="157"/>
      <c r="F728" s="153"/>
      <c r="G728" s="154"/>
      <c r="H728" s="154"/>
      <c r="I728" s="154"/>
    </row>
    <row r="729" spans="1:9" x14ac:dyDescent="0.25">
      <c r="A729" s="2"/>
      <c r="B729" s="2"/>
      <c r="C729" s="2"/>
      <c r="D729" s="157"/>
      <c r="E729" s="157"/>
      <c r="F729" s="153"/>
      <c r="G729" s="154"/>
      <c r="H729" s="154"/>
      <c r="I729" s="154"/>
    </row>
    <row r="730" spans="1:9" x14ac:dyDescent="0.25">
      <c r="A730" s="2"/>
      <c r="B730" s="2"/>
      <c r="C730" s="2"/>
      <c r="D730" s="157"/>
      <c r="E730" s="157"/>
      <c r="F730" s="153"/>
      <c r="G730" s="154"/>
      <c r="H730" s="154"/>
      <c r="I730" s="154"/>
    </row>
    <row r="731" spans="1:9" x14ac:dyDescent="0.25">
      <c r="A731" s="2"/>
      <c r="B731" s="2"/>
      <c r="C731" s="2"/>
      <c r="D731" s="157"/>
      <c r="E731" s="157"/>
      <c r="F731" s="153"/>
      <c r="G731" s="154"/>
      <c r="H731" s="154"/>
      <c r="I731" s="154"/>
    </row>
    <row r="732" spans="1:9" x14ac:dyDescent="0.25">
      <c r="A732" s="2"/>
      <c r="B732" s="2"/>
      <c r="C732" s="2"/>
      <c r="D732" s="157"/>
      <c r="E732" s="157"/>
      <c r="F732" s="153"/>
      <c r="G732" s="154"/>
      <c r="H732" s="154"/>
      <c r="I732" s="154"/>
    </row>
    <row r="733" spans="1:9" x14ac:dyDescent="0.25">
      <c r="A733" s="2"/>
      <c r="B733" s="2"/>
      <c r="C733" s="2"/>
      <c r="D733" s="157"/>
      <c r="E733" s="157"/>
      <c r="F733" s="153"/>
      <c r="G733" s="154"/>
      <c r="H733" s="154"/>
      <c r="I733" s="154"/>
    </row>
    <row r="734" spans="1:9" x14ac:dyDescent="0.25">
      <c r="A734" s="2"/>
      <c r="B734" s="2"/>
      <c r="C734" s="2"/>
      <c r="D734" s="157"/>
      <c r="E734" s="157"/>
      <c r="F734" s="153"/>
      <c r="G734" s="154"/>
      <c r="H734" s="154"/>
      <c r="I734" s="154"/>
    </row>
    <row r="735" spans="1:9" x14ac:dyDescent="0.25">
      <c r="A735" s="2"/>
      <c r="B735" s="2"/>
      <c r="C735" s="2"/>
      <c r="D735" s="157"/>
      <c r="E735" s="157"/>
      <c r="F735" s="153"/>
      <c r="G735" s="154"/>
      <c r="H735" s="154"/>
      <c r="I735" s="154"/>
    </row>
    <row r="736" spans="1:9" x14ac:dyDescent="0.25">
      <c r="A736" s="2"/>
      <c r="B736" s="2"/>
      <c r="C736" s="2"/>
      <c r="D736" s="157"/>
      <c r="E736" s="157"/>
      <c r="F736" s="153"/>
      <c r="G736" s="154"/>
      <c r="H736" s="154"/>
      <c r="I736" s="154"/>
    </row>
    <row r="737" spans="1:9" x14ac:dyDescent="0.25">
      <c r="A737" s="2"/>
      <c r="B737" s="2"/>
      <c r="C737" s="2"/>
      <c r="D737" s="157"/>
      <c r="E737" s="157"/>
      <c r="F737" s="153"/>
      <c r="G737" s="154"/>
      <c r="H737" s="154"/>
      <c r="I737" s="154"/>
    </row>
    <row r="738" spans="1:9" x14ac:dyDescent="0.25">
      <c r="A738" s="2"/>
      <c r="B738" s="2"/>
      <c r="C738" s="2"/>
      <c r="D738" s="157"/>
      <c r="E738" s="157"/>
      <c r="F738" s="153"/>
      <c r="G738" s="154"/>
      <c r="H738" s="154"/>
      <c r="I738" s="154"/>
    </row>
    <row r="739" spans="1:9" x14ac:dyDescent="0.25">
      <c r="A739" s="2"/>
      <c r="B739" s="2"/>
      <c r="C739" s="2"/>
      <c r="D739" s="157"/>
      <c r="E739" s="157"/>
      <c r="F739" s="153"/>
      <c r="G739" s="154"/>
      <c r="H739" s="154"/>
      <c r="I739" s="154"/>
    </row>
    <row r="740" spans="1:9" x14ac:dyDescent="0.25">
      <c r="A740" s="2"/>
      <c r="B740" s="2"/>
      <c r="C740" s="2"/>
      <c r="D740" s="157"/>
      <c r="E740" s="157"/>
      <c r="F740" s="153"/>
      <c r="G740" s="154"/>
      <c r="H740" s="154"/>
      <c r="I740" s="154"/>
    </row>
    <row r="741" spans="1:9" x14ac:dyDescent="0.25">
      <c r="A741" s="2"/>
      <c r="B741" s="2"/>
      <c r="C741" s="2"/>
      <c r="D741" s="157"/>
      <c r="E741" s="157"/>
      <c r="F741" s="153"/>
      <c r="G741" s="154"/>
      <c r="H741" s="154"/>
      <c r="I741" s="154"/>
    </row>
    <row r="742" spans="1:9" x14ac:dyDescent="0.25">
      <c r="A742" s="2"/>
      <c r="B742" s="2"/>
      <c r="C742" s="2"/>
      <c r="D742" s="157"/>
      <c r="E742" s="157"/>
      <c r="F742" s="153"/>
      <c r="G742" s="154"/>
      <c r="H742" s="154"/>
      <c r="I742" s="154"/>
    </row>
    <row r="743" spans="1:9" x14ac:dyDescent="0.25">
      <c r="A743" s="2"/>
      <c r="B743" s="2"/>
      <c r="C743" s="2"/>
      <c r="D743" s="157"/>
      <c r="E743" s="157"/>
      <c r="F743" s="153"/>
      <c r="G743" s="154"/>
      <c r="H743" s="154"/>
      <c r="I743" s="154"/>
    </row>
    <row r="744" spans="1:9" x14ac:dyDescent="0.25">
      <c r="A744" s="2"/>
      <c r="B744" s="2"/>
      <c r="C744" s="2"/>
      <c r="D744" s="157"/>
      <c r="E744" s="157"/>
      <c r="F744" s="153"/>
      <c r="G744" s="154"/>
      <c r="H744" s="154"/>
      <c r="I744" s="154"/>
    </row>
    <row r="745" spans="1:9" x14ac:dyDescent="0.25">
      <c r="A745" s="2"/>
      <c r="B745" s="2"/>
      <c r="C745" s="2"/>
      <c r="D745" s="157"/>
      <c r="E745" s="157"/>
      <c r="F745" s="153"/>
      <c r="G745" s="154"/>
      <c r="H745" s="154"/>
      <c r="I745" s="154"/>
    </row>
    <row r="746" spans="1:9" x14ac:dyDescent="0.25">
      <c r="A746" s="2"/>
      <c r="B746" s="2"/>
      <c r="C746" s="2"/>
      <c r="D746" s="157"/>
      <c r="E746" s="157"/>
      <c r="F746" s="153"/>
      <c r="G746" s="154"/>
      <c r="H746" s="154"/>
      <c r="I746" s="154"/>
    </row>
    <row r="747" spans="1:9" x14ac:dyDescent="0.25">
      <c r="A747" s="2"/>
      <c r="B747" s="2"/>
      <c r="C747" s="2"/>
      <c r="D747" s="157"/>
      <c r="E747" s="157"/>
      <c r="F747" s="153"/>
      <c r="G747" s="154"/>
      <c r="H747" s="154"/>
      <c r="I747" s="154"/>
    </row>
    <row r="748" spans="1:9" x14ac:dyDescent="0.25">
      <c r="A748" s="2"/>
      <c r="B748" s="2"/>
      <c r="C748" s="2"/>
      <c r="D748" s="157"/>
      <c r="E748" s="157"/>
      <c r="F748" s="153"/>
      <c r="G748" s="154"/>
      <c r="H748" s="154"/>
      <c r="I748" s="154"/>
    </row>
    <row r="749" spans="1:9" x14ac:dyDescent="0.25">
      <c r="A749" s="2"/>
      <c r="B749" s="2"/>
      <c r="C749" s="2"/>
      <c r="D749" s="157"/>
      <c r="E749" s="157"/>
      <c r="F749" s="153"/>
      <c r="G749" s="154"/>
      <c r="H749" s="154"/>
      <c r="I749" s="154"/>
    </row>
    <row r="750" spans="1:9" x14ac:dyDescent="0.25">
      <c r="A750" s="2"/>
      <c r="B750" s="2"/>
      <c r="C750" s="2"/>
      <c r="D750" s="157"/>
      <c r="E750" s="157"/>
      <c r="F750" s="153"/>
      <c r="G750" s="154"/>
      <c r="H750" s="154"/>
      <c r="I750" s="154"/>
    </row>
    <row r="751" spans="1:9" x14ac:dyDescent="0.25">
      <c r="A751" s="2"/>
      <c r="B751" s="2"/>
      <c r="C751" s="2"/>
      <c r="D751" s="157"/>
      <c r="E751" s="157"/>
      <c r="F751" s="153"/>
      <c r="G751" s="154"/>
      <c r="H751" s="154"/>
      <c r="I751" s="154"/>
    </row>
    <row r="752" spans="1:9" x14ac:dyDescent="0.25">
      <c r="A752" s="2"/>
      <c r="B752" s="2"/>
      <c r="C752" s="2"/>
      <c r="D752" s="157"/>
      <c r="E752" s="157"/>
      <c r="F752" s="153"/>
      <c r="G752" s="154"/>
      <c r="H752" s="154"/>
      <c r="I752" s="154"/>
    </row>
    <row r="753" spans="1:9" x14ac:dyDescent="0.25">
      <c r="A753" s="2"/>
      <c r="B753" s="2"/>
      <c r="C753" s="2"/>
      <c r="D753" s="157"/>
      <c r="E753" s="157"/>
      <c r="F753" s="153"/>
      <c r="G753" s="154"/>
      <c r="H753" s="154"/>
      <c r="I753" s="154"/>
    </row>
    <row r="754" spans="1:9" x14ac:dyDescent="0.25">
      <c r="A754" s="2"/>
      <c r="B754" s="2"/>
      <c r="C754" s="2"/>
      <c r="D754" s="157"/>
      <c r="E754" s="157"/>
      <c r="F754" s="153"/>
      <c r="G754" s="154"/>
      <c r="H754" s="154"/>
      <c r="I754" s="154"/>
    </row>
    <row r="755" spans="1:9" x14ac:dyDescent="0.25">
      <c r="A755" s="2"/>
      <c r="B755" s="2"/>
      <c r="C755" s="2"/>
      <c r="D755" s="157"/>
      <c r="E755" s="157"/>
      <c r="F755" s="153"/>
      <c r="G755" s="154"/>
      <c r="H755" s="154"/>
      <c r="I755" s="154"/>
    </row>
    <row r="756" spans="1:9" x14ac:dyDescent="0.25">
      <c r="A756" s="2"/>
      <c r="B756" s="2"/>
      <c r="C756" s="2"/>
      <c r="D756" s="157"/>
      <c r="E756" s="157"/>
      <c r="F756" s="153"/>
      <c r="G756" s="154"/>
      <c r="H756" s="154"/>
      <c r="I756" s="154"/>
    </row>
    <row r="757" spans="1:9" x14ac:dyDescent="0.25">
      <c r="A757" s="2"/>
      <c r="B757" s="2"/>
      <c r="C757" s="2"/>
      <c r="D757" s="157"/>
      <c r="E757" s="157"/>
      <c r="F757" s="153"/>
      <c r="G757" s="154"/>
      <c r="H757" s="154"/>
      <c r="I757" s="154"/>
    </row>
    <row r="758" spans="1:9" x14ac:dyDescent="0.25">
      <c r="A758" s="2"/>
      <c r="B758" s="2"/>
      <c r="C758" s="2"/>
      <c r="D758" s="157"/>
      <c r="E758" s="157"/>
      <c r="F758" s="153"/>
      <c r="G758" s="154"/>
      <c r="H758" s="154"/>
      <c r="I758" s="154"/>
    </row>
    <row r="759" spans="1:9" x14ac:dyDescent="0.25">
      <c r="A759" s="2"/>
      <c r="B759" s="2"/>
      <c r="C759" s="2"/>
      <c r="D759" s="157"/>
      <c r="E759" s="157"/>
      <c r="F759" s="153"/>
      <c r="G759" s="154"/>
      <c r="H759" s="154"/>
      <c r="I759" s="154"/>
    </row>
    <row r="760" spans="1:9" x14ac:dyDescent="0.25">
      <c r="A760" s="2"/>
      <c r="B760" s="2"/>
      <c r="C760" s="2"/>
      <c r="D760" s="157"/>
      <c r="E760" s="157"/>
      <c r="F760" s="153"/>
      <c r="G760" s="154"/>
      <c r="H760" s="154"/>
      <c r="I760" s="154"/>
    </row>
    <row r="761" spans="1:9" x14ac:dyDescent="0.25">
      <c r="A761" s="2"/>
      <c r="B761" s="2"/>
      <c r="C761" s="2"/>
      <c r="D761" s="157"/>
      <c r="E761" s="157"/>
      <c r="F761" s="153"/>
      <c r="G761" s="154"/>
      <c r="H761" s="154"/>
      <c r="I761" s="154"/>
    </row>
    <row r="762" spans="1:9" x14ac:dyDescent="0.25">
      <c r="A762" s="2"/>
      <c r="B762" s="2"/>
      <c r="C762" s="2"/>
      <c r="D762" s="157"/>
      <c r="E762" s="157"/>
      <c r="F762" s="153"/>
      <c r="G762" s="154"/>
      <c r="H762" s="154"/>
      <c r="I762" s="154"/>
    </row>
    <row r="763" spans="1:9" x14ac:dyDescent="0.25">
      <c r="A763" s="2"/>
      <c r="B763" s="2"/>
      <c r="C763" s="2"/>
      <c r="D763" s="157"/>
      <c r="E763" s="157"/>
      <c r="F763" s="153"/>
      <c r="G763" s="154"/>
      <c r="H763" s="154"/>
      <c r="I763" s="154"/>
    </row>
    <row r="764" spans="1:9" x14ac:dyDescent="0.25">
      <c r="A764" s="2"/>
      <c r="B764" s="2"/>
      <c r="C764" s="2"/>
      <c r="D764" s="157"/>
      <c r="E764" s="157"/>
      <c r="F764" s="153"/>
      <c r="G764" s="154"/>
      <c r="H764" s="154"/>
      <c r="I764" s="154"/>
    </row>
    <row r="765" spans="1:9" x14ac:dyDescent="0.25">
      <c r="A765" s="2"/>
      <c r="B765" s="2"/>
      <c r="C765" s="2"/>
      <c r="D765" s="157"/>
      <c r="E765" s="157"/>
      <c r="F765" s="153"/>
      <c r="G765" s="154"/>
      <c r="H765" s="154"/>
      <c r="I765" s="154"/>
    </row>
    <row r="766" spans="1:9" x14ac:dyDescent="0.25">
      <c r="A766" s="2"/>
      <c r="B766" s="2"/>
      <c r="C766" s="2"/>
      <c r="D766" s="157"/>
      <c r="E766" s="157"/>
      <c r="F766" s="153"/>
      <c r="G766" s="154"/>
      <c r="H766" s="154"/>
      <c r="I766" s="154"/>
    </row>
    <row r="767" spans="1:9" x14ac:dyDescent="0.25">
      <c r="A767" s="2"/>
      <c r="B767" s="2"/>
      <c r="C767" s="2"/>
      <c r="D767" s="157"/>
      <c r="E767" s="157"/>
      <c r="F767" s="153"/>
      <c r="G767" s="154"/>
      <c r="H767" s="154"/>
      <c r="I767" s="154"/>
    </row>
    <row r="768" spans="1:9" x14ac:dyDescent="0.25">
      <c r="A768" s="2"/>
      <c r="B768" s="2"/>
      <c r="C768" s="2"/>
      <c r="D768" s="157"/>
      <c r="E768" s="157"/>
      <c r="F768" s="153"/>
      <c r="G768" s="154"/>
      <c r="H768" s="154"/>
      <c r="I768" s="154"/>
    </row>
    <row r="769" spans="1:9" x14ac:dyDescent="0.25">
      <c r="A769" s="2"/>
      <c r="B769" s="2"/>
      <c r="C769" s="2"/>
      <c r="D769" s="157"/>
      <c r="E769" s="157"/>
      <c r="F769" s="153"/>
      <c r="G769" s="154"/>
      <c r="H769" s="154"/>
      <c r="I769" s="154"/>
    </row>
    <row r="770" spans="1:9" x14ac:dyDescent="0.25">
      <c r="A770" s="2"/>
      <c r="B770" s="2"/>
      <c r="C770" s="2"/>
      <c r="D770" s="157"/>
      <c r="E770" s="157"/>
      <c r="F770" s="153"/>
      <c r="G770" s="154"/>
      <c r="H770" s="154"/>
      <c r="I770" s="154"/>
    </row>
    <row r="771" spans="1:9" x14ac:dyDescent="0.25">
      <c r="A771" s="2"/>
      <c r="B771" s="2"/>
      <c r="C771" s="2"/>
      <c r="D771" s="157"/>
      <c r="E771" s="157"/>
      <c r="F771" s="153"/>
      <c r="G771" s="154"/>
      <c r="H771" s="154"/>
      <c r="I771" s="154"/>
    </row>
    <row r="772" spans="1:9" x14ac:dyDescent="0.25">
      <c r="A772" s="2"/>
      <c r="B772" s="2"/>
      <c r="C772" s="2"/>
      <c r="D772" s="157"/>
      <c r="E772" s="157"/>
      <c r="F772" s="153"/>
      <c r="G772" s="154"/>
      <c r="H772" s="154"/>
      <c r="I772" s="154"/>
    </row>
    <row r="773" spans="1:9" x14ac:dyDescent="0.25">
      <c r="A773" s="2"/>
      <c r="B773" s="2"/>
      <c r="C773" s="2"/>
      <c r="D773" s="157"/>
      <c r="E773" s="157"/>
      <c r="F773" s="153"/>
      <c r="G773" s="154"/>
      <c r="H773" s="154"/>
      <c r="I773" s="154"/>
    </row>
    <row r="774" spans="1:9" x14ac:dyDescent="0.25">
      <c r="A774" s="2"/>
      <c r="B774" s="2"/>
      <c r="C774" s="2"/>
      <c r="D774" s="157"/>
      <c r="E774" s="157"/>
      <c r="F774" s="153"/>
      <c r="G774" s="154"/>
      <c r="H774" s="154"/>
      <c r="I774" s="154"/>
    </row>
    <row r="775" spans="1:9" x14ac:dyDescent="0.25">
      <c r="A775" s="2"/>
      <c r="B775" s="2"/>
      <c r="C775" s="2"/>
      <c r="D775" s="157"/>
      <c r="E775" s="157"/>
      <c r="F775" s="153"/>
      <c r="G775" s="154"/>
      <c r="H775" s="154"/>
      <c r="I775" s="154"/>
    </row>
    <row r="776" spans="1:9" x14ac:dyDescent="0.25">
      <c r="A776" s="2"/>
      <c r="B776" s="2"/>
      <c r="C776" s="2"/>
      <c r="D776" s="157"/>
      <c r="E776" s="157"/>
      <c r="F776" s="153"/>
      <c r="G776" s="154"/>
      <c r="H776" s="154"/>
      <c r="I776" s="154"/>
    </row>
    <row r="777" spans="1:9" x14ac:dyDescent="0.25">
      <c r="A777" s="2"/>
      <c r="B777" s="2"/>
      <c r="C777" s="2"/>
      <c r="D777" s="157"/>
      <c r="E777" s="157"/>
      <c r="F777" s="153"/>
      <c r="G777" s="154"/>
      <c r="H777" s="154"/>
      <c r="I777" s="154"/>
    </row>
    <row r="778" spans="1:9" x14ac:dyDescent="0.25">
      <c r="A778" s="2"/>
      <c r="B778" s="2"/>
      <c r="C778" s="2"/>
      <c r="D778" s="157"/>
      <c r="E778" s="157"/>
      <c r="F778" s="153"/>
      <c r="G778" s="154"/>
      <c r="H778" s="154"/>
      <c r="I778" s="154"/>
    </row>
    <row r="779" spans="1:9" x14ac:dyDescent="0.25">
      <c r="A779" s="2"/>
      <c r="B779" s="2"/>
      <c r="C779" s="2"/>
      <c r="D779" s="157"/>
      <c r="E779" s="157"/>
      <c r="F779" s="153"/>
      <c r="G779" s="154"/>
      <c r="H779" s="154"/>
      <c r="I779" s="154"/>
    </row>
    <row r="780" spans="1:9" x14ac:dyDescent="0.25">
      <c r="A780" s="2"/>
      <c r="B780" s="2"/>
      <c r="C780" s="2"/>
      <c r="D780" s="157"/>
      <c r="E780" s="157"/>
      <c r="F780" s="153"/>
      <c r="G780" s="154"/>
      <c r="H780" s="154"/>
      <c r="I780" s="154"/>
    </row>
    <row r="781" spans="1:9" x14ac:dyDescent="0.25">
      <c r="A781" s="2"/>
      <c r="B781" s="2"/>
      <c r="C781" s="2"/>
      <c r="D781" s="157"/>
      <c r="E781" s="157"/>
      <c r="F781" s="153"/>
      <c r="G781" s="154"/>
      <c r="H781" s="154"/>
      <c r="I781" s="154"/>
    </row>
    <row r="782" spans="1:9" x14ac:dyDescent="0.25">
      <c r="A782" s="2"/>
      <c r="B782" s="2"/>
      <c r="C782" s="2"/>
      <c r="D782" s="157"/>
      <c r="E782" s="157"/>
      <c r="F782" s="153"/>
      <c r="G782" s="154"/>
      <c r="H782" s="154"/>
      <c r="I782" s="154"/>
    </row>
    <row r="783" spans="1:9" x14ac:dyDescent="0.25">
      <c r="A783" s="2"/>
      <c r="B783" s="2"/>
      <c r="C783" s="2"/>
      <c r="D783" s="157"/>
      <c r="E783" s="157"/>
      <c r="F783" s="153"/>
      <c r="G783" s="154"/>
      <c r="H783" s="154"/>
      <c r="I783" s="154"/>
    </row>
    <row r="784" spans="1:9" x14ac:dyDescent="0.25">
      <c r="A784" s="2"/>
      <c r="B784" s="2"/>
      <c r="C784" s="2"/>
      <c r="D784" s="157"/>
      <c r="E784" s="157"/>
      <c r="F784" s="153"/>
      <c r="G784" s="154"/>
      <c r="H784" s="154"/>
      <c r="I784" s="154"/>
    </row>
    <row r="785" spans="1:9" x14ac:dyDescent="0.25">
      <c r="A785" s="2"/>
      <c r="B785" s="2"/>
      <c r="C785" s="2"/>
      <c r="D785" s="157"/>
      <c r="E785" s="157"/>
      <c r="F785" s="153"/>
      <c r="G785" s="154"/>
      <c r="H785" s="154"/>
      <c r="I785" s="154"/>
    </row>
    <row r="786" spans="1:9" x14ac:dyDescent="0.25">
      <c r="A786" s="2"/>
      <c r="B786" s="2"/>
      <c r="C786" s="2"/>
      <c r="D786" s="157"/>
      <c r="E786" s="157"/>
      <c r="F786" s="153"/>
      <c r="G786" s="154"/>
      <c r="H786" s="154"/>
      <c r="I786" s="154"/>
    </row>
    <row r="787" spans="1:9" x14ac:dyDescent="0.25">
      <c r="A787" s="2"/>
      <c r="B787" s="2"/>
      <c r="C787" s="2"/>
      <c r="D787" s="157"/>
      <c r="E787" s="157"/>
      <c r="F787" s="153"/>
      <c r="G787" s="154"/>
      <c r="H787" s="154"/>
      <c r="I787" s="154"/>
    </row>
    <row r="788" spans="1:9" x14ac:dyDescent="0.25">
      <c r="A788" s="2"/>
      <c r="B788" s="2"/>
      <c r="C788" s="2"/>
      <c r="D788" s="157"/>
      <c r="E788" s="157"/>
      <c r="F788" s="153"/>
      <c r="G788" s="154"/>
      <c r="H788" s="154"/>
      <c r="I788" s="154"/>
    </row>
    <row r="789" spans="1:9" x14ac:dyDescent="0.25">
      <c r="A789" s="2"/>
      <c r="B789" s="2"/>
      <c r="C789" s="2"/>
      <c r="D789" s="157"/>
      <c r="E789" s="157"/>
      <c r="F789" s="153"/>
      <c r="G789" s="154"/>
      <c r="H789" s="154"/>
      <c r="I789" s="154"/>
    </row>
    <row r="790" spans="1:9" x14ac:dyDescent="0.25">
      <c r="A790" s="2"/>
      <c r="B790" s="2"/>
      <c r="C790" s="2"/>
      <c r="D790" s="157"/>
      <c r="E790" s="157"/>
      <c r="F790" s="153"/>
      <c r="G790" s="154"/>
      <c r="H790" s="154"/>
      <c r="I790" s="154"/>
    </row>
    <row r="791" spans="1:9" x14ac:dyDescent="0.25">
      <c r="A791" s="2"/>
      <c r="B791" s="2"/>
      <c r="C791" s="2"/>
      <c r="D791" s="157"/>
      <c r="E791" s="157"/>
      <c r="F791" s="153"/>
      <c r="G791" s="154"/>
      <c r="H791" s="154"/>
      <c r="I791" s="154"/>
    </row>
    <row r="792" spans="1:9" x14ac:dyDescent="0.25">
      <c r="A792" s="2"/>
      <c r="B792" s="2"/>
      <c r="C792" s="2"/>
      <c r="D792" s="157"/>
      <c r="E792" s="157"/>
      <c r="F792" s="153"/>
      <c r="G792" s="154"/>
      <c r="H792" s="154"/>
      <c r="I792" s="154"/>
    </row>
    <row r="793" spans="1:9" x14ac:dyDescent="0.25">
      <c r="A793" s="2"/>
      <c r="B793" s="2"/>
      <c r="C793" s="2"/>
      <c r="D793" s="157"/>
      <c r="E793" s="157"/>
      <c r="F793" s="153"/>
      <c r="G793" s="154"/>
      <c r="H793" s="154"/>
      <c r="I793" s="154"/>
    </row>
    <row r="794" spans="1:9" x14ac:dyDescent="0.25">
      <c r="A794" s="2"/>
      <c r="B794" s="2"/>
      <c r="C794" s="2"/>
      <c r="D794" s="157"/>
      <c r="E794" s="157"/>
      <c r="F794" s="153"/>
      <c r="G794" s="154"/>
      <c r="H794" s="154"/>
      <c r="I794" s="154"/>
    </row>
    <row r="795" spans="1:9" x14ac:dyDescent="0.25">
      <c r="A795" s="2"/>
      <c r="B795" s="2"/>
      <c r="C795" s="2"/>
      <c r="D795" s="157"/>
      <c r="E795" s="157"/>
      <c r="F795" s="153"/>
      <c r="G795" s="154"/>
      <c r="H795" s="154"/>
      <c r="I795" s="154"/>
    </row>
    <row r="796" spans="1:9" x14ac:dyDescent="0.25">
      <c r="A796" s="2"/>
      <c r="B796" s="2"/>
      <c r="C796" s="2"/>
      <c r="D796" s="157"/>
      <c r="E796" s="157"/>
      <c r="F796" s="153"/>
      <c r="G796" s="154"/>
      <c r="H796" s="154"/>
      <c r="I796" s="154"/>
    </row>
    <row r="797" spans="1:9" x14ac:dyDescent="0.25">
      <c r="A797" s="2"/>
      <c r="B797" s="2"/>
      <c r="C797" s="2"/>
      <c r="D797" s="157"/>
      <c r="E797" s="157"/>
      <c r="F797" s="153"/>
      <c r="G797" s="154"/>
      <c r="H797" s="154"/>
      <c r="I797" s="154"/>
    </row>
    <row r="798" spans="1:9" x14ac:dyDescent="0.25">
      <c r="A798" s="2"/>
      <c r="B798" s="2"/>
      <c r="C798" s="2"/>
      <c r="D798" s="157"/>
      <c r="E798" s="157"/>
      <c r="F798" s="153"/>
      <c r="G798" s="154"/>
      <c r="H798" s="154"/>
      <c r="I798" s="154"/>
    </row>
    <row r="799" spans="1:9" x14ac:dyDescent="0.25">
      <c r="A799" s="2"/>
      <c r="B799" s="2"/>
      <c r="C799" s="2"/>
      <c r="D799" s="157"/>
      <c r="E799" s="157"/>
      <c r="F799" s="153"/>
      <c r="G799" s="154"/>
      <c r="H799" s="154"/>
      <c r="I799" s="154"/>
    </row>
    <row r="800" spans="1:9" x14ac:dyDescent="0.25">
      <c r="A800" s="2"/>
      <c r="B800" s="2"/>
      <c r="C800" s="2"/>
      <c r="D800" s="157"/>
      <c r="E800" s="157"/>
      <c r="F800" s="153"/>
      <c r="G800" s="154"/>
      <c r="H800" s="154"/>
      <c r="I800" s="154"/>
    </row>
    <row r="801" spans="1:9" x14ac:dyDescent="0.25">
      <c r="A801" s="2"/>
      <c r="B801" s="2"/>
      <c r="C801" s="2"/>
      <c r="D801" s="157"/>
      <c r="E801" s="157"/>
      <c r="F801" s="153"/>
      <c r="G801" s="154"/>
      <c r="H801" s="154"/>
      <c r="I801" s="154"/>
    </row>
    <row r="802" spans="1:9" x14ac:dyDescent="0.25">
      <c r="A802" s="2"/>
      <c r="B802" s="2"/>
      <c r="C802" s="2"/>
      <c r="D802" s="157"/>
      <c r="E802" s="157"/>
      <c r="F802" s="153"/>
      <c r="G802" s="154"/>
      <c r="H802" s="154"/>
      <c r="I802" s="154"/>
    </row>
    <row r="803" spans="1:9" x14ac:dyDescent="0.25">
      <c r="A803" s="2"/>
      <c r="B803" s="2"/>
      <c r="C803" s="2"/>
      <c r="D803" s="157"/>
      <c r="E803" s="157"/>
      <c r="F803" s="153"/>
      <c r="G803" s="154"/>
      <c r="H803" s="154"/>
      <c r="I803" s="154"/>
    </row>
    <row r="804" spans="1:9" x14ac:dyDescent="0.25">
      <c r="A804" s="2"/>
      <c r="B804" s="2"/>
      <c r="C804" s="2"/>
      <c r="D804" s="157"/>
      <c r="E804" s="157"/>
      <c r="F804" s="153"/>
      <c r="G804" s="154"/>
      <c r="H804" s="154"/>
      <c r="I804" s="154"/>
    </row>
    <row r="805" spans="1:9" x14ac:dyDescent="0.25">
      <c r="A805" s="2"/>
      <c r="B805" s="2"/>
      <c r="C805" s="2"/>
      <c r="D805" s="157"/>
      <c r="E805" s="157"/>
      <c r="F805" s="153"/>
      <c r="G805" s="154"/>
      <c r="H805" s="154"/>
      <c r="I805" s="154"/>
    </row>
    <row r="806" spans="1:9" x14ac:dyDescent="0.25">
      <c r="A806" s="2"/>
      <c r="B806" s="2"/>
      <c r="C806" s="2"/>
      <c r="D806" s="157"/>
      <c r="E806" s="157"/>
      <c r="F806" s="153"/>
      <c r="G806" s="154"/>
      <c r="H806" s="154"/>
      <c r="I806" s="154"/>
    </row>
    <row r="807" spans="1:9" x14ac:dyDescent="0.25">
      <c r="A807" s="2"/>
      <c r="B807" s="2"/>
      <c r="C807" s="2"/>
      <c r="D807" s="157"/>
      <c r="E807" s="157"/>
      <c r="F807" s="153"/>
      <c r="G807" s="154"/>
      <c r="H807" s="154"/>
      <c r="I807" s="154"/>
    </row>
    <row r="808" spans="1:9" x14ac:dyDescent="0.25">
      <c r="A808" s="2"/>
      <c r="B808" s="2"/>
      <c r="C808" s="2"/>
      <c r="D808" s="157"/>
      <c r="E808" s="157"/>
      <c r="F808" s="153"/>
      <c r="G808" s="154"/>
      <c r="H808" s="154"/>
      <c r="I808" s="154"/>
    </row>
    <row r="809" spans="1:9" x14ac:dyDescent="0.25">
      <c r="A809" s="2"/>
      <c r="B809" s="2"/>
      <c r="C809" s="2"/>
      <c r="D809" s="157"/>
      <c r="E809" s="157"/>
      <c r="F809" s="153"/>
      <c r="G809" s="154"/>
      <c r="H809" s="154"/>
      <c r="I809" s="154"/>
    </row>
    <row r="810" spans="1:9" x14ac:dyDescent="0.25">
      <c r="A810" s="2"/>
      <c r="B810" s="2"/>
      <c r="C810" s="2"/>
      <c r="D810" s="157"/>
      <c r="E810" s="157"/>
      <c r="F810" s="153"/>
      <c r="G810" s="154"/>
      <c r="H810" s="154"/>
      <c r="I810" s="154"/>
    </row>
    <row r="811" spans="1:9" x14ac:dyDescent="0.25">
      <c r="A811" s="2"/>
      <c r="B811" s="2"/>
      <c r="C811" s="2"/>
      <c r="D811" s="157"/>
      <c r="E811" s="157"/>
      <c r="F811" s="153"/>
      <c r="G811" s="154"/>
      <c r="H811" s="154"/>
      <c r="I811" s="154"/>
    </row>
    <row r="812" spans="1:9" x14ac:dyDescent="0.25">
      <c r="A812" s="2"/>
      <c r="B812" s="2"/>
      <c r="C812" s="2"/>
      <c r="D812" s="157"/>
      <c r="E812" s="157"/>
      <c r="F812" s="153"/>
      <c r="G812" s="154"/>
      <c r="H812" s="154"/>
      <c r="I812" s="154"/>
    </row>
    <row r="813" spans="1:9" x14ac:dyDescent="0.25">
      <c r="A813" s="2"/>
      <c r="B813" s="2"/>
      <c r="C813" s="2"/>
      <c r="D813" s="157"/>
      <c r="E813" s="157"/>
      <c r="F813" s="153"/>
      <c r="G813" s="154"/>
      <c r="H813" s="154"/>
      <c r="I813" s="154"/>
    </row>
    <row r="814" spans="1:9" x14ac:dyDescent="0.25">
      <c r="A814" s="2"/>
      <c r="B814" s="2"/>
      <c r="C814" s="2"/>
      <c r="D814" s="157"/>
      <c r="E814" s="157"/>
      <c r="F814" s="153"/>
      <c r="G814" s="154"/>
      <c r="H814" s="154"/>
      <c r="I814" s="154"/>
    </row>
    <row r="815" spans="1:9" x14ac:dyDescent="0.25">
      <c r="A815" s="2"/>
      <c r="B815" s="2"/>
      <c r="C815" s="2"/>
      <c r="D815" s="157"/>
      <c r="E815" s="157"/>
      <c r="F815" s="153"/>
      <c r="G815" s="154"/>
      <c r="H815" s="154"/>
      <c r="I815" s="154"/>
    </row>
    <row r="816" spans="1:9" x14ac:dyDescent="0.25">
      <c r="A816" s="2"/>
      <c r="B816" s="2"/>
      <c r="C816" s="2"/>
      <c r="D816" s="157"/>
      <c r="E816" s="157"/>
      <c r="F816" s="153"/>
      <c r="G816" s="154"/>
      <c r="H816" s="154"/>
      <c r="I816" s="154"/>
    </row>
    <row r="817" spans="1:9" x14ac:dyDescent="0.25">
      <c r="A817" s="2"/>
      <c r="B817" s="2"/>
      <c r="C817" s="2"/>
      <c r="D817" s="157"/>
      <c r="E817" s="157"/>
      <c r="F817" s="153"/>
      <c r="G817" s="154"/>
      <c r="H817" s="154"/>
      <c r="I817" s="154"/>
    </row>
    <row r="818" spans="1:9" x14ac:dyDescent="0.25">
      <c r="A818" s="2"/>
      <c r="B818" s="2"/>
      <c r="C818" s="2"/>
      <c r="D818" s="157"/>
      <c r="E818" s="157"/>
      <c r="F818" s="153"/>
      <c r="G818" s="154"/>
      <c r="H818" s="154"/>
      <c r="I818" s="154"/>
    </row>
    <row r="819" spans="1:9" x14ac:dyDescent="0.25">
      <c r="A819" s="2"/>
      <c r="B819" s="2"/>
      <c r="C819" s="2"/>
      <c r="D819" s="157"/>
      <c r="E819" s="157"/>
      <c r="F819" s="153"/>
      <c r="G819" s="154"/>
      <c r="H819" s="154"/>
      <c r="I819" s="154"/>
    </row>
    <row r="820" spans="1:9" x14ac:dyDescent="0.25">
      <c r="A820" s="2"/>
      <c r="B820" s="2"/>
      <c r="C820" s="2"/>
      <c r="D820" s="157"/>
      <c r="E820" s="157"/>
      <c r="F820" s="153"/>
      <c r="G820" s="154"/>
      <c r="H820" s="154"/>
      <c r="I820" s="154"/>
    </row>
    <row r="821" spans="1:9" x14ac:dyDescent="0.25">
      <c r="A821" s="2"/>
      <c r="B821" s="2"/>
      <c r="C821" s="2"/>
      <c r="D821" s="157"/>
      <c r="E821" s="157"/>
      <c r="F821" s="153"/>
      <c r="G821" s="154"/>
      <c r="H821" s="154"/>
      <c r="I821" s="154"/>
    </row>
    <row r="822" spans="1:9" x14ac:dyDescent="0.25">
      <c r="A822" s="2"/>
      <c r="B822" s="2"/>
      <c r="C822" s="2"/>
      <c r="D822" s="157"/>
      <c r="E822" s="157"/>
      <c r="F822" s="153"/>
      <c r="G822" s="154"/>
      <c r="H822" s="154"/>
      <c r="I822" s="154"/>
    </row>
    <row r="823" spans="1:9" x14ac:dyDescent="0.25">
      <c r="A823" s="2"/>
      <c r="B823" s="2"/>
      <c r="C823" s="2"/>
      <c r="D823" s="157"/>
      <c r="E823" s="157"/>
      <c r="F823" s="153"/>
      <c r="G823" s="154"/>
      <c r="H823" s="154"/>
      <c r="I823" s="154"/>
    </row>
    <row r="824" spans="1:9" x14ac:dyDescent="0.25">
      <c r="A824" s="2"/>
      <c r="B824" s="2"/>
      <c r="C824" s="2"/>
      <c r="D824" s="157"/>
      <c r="E824" s="157"/>
      <c r="F824" s="153"/>
      <c r="G824" s="154"/>
      <c r="H824" s="154"/>
      <c r="I824" s="154"/>
    </row>
    <row r="825" spans="1:9" x14ac:dyDescent="0.25">
      <c r="A825" s="2"/>
      <c r="B825" s="2"/>
      <c r="C825" s="2"/>
      <c r="D825" s="157"/>
      <c r="E825" s="157"/>
      <c r="F825" s="153"/>
      <c r="G825" s="154"/>
      <c r="H825" s="154"/>
      <c r="I825" s="154"/>
    </row>
    <row r="826" spans="1:9" x14ac:dyDescent="0.25">
      <c r="A826" s="2"/>
      <c r="B826" s="2"/>
      <c r="C826" s="2"/>
      <c r="D826" s="157"/>
      <c r="E826" s="157"/>
      <c r="F826" s="153"/>
      <c r="G826" s="154"/>
      <c r="H826" s="154"/>
      <c r="I826" s="154"/>
    </row>
    <row r="827" spans="1:9" x14ac:dyDescent="0.25">
      <c r="A827" s="2"/>
      <c r="B827" s="2"/>
      <c r="C827" s="2"/>
      <c r="D827" s="157"/>
      <c r="E827" s="157"/>
      <c r="F827" s="153"/>
      <c r="G827" s="154"/>
      <c r="H827" s="154"/>
      <c r="I827" s="154"/>
    </row>
    <row r="828" spans="1:9" x14ac:dyDescent="0.25">
      <c r="A828" s="2"/>
      <c r="B828" s="2"/>
      <c r="C828" s="2"/>
      <c r="D828" s="157"/>
      <c r="E828" s="157"/>
      <c r="F828" s="153"/>
      <c r="G828" s="154"/>
      <c r="H828" s="154"/>
      <c r="I828" s="154"/>
    </row>
    <row r="829" spans="1:9" x14ac:dyDescent="0.25">
      <c r="A829" s="2"/>
      <c r="B829" s="2"/>
      <c r="C829" s="2"/>
      <c r="D829" s="157"/>
      <c r="E829" s="157"/>
      <c r="F829" s="153"/>
      <c r="G829" s="154"/>
      <c r="H829" s="154"/>
      <c r="I829" s="154"/>
    </row>
    <row r="830" spans="1:9" x14ac:dyDescent="0.25">
      <c r="A830" s="2"/>
      <c r="B830" s="2"/>
      <c r="C830" s="2"/>
      <c r="D830" s="157"/>
      <c r="E830" s="157"/>
      <c r="F830" s="153"/>
      <c r="G830" s="154"/>
      <c r="H830" s="154"/>
      <c r="I830" s="154"/>
    </row>
    <row r="831" spans="1:9" x14ac:dyDescent="0.25">
      <c r="A831" s="2"/>
      <c r="B831" s="2"/>
      <c r="C831" s="2"/>
      <c r="D831" s="157"/>
      <c r="E831" s="157"/>
      <c r="F831" s="153"/>
      <c r="G831" s="154"/>
      <c r="H831" s="154"/>
      <c r="I831" s="154"/>
    </row>
    <row r="832" spans="1:9" x14ac:dyDescent="0.25">
      <c r="A832" s="2"/>
      <c r="B832" s="2"/>
      <c r="C832" s="2"/>
      <c r="D832" s="157"/>
      <c r="E832" s="157"/>
      <c r="F832" s="153"/>
      <c r="G832" s="154"/>
      <c r="H832" s="154"/>
      <c r="I832" s="154"/>
    </row>
    <row r="833" spans="1:9" x14ac:dyDescent="0.25">
      <c r="A833" s="2"/>
      <c r="B833" s="2"/>
      <c r="C833" s="2"/>
      <c r="D833" s="157"/>
      <c r="E833" s="157"/>
      <c r="F833" s="153"/>
      <c r="G833" s="154"/>
      <c r="H833" s="154"/>
      <c r="I833" s="154"/>
    </row>
    <row r="834" spans="1:9" x14ac:dyDescent="0.25">
      <c r="A834" s="2"/>
      <c r="B834" s="2"/>
      <c r="C834" s="2"/>
      <c r="D834" s="157"/>
      <c r="E834" s="157"/>
      <c r="F834" s="153"/>
      <c r="G834" s="154"/>
      <c r="H834" s="154"/>
      <c r="I834" s="154"/>
    </row>
    <row r="835" spans="1:9" x14ac:dyDescent="0.25">
      <c r="A835" s="2"/>
      <c r="B835" s="2"/>
      <c r="C835" s="2"/>
      <c r="D835" s="157"/>
      <c r="E835" s="157"/>
      <c r="F835" s="153"/>
      <c r="G835" s="154"/>
      <c r="H835" s="154"/>
      <c r="I835" s="154"/>
    </row>
    <row r="836" spans="1:9" x14ac:dyDescent="0.25">
      <c r="A836" s="2"/>
      <c r="B836" s="2"/>
      <c r="C836" s="2"/>
      <c r="D836" s="157"/>
      <c r="E836" s="157"/>
      <c r="F836" s="153"/>
      <c r="G836" s="154"/>
      <c r="H836" s="154"/>
      <c r="I836" s="154"/>
    </row>
    <row r="837" spans="1:9" x14ac:dyDescent="0.25">
      <c r="A837" s="2"/>
      <c r="B837" s="2"/>
      <c r="C837" s="2"/>
      <c r="D837" s="157"/>
      <c r="E837" s="157"/>
      <c r="F837" s="153"/>
      <c r="G837" s="154"/>
      <c r="H837" s="154"/>
      <c r="I837" s="154"/>
    </row>
    <row r="838" spans="1:9" x14ac:dyDescent="0.25">
      <c r="A838" s="2"/>
      <c r="B838" s="2"/>
      <c r="C838" s="2"/>
      <c r="D838" s="157"/>
      <c r="E838" s="157"/>
      <c r="F838" s="153"/>
      <c r="G838" s="154"/>
      <c r="H838" s="154"/>
      <c r="I838" s="154"/>
    </row>
    <row r="839" spans="1:9" x14ac:dyDescent="0.25">
      <c r="A839" s="2"/>
      <c r="B839" s="2"/>
      <c r="C839" s="2"/>
      <c r="D839" s="157"/>
      <c r="E839" s="157"/>
      <c r="F839" s="153"/>
      <c r="G839" s="154"/>
      <c r="H839" s="154"/>
      <c r="I839" s="154"/>
    </row>
    <row r="840" spans="1:9" x14ac:dyDescent="0.25">
      <c r="A840" s="2"/>
      <c r="B840" s="2"/>
      <c r="C840" s="2"/>
      <c r="D840" s="157"/>
      <c r="E840" s="157"/>
      <c r="F840" s="153"/>
      <c r="G840" s="154"/>
      <c r="H840" s="154"/>
      <c r="I840" s="154"/>
    </row>
    <row r="841" spans="1:9" x14ac:dyDescent="0.25">
      <c r="A841" s="2"/>
      <c r="B841" s="2"/>
      <c r="C841" s="2"/>
      <c r="D841" s="157"/>
      <c r="E841" s="157"/>
      <c r="F841" s="153"/>
      <c r="G841" s="154"/>
      <c r="H841" s="154"/>
      <c r="I841" s="154"/>
    </row>
    <row r="842" spans="1:9" x14ac:dyDescent="0.25">
      <c r="A842" s="2"/>
      <c r="B842" s="2"/>
      <c r="C842" s="2"/>
      <c r="D842" s="157"/>
      <c r="E842" s="157"/>
      <c r="F842" s="153"/>
      <c r="G842" s="154"/>
      <c r="H842" s="154"/>
      <c r="I842" s="154"/>
    </row>
    <row r="843" spans="1:9" x14ac:dyDescent="0.25">
      <c r="A843" s="2"/>
      <c r="B843" s="2"/>
      <c r="C843" s="2"/>
      <c r="D843" s="157"/>
      <c r="E843" s="157"/>
      <c r="F843" s="153"/>
      <c r="G843" s="154"/>
      <c r="H843" s="154"/>
      <c r="I843" s="154"/>
    </row>
    <row r="844" spans="1:9" x14ac:dyDescent="0.25">
      <c r="A844" s="2"/>
      <c r="B844" s="2"/>
      <c r="C844" s="2"/>
      <c r="D844" s="157"/>
      <c r="E844" s="157"/>
      <c r="F844" s="153"/>
      <c r="G844" s="154"/>
      <c r="H844" s="154"/>
      <c r="I844" s="154"/>
    </row>
    <row r="845" spans="1:9" x14ac:dyDescent="0.25">
      <c r="A845" s="2"/>
      <c r="B845" s="2"/>
      <c r="C845" s="2"/>
      <c r="D845" s="157"/>
      <c r="E845" s="157"/>
      <c r="F845" s="153"/>
      <c r="G845" s="154"/>
      <c r="H845" s="154"/>
      <c r="I845" s="154"/>
    </row>
    <row r="846" spans="1:9" x14ac:dyDescent="0.25">
      <c r="A846" s="2"/>
      <c r="B846" s="2"/>
      <c r="C846" s="2"/>
      <c r="D846" s="157"/>
      <c r="E846" s="157"/>
      <c r="F846" s="153"/>
      <c r="G846" s="154"/>
      <c r="H846" s="154"/>
      <c r="I846" s="154"/>
    </row>
    <row r="847" spans="1:9" x14ac:dyDescent="0.25">
      <c r="A847" s="2"/>
      <c r="B847" s="2"/>
      <c r="C847" s="2"/>
      <c r="D847" s="157"/>
      <c r="E847" s="157"/>
      <c r="F847" s="153"/>
      <c r="G847" s="154"/>
      <c r="H847" s="154"/>
      <c r="I847" s="154"/>
    </row>
    <row r="848" spans="1:9" x14ac:dyDescent="0.25">
      <c r="A848" s="2"/>
      <c r="B848" s="2"/>
      <c r="C848" s="2"/>
      <c r="D848" s="157"/>
      <c r="E848" s="157"/>
      <c r="F848" s="153"/>
      <c r="G848" s="154"/>
      <c r="H848" s="154"/>
      <c r="I848" s="154"/>
    </row>
    <row r="849" spans="1:9" x14ac:dyDescent="0.25">
      <c r="A849" s="2"/>
      <c r="B849" s="2"/>
      <c r="C849" s="2"/>
      <c r="D849" s="157"/>
      <c r="E849" s="157"/>
      <c r="F849" s="153"/>
      <c r="G849" s="154"/>
      <c r="H849" s="154"/>
      <c r="I849" s="154"/>
    </row>
    <row r="850" spans="1:9" x14ac:dyDescent="0.25">
      <c r="A850" s="2"/>
      <c r="B850" s="2"/>
      <c r="C850" s="2"/>
      <c r="D850" s="157"/>
      <c r="E850" s="157"/>
      <c r="F850" s="153"/>
      <c r="G850" s="154"/>
      <c r="H850" s="154"/>
      <c r="I850" s="154"/>
    </row>
    <row r="851" spans="1:9" x14ac:dyDescent="0.25">
      <c r="A851" s="2"/>
      <c r="B851" s="2"/>
      <c r="C851" s="2"/>
      <c r="D851" s="157"/>
      <c r="E851" s="157"/>
      <c r="F851" s="153"/>
      <c r="G851" s="154"/>
      <c r="H851" s="154"/>
      <c r="I851" s="154"/>
    </row>
    <row r="852" spans="1:9" x14ac:dyDescent="0.25">
      <c r="A852" s="2"/>
      <c r="B852" s="2"/>
      <c r="C852" s="2"/>
      <c r="D852" s="157"/>
      <c r="E852" s="157"/>
      <c r="F852" s="153"/>
      <c r="G852" s="154"/>
      <c r="H852" s="154"/>
      <c r="I852" s="154"/>
    </row>
    <row r="853" spans="1:9" x14ac:dyDescent="0.25">
      <c r="A853" s="2"/>
      <c r="B853" s="2"/>
      <c r="C853" s="2"/>
      <c r="D853" s="157"/>
      <c r="E853" s="157"/>
      <c r="F853" s="153"/>
      <c r="G853" s="154"/>
      <c r="H853" s="154"/>
      <c r="I853" s="154"/>
    </row>
    <row r="854" spans="1:9" x14ac:dyDescent="0.25">
      <c r="A854" s="2"/>
      <c r="B854" s="2"/>
      <c r="C854" s="2"/>
      <c r="D854" s="157"/>
      <c r="E854" s="157"/>
      <c r="F854" s="153"/>
      <c r="G854" s="154"/>
      <c r="H854" s="154"/>
      <c r="I854" s="154"/>
    </row>
    <row r="855" spans="1:9" x14ac:dyDescent="0.25">
      <c r="A855" s="2"/>
      <c r="B855" s="2"/>
      <c r="C855" s="2"/>
      <c r="D855" s="157"/>
      <c r="E855" s="157"/>
      <c r="F855" s="153"/>
      <c r="G855" s="154"/>
      <c r="H855" s="154"/>
      <c r="I855" s="154"/>
    </row>
    <row r="856" spans="1:9" x14ac:dyDescent="0.25">
      <c r="A856" s="2"/>
      <c r="B856" s="2"/>
      <c r="C856" s="2"/>
      <c r="D856" s="157"/>
      <c r="E856" s="157"/>
      <c r="F856" s="153"/>
      <c r="G856" s="154"/>
      <c r="H856" s="154"/>
      <c r="I856" s="154"/>
    </row>
    <row r="857" spans="1:9" x14ac:dyDescent="0.25">
      <c r="A857" s="2"/>
      <c r="B857" s="2"/>
      <c r="C857" s="2"/>
      <c r="D857" s="157"/>
      <c r="E857" s="157"/>
      <c r="F857" s="153"/>
      <c r="G857" s="154"/>
      <c r="H857" s="154"/>
      <c r="I857" s="154"/>
    </row>
    <row r="858" spans="1:9" x14ac:dyDescent="0.25">
      <c r="A858" s="2"/>
      <c r="B858" s="2"/>
      <c r="C858" s="2"/>
      <c r="D858" s="157"/>
      <c r="E858" s="157"/>
      <c r="F858" s="153"/>
      <c r="G858" s="154"/>
      <c r="H858" s="154"/>
      <c r="I858" s="154"/>
    </row>
    <row r="859" spans="1:9" x14ac:dyDescent="0.25">
      <c r="A859" s="2"/>
      <c r="B859" s="2"/>
      <c r="C859" s="2"/>
      <c r="D859" s="157"/>
      <c r="E859" s="157"/>
      <c r="F859" s="153"/>
      <c r="G859" s="154"/>
      <c r="H859" s="154"/>
      <c r="I859" s="154"/>
    </row>
    <row r="860" spans="1:9" x14ac:dyDescent="0.25">
      <c r="A860" s="2"/>
      <c r="B860" s="2"/>
      <c r="C860" s="2"/>
      <c r="D860" s="157"/>
      <c r="E860" s="157"/>
      <c r="F860" s="153"/>
      <c r="G860" s="154"/>
      <c r="H860" s="154"/>
      <c r="I860" s="154"/>
    </row>
    <row r="861" spans="1:9" x14ac:dyDescent="0.25">
      <c r="A861" s="2"/>
      <c r="B861" s="2"/>
      <c r="C861" s="2"/>
      <c r="D861" s="157"/>
      <c r="E861" s="157"/>
      <c r="F861" s="153"/>
      <c r="G861" s="154"/>
      <c r="H861" s="154"/>
      <c r="I861" s="154"/>
    </row>
    <row r="862" spans="1:9" x14ac:dyDescent="0.25">
      <c r="A862" s="2"/>
      <c r="B862" s="2"/>
      <c r="C862" s="2"/>
      <c r="D862" s="157"/>
      <c r="E862" s="157"/>
      <c r="F862" s="153"/>
      <c r="G862" s="154"/>
      <c r="H862" s="154"/>
      <c r="I862" s="154"/>
    </row>
    <row r="863" spans="1:9" x14ac:dyDescent="0.25">
      <c r="A863" s="2"/>
      <c r="B863" s="2"/>
      <c r="C863" s="2"/>
      <c r="D863" s="157"/>
      <c r="E863" s="157"/>
      <c r="F863" s="153"/>
      <c r="G863" s="154"/>
      <c r="H863" s="154"/>
      <c r="I863" s="154"/>
    </row>
    <row r="864" spans="1:9" x14ac:dyDescent="0.25">
      <c r="A864" s="2"/>
      <c r="B864" s="2"/>
      <c r="C864" s="2"/>
      <c r="D864" s="157"/>
      <c r="E864" s="157"/>
      <c r="F864" s="153"/>
      <c r="G864" s="154"/>
      <c r="H864" s="154"/>
      <c r="I864" s="154"/>
    </row>
    <row r="865" spans="1:9" x14ac:dyDescent="0.25">
      <c r="A865" s="2"/>
      <c r="B865" s="2"/>
      <c r="C865" s="2"/>
      <c r="D865" s="157"/>
      <c r="E865" s="157"/>
      <c r="F865" s="153"/>
      <c r="G865" s="154"/>
      <c r="H865" s="154"/>
      <c r="I865" s="154"/>
    </row>
    <row r="866" spans="1:9" x14ac:dyDescent="0.25">
      <c r="A866" s="2"/>
      <c r="B866" s="2"/>
      <c r="C866" s="2"/>
      <c r="D866" s="157"/>
      <c r="E866" s="157"/>
      <c r="F866" s="153"/>
      <c r="G866" s="154"/>
      <c r="H866" s="154"/>
      <c r="I866" s="154"/>
    </row>
    <row r="867" spans="1:9" x14ac:dyDescent="0.25">
      <c r="A867" s="2"/>
      <c r="B867" s="2"/>
      <c r="C867" s="2"/>
      <c r="D867" s="157"/>
      <c r="E867" s="157"/>
      <c r="F867" s="153"/>
      <c r="G867" s="154"/>
      <c r="H867" s="154"/>
      <c r="I867" s="154"/>
    </row>
    <row r="868" spans="1:9" x14ac:dyDescent="0.25">
      <c r="A868" s="2"/>
      <c r="B868" s="2"/>
      <c r="C868" s="2"/>
      <c r="D868" s="157"/>
      <c r="E868" s="157"/>
      <c r="F868" s="153"/>
      <c r="G868" s="154"/>
      <c r="H868" s="154"/>
      <c r="I868" s="154"/>
    </row>
    <row r="869" spans="1:9" x14ac:dyDescent="0.25">
      <c r="A869" s="2"/>
      <c r="B869" s="2"/>
      <c r="C869" s="2"/>
      <c r="D869" s="157"/>
      <c r="E869" s="157"/>
      <c r="F869" s="153"/>
      <c r="G869" s="154"/>
      <c r="H869" s="154"/>
      <c r="I869" s="154"/>
    </row>
    <row r="870" spans="1:9" x14ac:dyDescent="0.25">
      <c r="A870" s="2"/>
      <c r="B870" s="2"/>
      <c r="C870" s="2"/>
      <c r="D870" s="157"/>
      <c r="E870" s="157"/>
      <c r="F870" s="153"/>
      <c r="G870" s="154"/>
      <c r="H870" s="154"/>
      <c r="I870" s="154"/>
    </row>
    <row r="871" spans="1:9" x14ac:dyDescent="0.25">
      <c r="A871" s="2"/>
      <c r="B871" s="2"/>
      <c r="C871" s="2"/>
      <c r="D871" s="157"/>
      <c r="E871" s="157"/>
      <c r="F871" s="153"/>
      <c r="G871" s="154"/>
      <c r="H871" s="154"/>
      <c r="I871" s="154"/>
    </row>
    <row r="872" spans="1:9" x14ac:dyDescent="0.25">
      <c r="A872" s="2"/>
      <c r="B872" s="2"/>
      <c r="C872" s="2"/>
      <c r="D872" s="157"/>
      <c r="E872" s="157"/>
      <c r="F872" s="153"/>
      <c r="G872" s="154"/>
      <c r="H872" s="154"/>
      <c r="I872" s="154"/>
    </row>
    <row r="873" spans="1:9" x14ac:dyDescent="0.25">
      <c r="A873" s="2"/>
      <c r="B873" s="2"/>
      <c r="C873" s="2"/>
      <c r="D873" s="157"/>
      <c r="E873" s="157"/>
      <c r="F873" s="153"/>
      <c r="G873" s="154"/>
      <c r="H873" s="154"/>
      <c r="I873" s="154"/>
    </row>
    <row r="874" spans="1:9" x14ac:dyDescent="0.25">
      <c r="A874" s="2"/>
      <c r="B874" s="2"/>
      <c r="C874" s="2"/>
      <c r="D874" s="157"/>
      <c r="E874" s="157"/>
      <c r="F874" s="153"/>
      <c r="G874" s="154"/>
      <c r="H874" s="154"/>
      <c r="I874" s="154"/>
    </row>
    <row r="875" spans="1:9" x14ac:dyDescent="0.25">
      <c r="A875" s="2"/>
      <c r="B875" s="2"/>
      <c r="C875" s="2"/>
      <c r="D875" s="157"/>
      <c r="E875" s="157"/>
      <c r="F875" s="153"/>
      <c r="G875" s="154"/>
      <c r="H875" s="154"/>
      <c r="I875" s="154"/>
    </row>
    <row r="876" spans="1:9" x14ac:dyDescent="0.25">
      <c r="A876" s="2"/>
      <c r="B876" s="2"/>
      <c r="C876" s="2"/>
      <c r="D876" s="157"/>
      <c r="E876" s="157"/>
      <c r="F876" s="153"/>
      <c r="G876" s="154"/>
      <c r="H876" s="154"/>
      <c r="I876" s="154"/>
    </row>
    <row r="877" spans="1:9" x14ac:dyDescent="0.25">
      <c r="A877" s="2"/>
      <c r="B877" s="2"/>
      <c r="C877" s="2"/>
      <c r="D877" s="157"/>
      <c r="E877" s="157"/>
      <c r="F877" s="153"/>
      <c r="G877" s="154"/>
      <c r="H877" s="154"/>
      <c r="I877" s="154"/>
    </row>
    <row r="878" spans="1:9" x14ac:dyDescent="0.25">
      <c r="A878" s="2"/>
      <c r="B878" s="2"/>
      <c r="C878" s="2"/>
      <c r="D878" s="157"/>
      <c r="E878" s="157"/>
      <c r="F878" s="153"/>
      <c r="G878" s="154"/>
      <c r="H878" s="154"/>
      <c r="I878" s="154"/>
    </row>
    <row r="879" spans="1:9" x14ac:dyDescent="0.25">
      <c r="A879" s="2"/>
      <c r="B879" s="2"/>
      <c r="C879" s="2"/>
      <c r="D879" s="157"/>
      <c r="E879" s="157"/>
      <c r="F879" s="153"/>
      <c r="G879" s="154"/>
      <c r="H879" s="154"/>
      <c r="I879" s="154"/>
    </row>
    <row r="880" spans="1:9" x14ac:dyDescent="0.25">
      <c r="A880" s="2"/>
      <c r="B880" s="2"/>
      <c r="C880" s="2"/>
      <c r="D880" s="157"/>
      <c r="E880" s="157"/>
      <c r="F880" s="153"/>
      <c r="G880" s="154"/>
      <c r="H880" s="154"/>
      <c r="I880" s="154"/>
    </row>
    <row r="881" spans="1:9" x14ac:dyDescent="0.25">
      <c r="A881" s="2"/>
      <c r="B881" s="2"/>
      <c r="C881" s="2"/>
      <c r="D881" s="157"/>
      <c r="E881" s="157"/>
      <c r="F881" s="153"/>
      <c r="G881" s="154"/>
      <c r="H881" s="154"/>
      <c r="I881" s="154"/>
    </row>
    <row r="882" spans="1:9" x14ac:dyDescent="0.25">
      <c r="A882" s="2"/>
      <c r="B882" s="2"/>
      <c r="C882" s="2"/>
      <c r="D882" s="157"/>
      <c r="E882" s="157"/>
      <c r="F882" s="153"/>
      <c r="G882" s="154"/>
      <c r="H882" s="154"/>
      <c r="I882" s="154"/>
    </row>
    <row r="883" spans="1:9" x14ac:dyDescent="0.25">
      <c r="A883" s="2"/>
      <c r="B883" s="2"/>
      <c r="C883" s="2"/>
      <c r="D883" s="157"/>
      <c r="E883" s="157"/>
      <c r="F883" s="153"/>
      <c r="G883" s="154"/>
      <c r="H883" s="154"/>
      <c r="I883" s="154"/>
    </row>
    <row r="884" spans="1:9" x14ac:dyDescent="0.25">
      <c r="A884" s="2"/>
      <c r="B884" s="2"/>
      <c r="C884" s="2"/>
      <c r="D884" s="157"/>
      <c r="E884" s="157"/>
      <c r="F884" s="153"/>
      <c r="G884" s="154"/>
      <c r="H884" s="154"/>
      <c r="I884" s="154"/>
    </row>
    <row r="885" spans="1:9" x14ac:dyDescent="0.25">
      <c r="A885" s="2"/>
      <c r="B885" s="2"/>
      <c r="C885" s="2"/>
      <c r="D885" s="157"/>
      <c r="E885" s="157"/>
      <c r="F885" s="153"/>
      <c r="G885" s="154"/>
      <c r="H885" s="154"/>
      <c r="I885" s="154"/>
    </row>
    <row r="886" spans="1:9" x14ac:dyDescent="0.25">
      <c r="A886" s="2"/>
      <c r="B886" s="2"/>
      <c r="C886" s="2"/>
      <c r="D886" s="157"/>
      <c r="E886" s="157"/>
      <c r="F886" s="153"/>
      <c r="G886" s="154"/>
      <c r="H886" s="154"/>
      <c r="I886" s="154"/>
    </row>
    <row r="887" spans="1:9" x14ac:dyDescent="0.25">
      <c r="A887" s="2"/>
      <c r="B887" s="2"/>
      <c r="C887" s="2"/>
      <c r="D887" s="157"/>
      <c r="E887" s="157"/>
      <c r="F887" s="153"/>
      <c r="G887" s="154"/>
      <c r="H887" s="154"/>
      <c r="I887" s="154"/>
    </row>
    <row r="888" spans="1:9" x14ac:dyDescent="0.25">
      <c r="A888" s="2"/>
      <c r="B888" s="2"/>
      <c r="C888" s="2"/>
      <c r="D888" s="157"/>
      <c r="E888" s="157"/>
      <c r="F888" s="153"/>
      <c r="G888" s="154"/>
      <c r="H888" s="154"/>
      <c r="I888" s="154"/>
    </row>
    <row r="889" spans="1:9" x14ac:dyDescent="0.25">
      <c r="A889" s="2"/>
      <c r="B889" s="2"/>
      <c r="C889" s="2"/>
      <c r="D889" s="157"/>
      <c r="E889" s="157"/>
      <c r="F889" s="153"/>
      <c r="G889" s="154"/>
      <c r="H889" s="154"/>
      <c r="I889" s="154"/>
    </row>
    <row r="890" spans="1:9" x14ac:dyDescent="0.25">
      <c r="A890" s="2"/>
      <c r="B890" s="2"/>
      <c r="C890" s="2"/>
      <c r="D890" s="157"/>
      <c r="E890" s="157"/>
      <c r="F890" s="153"/>
      <c r="G890" s="154"/>
      <c r="H890" s="154"/>
      <c r="I890" s="154"/>
    </row>
    <row r="891" spans="1:9" x14ac:dyDescent="0.25">
      <c r="A891" s="2"/>
      <c r="B891" s="2"/>
      <c r="C891" s="2"/>
      <c r="D891" s="157"/>
      <c r="E891" s="157"/>
      <c r="F891" s="153"/>
      <c r="G891" s="154"/>
      <c r="H891" s="154"/>
      <c r="I891" s="154"/>
    </row>
    <row r="892" spans="1:9" x14ac:dyDescent="0.25">
      <c r="A892" s="2"/>
      <c r="B892" s="2"/>
      <c r="C892" s="2"/>
      <c r="D892" s="157"/>
      <c r="E892" s="157"/>
      <c r="F892" s="153"/>
      <c r="G892" s="154"/>
      <c r="H892" s="154"/>
      <c r="I892" s="154"/>
    </row>
    <row r="893" spans="1:9" x14ac:dyDescent="0.25">
      <c r="A893" s="2"/>
      <c r="B893" s="2"/>
      <c r="C893" s="2"/>
      <c r="D893" s="157"/>
      <c r="E893" s="157"/>
      <c r="F893" s="153"/>
      <c r="G893" s="154"/>
      <c r="H893" s="154"/>
      <c r="I893" s="154"/>
    </row>
    <row r="894" spans="1:9" x14ac:dyDescent="0.25">
      <c r="A894" s="2"/>
      <c r="B894" s="2"/>
      <c r="C894" s="2"/>
      <c r="D894" s="157"/>
      <c r="E894" s="157"/>
      <c r="F894" s="153"/>
      <c r="G894" s="154"/>
      <c r="H894" s="154"/>
      <c r="I894" s="154"/>
    </row>
    <row r="895" spans="1:9" x14ac:dyDescent="0.25">
      <c r="A895" s="2"/>
      <c r="B895" s="2"/>
      <c r="C895" s="2"/>
      <c r="D895" s="157"/>
      <c r="E895" s="157"/>
      <c r="F895" s="153"/>
      <c r="G895" s="154"/>
      <c r="H895" s="154"/>
      <c r="I895" s="154"/>
    </row>
    <row r="896" spans="1:9" x14ac:dyDescent="0.25">
      <c r="A896" s="2"/>
      <c r="B896" s="2"/>
      <c r="C896" s="2"/>
      <c r="D896" s="157"/>
      <c r="E896" s="157"/>
      <c r="F896" s="153"/>
      <c r="G896" s="154"/>
      <c r="H896" s="154"/>
      <c r="I896" s="154"/>
    </row>
    <row r="897" spans="1:9" x14ac:dyDescent="0.25">
      <c r="A897" s="2"/>
      <c r="B897" s="2"/>
      <c r="C897" s="2"/>
      <c r="D897" s="157"/>
      <c r="E897" s="157"/>
      <c r="F897" s="153"/>
      <c r="G897" s="154"/>
      <c r="H897" s="154"/>
      <c r="I897" s="154"/>
    </row>
    <row r="898" spans="1:9" x14ac:dyDescent="0.25">
      <c r="A898" s="2"/>
      <c r="B898" s="2"/>
      <c r="C898" s="2"/>
      <c r="D898" s="157"/>
      <c r="E898" s="157"/>
      <c r="F898" s="153"/>
      <c r="G898" s="154"/>
      <c r="H898" s="154"/>
      <c r="I898" s="154"/>
    </row>
    <row r="899" spans="1:9" x14ac:dyDescent="0.25">
      <c r="A899" s="2"/>
      <c r="B899" s="2"/>
      <c r="C899" s="2"/>
      <c r="D899" s="157"/>
      <c r="E899" s="157"/>
      <c r="F899" s="153"/>
      <c r="G899" s="154"/>
      <c r="H899" s="154"/>
      <c r="I899" s="154"/>
    </row>
    <row r="900" spans="1:9" x14ac:dyDescent="0.25">
      <c r="A900" s="2"/>
      <c r="B900" s="2"/>
      <c r="C900" s="2"/>
      <c r="D900" s="157"/>
      <c r="E900" s="157"/>
      <c r="F900" s="153"/>
      <c r="G900" s="154"/>
      <c r="H900" s="154"/>
      <c r="I900" s="154"/>
    </row>
    <row r="901" spans="1:9" x14ac:dyDescent="0.25">
      <c r="A901" s="2"/>
      <c r="B901" s="2"/>
      <c r="C901" s="2"/>
      <c r="D901" s="157"/>
      <c r="E901" s="157"/>
      <c r="F901" s="153"/>
      <c r="G901" s="154"/>
      <c r="H901" s="154"/>
      <c r="I901" s="154"/>
    </row>
    <row r="902" spans="1:9" x14ac:dyDescent="0.25">
      <c r="A902" s="2"/>
      <c r="B902" s="2"/>
      <c r="C902" s="2"/>
      <c r="D902" s="157"/>
      <c r="E902" s="157"/>
      <c r="F902" s="153"/>
      <c r="G902" s="154"/>
      <c r="H902" s="154"/>
      <c r="I902" s="154"/>
    </row>
    <row r="903" spans="1:9" x14ac:dyDescent="0.25">
      <c r="A903" s="2"/>
      <c r="B903" s="2"/>
      <c r="C903" s="2"/>
      <c r="D903" s="157"/>
      <c r="E903" s="157"/>
      <c r="F903" s="153"/>
      <c r="G903" s="154"/>
      <c r="H903" s="154"/>
      <c r="I903" s="154"/>
    </row>
    <row r="904" spans="1:9" x14ac:dyDescent="0.25">
      <c r="A904" s="2"/>
      <c r="B904" s="2"/>
      <c r="C904" s="2"/>
      <c r="D904" s="157"/>
      <c r="E904" s="157"/>
      <c r="F904" s="153"/>
      <c r="G904" s="154"/>
      <c r="H904" s="154"/>
      <c r="I904" s="154"/>
    </row>
    <row r="905" spans="1:9" x14ac:dyDescent="0.25">
      <c r="A905" s="2"/>
      <c r="B905" s="2"/>
      <c r="C905" s="2"/>
      <c r="D905" s="157"/>
      <c r="E905" s="157"/>
      <c r="F905" s="153"/>
      <c r="G905" s="154"/>
      <c r="H905" s="154"/>
      <c r="I905" s="154"/>
    </row>
    <row r="906" spans="1:9" x14ac:dyDescent="0.25">
      <c r="A906" s="2"/>
      <c r="B906" s="2"/>
      <c r="C906" s="2"/>
      <c r="D906" s="157"/>
      <c r="E906" s="157"/>
      <c r="F906" s="153"/>
      <c r="G906" s="154"/>
      <c r="H906" s="154"/>
      <c r="I906" s="154"/>
    </row>
    <row r="907" spans="1:9" x14ac:dyDescent="0.25">
      <c r="A907" s="2"/>
      <c r="B907" s="2"/>
      <c r="C907" s="2"/>
      <c r="D907" s="157"/>
      <c r="E907" s="157"/>
      <c r="F907" s="153"/>
      <c r="G907" s="154"/>
      <c r="H907" s="154"/>
      <c r="I907" s="154"/>
    </row>
    <row r="908" spans="1:9" x14ac:dyDescent="0.25">
      <c r="A908" s="2"/>
      <c r="B908" s="2"/>
      <c r="C908" s="2"/>
      <c r="D908" s="157"/>
      <c r="E908" s="157"/>
      <c r="F908" s="153"/>
      <c r="G908" s="154"/>
      <c r="H908" s="154"/>
      <c r="I908" s="154"/>
    </row>
    <row r="909" spans="1:9" x14ac:dyDescent="0.25">
      <c r="A909" s="2"/>
      <c r="B909" s="2"/>
      <c r="C909" s="2"/>
      <c r="D909" s="157"/>
      <c r="E909" s="157"/>
      <c r="F909" s="153"/>
      <c r="G909" s="154"/>
      <c r="H909" s="154"/>
      <c r="I909" s="154"/>
    </row>
    <row r="910" spans="1:9" x14ac:dyDescent="0.25">
      <c r="A910" s="2"/>
      <c r="B910" s="2"/>
      <c r="C910" s="2"/>
      <c r="D910" s="157"/>
      <c r="E910" s="157"/>
      <c r="F910" s="153"/>
      <c r="G910" s="154"/>
      <c r="H910" s="154"/>
      <c r="I910" s="154"/>
    </row>
    <row r="911" spans="1:9" x14ac:dyDescent="0.25">
      <c r="A911" s="2"/>
      <c r="B911" s="2"/>
      <c r="C911" s="2"/>
      <c r="D911" s="157"/>
      <c r="E911" s="157"/>
      <c r="F911" s="153"/>
      <c r="G911" s="154"/>
      <c r="H911" s="154"/>
      <c r="I911" s="154"/>
    </row>
    <row r="912" spans="1:9" x14ac:dyDescent="0.25">
      <c r="A912" s="2"/>
      <c r="B912" s="2"/>
      <c r="C912" s="2"/>
      <c r="D912" s="157"/>
      <c r="E912" s="157"/>
      <c r="F912" s="153"/>
      <c r="G912" s="154"/>
      <c r="H912" s="154"/>
      <c r="I912" s="154"/>
    </row>
    <row r="913" spans="1:9" x14ac:dyDescent="0.25">
      <c r="A913" s="2"/>
      <c r="B913" s="2"/>
      <c r="C913" s="2"/>
      <c r="D913" s="157"/>
      <c r="E913" s="157"/>
      <c r="F913" s="153"/>
      <c r="G913" s="154"/>
      <c r="H913" s="154"/>
      <c r="I913" s="154"/>
    </row>
    <row r="914" spans="1:9" x14ac:dyDescent="0.25">
      <c r="A914" s="2"/>
      <c r="B914" s="2"/>
      <c r="C914" s="2"/>
      <c r="D914" s="157"/>
      <c r="E914" s="157"/>
      <c r="F914" s="153"/>
      <c r="G914" s="154"/>
      <c r="H914" s="154"/>
      <c r="I914" s="154"/>
    </row>
    <row r="915" spans="1:9" x14ac:dyDescent="0.25">
      <c r="A915" s="2"/>
      <c r="B915" s="2"/>
      <c r="C915" s="2"/>
      <c r="D915" s="157"/>
      <c r="E915" s="157"/>
      <c r="F915" s="153"/>
      <c r="G915" s="154"/>
      <c r="H915" s="154"/>
      <c r="I915" s="154"/>
    </row>
    <row r="916" spans="1:9" x14ac:dyDescent="0.25">
      <c r="A916" s="2"/>
      <c r="B916" s="2"/>
      <c r="C916" s="2"/>
      <c r="D916" s="157"/>
      <c r="E916" s="157"/>
      <c r="F916" s="153"/>
      <c r="G916" s="154"/>
      <c r="H916" s="154"/>
      <c r="I916" s="154"/>
    </row>
    <row r="917" spans="1:9" x14ac:dyDescent="0.25">
      <c r="A917" s="2"/>
      <c r="B917" s="2"/>
      <c r="C917" s="2"/>
      <c r="D917" s="157"/>
      <c r="E917" s="157"/>
      <c r="F917" s="153"/>
      <c r="G917" s="154"/>
      <c r="H917" s="154"/>
      <c r="I917" s="154"/>
    </row>
    <row r="918" spans="1:9" x14ac:dyDescent="0.25">
      <c r="A918" s="2"/>
      <c r="B918" s="2"/>
      <c r="C918" s="2"/>
      <c r="D918" s="157"/>
      <c r="E918" s="157"/>
      <c r="F918" s="153"/>
      <c r="G918" s="154"/>
      <c r="H918" s="154"/>
      <c r="I918" s="154"/>
    </row>
    <row r="919" spans="1:9" x14ac:dyDescent="0.25">
      <c r="A919" s="2"/>
      <c r="B919" s="2"/>
      <c r="C919" s="2"/>
      <c r="D919" s="157"/>
      <c r="E919" s="157"/>
      <c r="F919" s="153"/>
      <c r="G919" s="154"/>
      <c r="H919" s="154"/>
      <c r="I919" s="154"/>
    </row>
    <row r="920" spans="1:9" x14ac:dyDescent="0.25">
      <c r="A920" s="2"/>
      <c r="B920" s="2"/>
      <c r="C920" s="2"/>
      <c r="D920" s="157"/>
      <c r="E920" s="157"/>
      <c r="F920" s="153"/>
      <c r="G920" s="154"/>
      <c r="H920" s="154"/>
      <c r="I920" s="154"/>
    </row>
    <row r="921" spans="1:9" x14ac:dyDescent="0.25">
      <c r="A921" s="2"/>
      <c r="B921" s="2"/>
      <c r="C921" s="2"/>
      <c r="D921" s="157"/>
      <c r="E921" s="157"/>
      <c r="F921" s="153"/>
      <c r="G921" s="154"/>
      <c r="H921" s="154"/>
      <c r="I921" s="154"/>
    </row>
    <row r="922" spans="1:9" x14ac:dyDescent="0.25">
      <c r="A922" s="2"/>
      <c r="B922" s="2"/>
      <c r="C922" s="2"/>
      <c r="D922" s="157"/>
      <c r="E922" s="157"/>
      <c r="F922" s="153"/>
      <c r="G922" s="154"/>
      <c r="H922" s="154"/>
      <c r="I922" s="154"/>
    </row>
    <row r="923" spans="1:9" x14ac:dyDescent="0.25">
      <c r="A923" s="2"/>
      <c r="B923" s="2"/>
      <c r="C923" s="2"/>
      <c r="D923" s="157"/>
      <c r="E923" s="157"/>
      <c r="F923" s="153"/>
      <c r="G923" s="154"/>
      <c r="H923" s="154"/>
      <c r="I923" s="154"/>
    </row>
    <row r="924" spans="1:9" x14ac:dyDescent="0.25">
      <c r="A924" s="2"/>
      <c r="B924" s="2"/>
      <c r="C924" s="2"/>
      <c r="D924" s="157"/>
      <c r="E924" s="157"/>
      <c r="F924" s="153"/>
      <c r="G924" s="154"/>
      <c r="H924" s="154"/>
      <c r="I924" s="154"/>
    </row>
    <row r="925" spans="1:9" x14ac:dyDescent="0.25">
      <c r="A925" s="2"/>
      <c r="B925" s="2"/>
      <c r="C925" s="2"/>
      <c r="D925" s="157"/>
      <c r="E925" s="157"/>
      <c r="F925" s="153"/>
      <c r="G925" s="154"/>
      <c r="H925" s="154"/>
      <c r="I925" s="154"/>
    </row>
    <row r="926" spans="1:9" x14ac:dyDescent="0.25">
      <c r="A926" s="2"/>
      <c r="B926" s="2"/>
      <c r="C926" s="2"/>
      <c r="D926" s="157"/>
      <c r="E926" s="157"/>
      <c r="F926" s="153"/>
      <c r="G926" s="154"/>
      <c r="H926" s="154"/>
      <c r="I926" s="154"/>
    </row>
    <row r="927" spans="1:9" x14ac:dyDescent="0.25">
      <c r="A927" s="2"/>
      <c r="B927" s="2"/>
      <c r="C927" s="2"/>
      <c r="D927" s="157"/>
      <c r="E927" s="157"/>
      <c r="F927" s="153"/>
      <c r="G927" s="154"/>
      <c r="H927" s="154"/>
      <c r="I927" s="154"/>
    </row>
    <row r="928" spans="1:9" x14ac:dyDescent="0.25">
      <c r="A928" s="2"/>
      <c r="B928" s="2"/>
      <c r="C928" s="2"/>
      <c r="D928" s="157"/>
      <c r="E928" s="157"/>
      <c r="F928" s="153"/>
      <c r="G928" s="154"/>
      <c r="H928" s="154"/>
      <c r="I928" s="154"/>
    </row>
    <row r="929" spans="1:9" x14ac:dyDescent="0.25">
      <c r="A929" s="2"/>
      <c r="B929" s="2"/>
      <c r="C929" s="2"/>
      <c r="D929" s="157"/>
      <c r="E929" s="157"/>
      <c r="F929" s="153"/>
      <c r="G929" s="154"/>
      <c r="H929" s="154"/>
      <c r="I929" s="154"/>
    </row>
    <row r="930" spans="1:9" x14ac:dyDescent="0.25">
      <c r="A930" s="2"/>
      <c r="B930" s="2"/>
      <c r="C930" s="2"/>
      <c r="D930" s="157"/>
      <c r="E930" s="157"/>
      <c r="F930" s="153"/>
      <c r="G930" s="154"/>
      <c r="H930" s="154"/>
      <c r="I930" s="154"/>
    </row>
    <row r="931" spans="1:9" x14ac:dyDescent="0.25">
      <c r="A931" s="2"/>
      <c r="B931" s="2"/>
      <c r="C931" s="2"/>
      <c r="D931" s="157"/>
      <c r="E931" s="157"/>
      <c r="F931" s="153"/>
      <c r="G931" s="154"/>
      <c r="H931" s="154"/>
      <c r="I931" s="154"/>
    </row>
    <row r="932" spans="1:9" x14ac:dyDescent="0.25">
      <c r="A932" s="2"/>
      <c r="B932" s="2"/>
      <c r="C932" s="2"/>
      <c r="D932" s="157"/>
      <c r="E932" s="157"/>
      <c r="F932" s="153"/>
      <c r="G932" s="154"/>
      <c r="H932" s="154"/>
      <c r="I932" s="154"/>
    </row>
    <row r="933" spans="1:9" x14ac:dyDescent="0.25">
      <c r="A933" s="2"/>
      <c r="B933" s="2"/>
      <c r="C933" s="2"/>
      <c r="D933" s="157"/>
      <c r="E933" s="157"/>
      <c r="F933" s="153"/>
      <c r="G933" s="154"/>
      <c r="H933" s="154"/>
      <c r="I933" s="154"/>
    </row>
    <row r="934" spans="1:9" x14ac:dyDescent="0.25">
      <c r="A934" s="2"/>
      <c r="B934" s="2"/>
      <c r="C934" s="2"/>
      <c r="D934" s="157"/>
      <c r="E934" s="157"/>
      <c r="F934" s="153"/>
      <c r="G934" s="154"/>
      <c r="H934" s="154"/>
      <c r="I934" s="154"/>
    </row>
    <row r="935" spans="1:9" x14ac:dyDescent="0.25">
      <c r="A935" s="2"/>
      <c r="B935" s="2"/>
      <c r="C935" s="2"/>
      <c r="D935" s="157"/>
      <c r="E935" s="157"/>
      <c r="F935" s="153"/>
      <c r="G935" s="154"/>
      <c r="H935" s="154"/>
      <c r="I935" s="154"/>
    </row>
    <row r="936" spans="1:9" x14ac:dyDescent="0.25">
      <c r="A936" s="2"/>
      <c r="B936" s="2"/>
      <c r="C936" s="2"/>
      <c r="D936" s="157"/>
      <c r="E936" s="157"/>
      <c r="F936" s="153"/>
      <c r="G936" s="154"/>
      <c r="H936" s="154"/>
      <c r="I936" s="154"/>
    </row>
    <row r="937" spans="1:9" x14ac:dyDescent="0.25">
      <c r="A937" s="2"/>
      <c r="B937" s="2"/>
      <c r="C937" s="2"/>
      <c r="D937" s="157"/>
      <c r="E937" s="157"/>
      <c r="F937" s="153"/>
      <c r="G937" s="154"/>
      <c r="H937" s="154"/>
      <c r="I937" s="154"/>
    </row>
    <row r="938" spans="1:9" x14ac:dyDescent="0.25">
      <c r="A938" s="2"/>
      <c r="B938" s="2"/>
      <c r="C938" s="2"/>
      <c r="D938" s="157"/>
      <c r="E938" s="157"/>
      <c r="F938" s="153"/>
      <c r="G938" s="154"/>
      <c r="H938" s="154"/>
      <c r="I938" s="154"/>
    </row>
    <row r="939" spans="1:9" x14ac:dyDescent="0.25">
      <c r="A939" s="2"/>
      <c r="B939" s="2"/>
      <c r="C939" s="2"/>
      <c r="D939" s="157"/>
      <c r="E939" s="157"/>
      <c r="F939" s="153"/>
      <c r="G939" s="154"/>
      <c r="H939" s="154"/>
      <c r="I939" s="154"/>
    </row>
    <row r="940" spans="1:9" x14ac:dyDescent="0.25">
      <c r="A940" s="2"/>
      <c r="B940" s="2"/>
      <c r="C940" s="2"/>
      <c r="D940" s="157"/>
      <c r="E940" s="157"/>
      <c r="F940" s="153"/>
      <c r="G940" s="154"/>
      <c r="H940" s="154"/>
      <c r="I940" s="154"/>
    </row>
    <row r="941" spans="1:9" x14ac:dyDescent="0.25">
      <c r="A941" s="2"/>
      <c r="B941" s="2"/>
      <c r="C941" s="2"/>
      <c r="D941" s="157"/>
      <c r="E941" s="157"/>
      <c r="F941" s="153"/>
      <c r="G941" s="154"/>
      <c r="H941" s="154"/>
      <c r="I941" s="154"/>
    </row>
    <row r="942" spans="1:9" x14ac:dyDescent="0.25">
      <c r="A942" s="2"/>
      <c r="B942" s="2"/>
      <c r="C942" s="2"/>
      <c r="D942" s="157"/>
      <c r="E942" s="157"/>
      <c r="F942" s="153"/>
      <c r="G942" s="154"/>
      <c r="H942" s="154"/>
      <c r="I942" s="154"/>
    </row>
    <row r="943" spans="1:9" x14ac:dyDescent="0.25">
      <c r="A943" s="2"/>
      <c r="B943" s="2"/>
      <c r="C943" s="2"/>
      <c r="D943" s="157"/>
      <c r="E943" s="157"/>
      <c r="F943" s="153"/>
      <c r="G943" s="154"/>
      <c r="H943" s="154"/>
      <c r="I943" s="154"/>
    </row>
    <row r="944" spans="1:9" x14ac:dyDescent="0.25">
      <c r="A944" s="2"/>
      <c r="B944" s="2"/>
      <c r="C944" s="2"/>
      <c r="D944" s="157"/>
      <c r="E944" s="157"/>
      <c r="F944" s="153"/>
      <c r="G944" s="154"/>
      <c r="H944" s="154"/>
      <c r="I944" s="154"/>
    </row>
    <row r="945" spans="1:9" x14ac:dyDescent="0.25">
      <c r="A945" s="2"/>
      <c r="B945" s="2"/>
      <c r="C945" s="2"/>
      <c r="D945" s="157"/>
      <c r="E945" s="157"/>
      <c r="F945" s="153"/>
      <c r="G945" s="154"/>
      <c r="H945" s="154"/>
      <c r="I945" s="154"/>
    </row>
    <row r="946" spans="1:9" x14ac:dyDescent="0.25">
      <c r="A946" s="2"/>
      <c r="B946" s="2"/>
      <c r="C946" s="2"/>
      <c r="D946" s="157"/>
      <c r="E946" s="157"/>
      <c r="F946" s="153"/>
      <c r="G946" s="154"/>
      <c r="H946" s="154"/>
      <c r="I946" s="154"/>
    </row>
    <row r="947" spans="1:9" x14ac:dyDescent="0.25">
      <c r="A947" s="2"/>
      <c r="B947" s="2"/>
      <c r="C947" s="2"/>
      <c r="D947" s="157"/>
      <c r="E947" s="157"/>
      <c r="F947" s="153"/>
      <c r="G947" s="154"/>
      <c r="H947" s="154"/>
      <c r="I947" s="154"/>
    </row>
    <row r="948" spans="1:9" x14ac:dyDescent="0.25">
      <c r="A948" s="2"/>
      <c r="B948" s="2"/>
      <c r="C948" s="2"/>
      <c r="D948" s="157"/>
      <c r="E948" s="157"/>
      <c r="F948" s="153"/>
      <c r="G948" s="154"/>
      <c r="H948" s="154"/>
      <c r="I948" s="154"/>
    </row>
    <row r="949" spans="1:9" x14ac:dyDescent="0.25">
      <c r="A949" s="2"/>
      <c r="B949" s="2"/>
      <c r="C949" s="2"/>
      <c r="D949" s="157"/>
      <c r="E949" s="157"/>
      <c r="F949" s="153"/>
      <c r="G949" s="154"/>
      <c r="H949" s="154"/>
      <c r="I949" s="154"/>
    </row>
    <row r="950" spans="1:9" x14ac:dyDescent="0.25">
      <c r="A950" s="2"/>
      <c r="B950" s="2"/>
      <c r="C950" s="2"/>
      <c r="D950" s="157"/>
      <c r="E950" s="157"/>
      <c r="F950" s="153"/>
      <c r="G950" s="154"/>
      <c r="H950" s="154"/>
      <c r="I950" s="154"/>
    </row>
    <row r="951" spans="1:9" x14ac:dyDescent="0.25">
      <c r="A951" s="2"/>
      <c r="B951" s="2"/>
      <c r="C951" s="2"/>
      <c r="D951" s="157"/>
      <c r="E951" s="157"/>
      <c r="F951" s="153"/>
      <c r="G951" s="154"/>
      <c r="H951" s="154"/>
      <c r="I951" s="154"/>
    </row>
    <row r="952" spans="1:9" x14ac:dyDescent="0.25">
      <c r="A952" s="2"/>
      <c r="B952" s="2"/>
      <c r="C952" s="2"/>
      <c r="D952" s="157"/>
      <c r="E952" s="157"/>
      <c r="F952" s="153"/>
      <c r="G952" s="154"/>
      <c r="H952" s="154"/>
      <c r="I952" s="154"/>
    </row>
    <row r="953" spans="1:9" x14ac:dyDescent="0.25">
      <c r="A953" s="2"/>
      <c r="B953" s="2"/>
      <c r="C953" s="2"/>
      <c r="D953" s="157"/>
      <c r="E953" s="157"/>
      <c r="F953" s="153"/>
      <c r="G953" s="154"/>
      <c r="H953" s="154"/>
      <c r="I953" s="154"/>
    </row>
    <row r="954" spans="1:9" x14ac:dyDescent="0.25">
      <c r="A954" s="2"/>
      <c r="B954" s="2"/>
      <c r="C954" s="2"/>
      <c r="D954" s="157"/>
      <c r="E954" s="157"/>
      <c r="F954" s="153"/>
      <c r="G954" s="154"/>
      <c r="H954" s="154"/>
      <c r="I954" s="154"/>
    </row>
    <row r="955" spans="1:9" x14ac:dyDescent="0.25">
      <c r="A955" s="2"/>
      <c r="B955" s="2"/>
      <c r="C955" s="2"/>
      <c r="D955" s="157"/>
      <c r="E955" s="157"/>
      <c r="F955" s="153"/>
      <c r="G955" s="154"/>
      <c r="H955" s="154"/>
      <c r="I955" s="154"/>
    </row>
    <row r="956" spans="1:9" x14ac:dyDescent="0.25">
      <c r="A956" s="2"/>
      <c r="B956" s="2"/>
      <c r="C956" s="2"/>
      <c r="D956" s="157"/>
      <c r="E956" s="157"/>
      <c r="F956" s="153"/>
      <c r="G956" s="154"/>
      <c r="H956" s="154"/>
      <c r="I956" s="154"/>
    </row>
    <row r="957" spans="1:9" x14ac:dyDescent="0.25">
      <c r="A957" s="2"/>
      <c r="B957" s="2"/>
      <c r="C957" s="2"/>
      <c r="D957" s="157"/>
      <c r="E957" s="157"/>
      <c r="F957" s="153"/>
      <c r="G957" s="154"/>
      <c r="H957" s="154"/>
      <c r="I957" s="154"/>
    </row>
    <row r="958" spans="1:9" x14ac:dyDescent="0.25">
      <c r="A958" s="2"/>
      <c r="B958" s="2"/>
      <c r="C958" s="2"/>
      <c r="D958" s="157"/>
      <c r="E958" s="157"/>
      <c r="F958" s="153"/>
      <c r="G958" s="154"/>
      <c r="H958" s="154"/>
      <c r="I958" s="154"/>
    </row>
    <row r="959" spans="1:9" x14ac:dyDescent="0.25">
      <c r="A959" s="2"/>
      <c r="B959" s="2"/>
      <c r="C959" s="2"/>
      <c r="D959" s="157"/>
      <c r="E959" s="157"/>
      <c r="F959" s="153"/>
      <c r="G959" s="154"/>
      <c r="H959" s="154"/>
      <c r="I959" s="154"/>
    </row>
    <row r="960" spans="1:9" x14ac:dyDescent="0.25">
      <c r="A960" s="2"/>
      <c r="B960" s="2"/>
      <c r="C960" s="2"/>
      <c r="D960" s="157"/>
      <c r="E960" s="157"/>
      <c r="F960" s="153"/>
      <c r="G960" s="154"/>
      <c r="H960" s="154"/>
      <c r="I960" s="154"/>
    </row>
    <row r="961" spans="1:9" x14ac:dyDescent="0.25">
      <c r="A961" s="2"/>
      <c r="B961" s="2"/>
      <c r="C961" s="2"/>
      <c r="D961" s="157"/>
      <c r="E961" s="157"/>
      <c r="F961" s="153"/>
      <c r="G961" s="154"/>
      <c r="H961" s="154"/>
      <c r="I961" s="154"/>
    </row>
    <row r="962" spans="1:9" x14ac:dyDescent="0.25">
      <c r="A962" s="2"/>
      <c r="B962" s="2"/>
      <c r="C962" s="2"/>
      <c r="D962" s="157"/>
      <c r="E962" s="157"/>
      <c r="F962" s="153"/>
      <c r="G962" s="154"/>
      <c r="H962" s="154"/>
      <c r="I962" s="154"/>
    </row>
    <row r="963" spans="1:9" x14ac:dyDescent="0.25">
      <c r="A963" s="2"/>
      <c r="B963" s="2"/>
      <c r="C963" s="2"/>
      <c r="D963" s="157"/>
      <c r="E963" s="157"/>
      <c r="F963" s="153"/>
      <c r="G963" s="154"/>
      <c r="H963" s="154"/>
      <c r="I963" s="154"/>
    </row>
    <row r="964" spans="1:9" x14ac:dyDescent="0.25">
      <c r="A964" s="2"/>
      <c r="B964" s="2"/>
      <c r="C964" s="2"/>
      <c r="D964" s="157"/>
      <c r="E964" s="157"/>
      <c r="F964" s="153"/>
      <c r="G964" s="154"/>
      <c r="H964" s="154"/>
      <c r="I964" s="154"/>
    </row>
    <row r="965" spans="1:9" x14ac:dyDescent="0.25">
      <c r="A965" s="2"/>
      <c r="B965" s="2"/>
      <c r="C965" s="2"/>
      <c r="D965" s="157"/>
      <c r="E965" s="157"/>
      <c r="F965" s="153"/>
      <c r="G965" s="154"/>
      <c r="H965" s="154"/>
      <c r="I965" s="154"/>
    </row>
    <row r="966" spans="1:9" x14ac:dyDescent="0.25">
      <c r="A966" s="2"/>
      <c r="B966" s="2"/>
      <c r="C966" s="2"/>
      <c r="D966" s="157"/>
      <c r="E966" s="157"/>
      <c r="F966" s="153"/>
      <c r="G966" s="154"/>
      <c r="H966" s="154"/>
      <c r="I966" s="154"/>
    </row>
    <row r="967" spans="1:9" x14ac:dyDescent="0.25">
      <c r="A967" s="2"/>
      <c r="B967" s="2"/>
      <c r="C967" s="2"/>
      <c r="D967" s="157"/>
      <c r="E967" s="157"/>
      <c r="F967" s="153"/>
      <c r="G967" s="154"/>
      <c r="H967" s="154"/>
      <c r="I967" s="154"/>
    </row>
    <row r="968" spans="1:9" x14ac:dyDescent="0.25">
      <c r="A968" s="2"/>
      <c r="B968" s="2"/>
      <c r="C968" s="2"/>
      <c r="D968" s="157"/>
      <c r="E968" s="157"/>
      <c r="F968" s="153"/>
      <c r="G968" s="154"/>
      <c r="H968" s="154"/>
      <c r="I968" s="154"/>
    </row>
    <row r="969" spans="1:9" x14ac:dyDescent="0.25">
      <c r="A969" s="2"/>
      <c r="B969" s="2"/>
      <c r="C969" s="2"/>
      <c r="D969" s="157"/>
      <c r="E969" s="157"/>
      <c r="F969" s="153"/>
      <c r="G969" s="154"/>
      <c r="H969" s="154"/>
      <c r="I969" s="154"/>
    </row>
    <row r="970" spans="1:9" x14ac:dyDescent="0.25">
      <c r="A970" s="2"/>
      <c r="B970" s="2"/>
      <c r="C970" s="2"/>
      <c r="D970" s="157"/>
      <c r="E970" s="157"/>
      <c r="F970" s="153"/>
      <c r="G970" s="154"/>
      <c r="H970" s="154"/>
      <c r="I970" s="154"/>
    </row>
    <row r="971" spans="1:9" x14ac:dyDescent="0.25">
      <c r="A971" s="2"/>
      <c r="B971" s="2"/>
      <c r="C971" s="2"/>
      <c r="D971" s="157"/>
      <c r="E971" s="157"/>
      <c r="F971" s="153"/>
      <c r="G971" s="154"/>
      <c r="H971" s="154"/>
      <c r="I971" s="154"/>
    </row>
    <row r="972" spans="1:9" x14ac:dyDescent="0.25">
      <c r="A972" s="2"/>
      <c r="B972" s="2"/>
      <c r="C972" s="2"/>
      <c r="D972" s="157"/>
      <c r="E972" s="157"/>
      <c r="F972" s="153"/>
      <c r="G972" s="154"/>
      <c r="H972" s="154"/>
      <c r="I972" s="154"/>
    </row>
    <row r="973" spans="1:9" x14ac:dyDescent="0.25">
      <c r="A973" s="2"/>
      <c r="B973" s="2"/>
      <c r="C973" s="2"/>
      <c r="D973" s="157"/>
      <c r="E973" s="157"/>
      <c r="F973" s="153"/>
      <c r="G973" s="154"/>
      <c r="H973" s="154"/>
      <c r="I973" s="154"/>
    </row>
    <row r="974" spans="1:9" x14ac:dyDescent="0.25">
      <c r="A974" s="2"/>
      <c r="B974" s="2"/>
      <c r="C974" s="2"/>
      <c r="D974" s="157"/>
      <c r="E974" s="157"/>
      <c r="F974" s="153"/>
      <c r="G974" s="154"/>
      <c r="H974" s="154"/>
      <c r="I974" s="154"/>
    </row>
    <row r="975" spans="1:9" x14ac:dyDescent="0.25">
      <c r="A975" s="2"/>
      <c r="B975" s="2"/>
      <c r="C975" s="2"/>
      <c r="D975" s="157"/>
      <c r="E975" s="157"/>
      <c r="F975" s="153"/>
      <c r="G975" s="154"/>
      <c r="H975" s="154"/>
      <c r="I975" s="154"/>
    </row>
    <row r="976" spans="1:9" x14ac:dyDescent="0.25">
      <c r="A976" s="2"/>
      <c r="B976" s="2"/>
      <c r="C976" s="2"/>
      <c r="D976" s="157"/>
      <c r="E976" s="157"/>
      <c r="F976" s="153"/>
      <c r="G976" s="154"/>
      <c r="H976" s="154"/>
      <c r="I976" s="154"/>
    </row>
    <row r="977" spans="1:9" x14ac:dyDescent="0.25">
      <c r="A977" s="2"/>
      <c r="B977" s="2"/>
      <c r="C977" s="2"/>
      <c r="D977" s="157"/>
      <c r="E977" s="157"/>
      <c r="F977" s="153"/>
      <c r="G977" s="154"/>
      <c r="H977" s="154"/>
      <c r="I977" s="154"/>
    </row>
    <row r="978" spans="1:9" x14ac:dyDescent="0.25">
      <c r="A978" s="2"/>
      <c r="B978" s="2"/>
      <c r="C978" s="2"/>
      <c r="D978" s="157"/>
      <c r="E978" s="157"/>
      <c r="F978" s="153"/>
      <c r="G978" s="154"/>
      <c r="H978" s="154"/>
      <c r="I978" s="154"/>
    </row>
    <row r="979" spans="1:9" x14ac:dyDescent="0.25">
      <c r="A979" s="2"/>
      <c r="B979" s="2"/>
      <c r="C979" s="2"/>
      <c r="D979" s="157"/>
      <c r="E979" s="157"/>
      <c r="F979" s="153"/>
      <c r="G979" s="154"/>
      <c r="H979" s="154"/>
      <c r="I979" s="154"/>
    </row>
    <row r="980" spans="1:9" x14ac:dyDescent="0.25">
      <c r="A980" s="2"/>
      <c r="B980" s="2"/>
      <c r="C980" s="2"/>
      <c r="D980" s="157"/>
      <c r="E980" s="157"/>
      <c r="F980" s="153"/>
      <c r="G980" s="154"/>
      <c r="H980" s="154"/>
      <c r="I980" s="154"/>
    </row>
    <row r="981" spans="1:9" x14ac:dyDescent="0.25">
      <c r="A981" s="2"/>
      <c r="B981" s="2"/>
      <c r="C981" s="2"/>
      <c r="D981" s="157"/>
      <c r="E981" s="157"/>
      <c r="F981" s="153"/>
      <c r="G981" s="154"/>
      <c r="H981" s="154"/>
      <c r="I981" s="154"/>
    </row>
    <row r="982" spans="1:9" x14ac:dyDescent="0.25">
      <c r="A982" s="2"/>
      <c r="B982" s="2"/>
      <c r="C982" s="2"/>
      <c r="D982" s="157"/>
      <c r="E982" s="157"/>
      <c r="F982" s="153"/>
      <c r="G982" s="154"/>
      <c r="H982" s="154"/>
      <c r="I982" s="154"/>
    </row>
    <row r="983" spans="1:9" x14ac:dyDescent="0.25">
      <c r="A983" s="2"/>
      <c r="B983" s="2"/>
      <c r="C983" s="2"/>
      <c r="D983" s="157"/>
      <c r="E983" s="157"/>
      <c r="F983" s="153"/>
      <c r="G983" s="154"/>
      <c r="H983" s="154"/>
      <c r="I983" s="154"/>
    </row>
    <row r="984" spans="1:9" x14ac:dyDescent="0.25">
      <c r="A984" s="2"/>
      <c r="B984" s="2"/>
      <c r="C984" s="2"/>
      <c r="D984" s="157"/>
      <c r="E984" s="157"/>
      <c r="F984" s="153"/>
      <c r="G984" s="154"/>
      <c r="H984" s="154"/>
      <c r="I984" s="154"/>
    </row>
    <row r="985" spans="1:9" x14ac:dyDescent="0.25">
      <c r="A985" s="2"/>
      <c r="B985" s="2"/>
      <c r="C985" s="2"/>
      <c r="D985" s="157"/>
      <c r="E985" s="157"/>
      <c r="F985" s="153"/>
      <c r="G985" s="154"/>
      <c r="H985" s="154"/>
      <c r="I985" s="154"/>
    </row>
    <row r="986" spans="1:9" x14ac:dyDescent="0.25">
      <c r="A986" s="2"/>
      <c r="B986" s="2"/>
      <c r="C986" s="2"/>
      <c r="D986" s="157"/>
      <c r="E986" s="157"/>
      <c r="F986" s="153"/>
      <c r="G986" s="154"/>
      <c r="H986" s="154"/>
      <c r="I986" s="154"/>
    </row>
    <row r="987" spans="1:9" x14ac:dyDescent="0.25">
      <c r="A987" s="2"/>
      <c r="B987" s="2"/>
      <c r="C987" s="2"/>
      <c r="D987" s="157"/>
      <c r="E987" s="157"/>
      <c r="F987" s="153"/>
      <c r="G987" s="154"/>
      <c r="H987" s="154"/>
      <c r="I987" s="154"/>
    </row>
    <row r="988" spans="1:9" x14ac:dyDescent="0.25">
      <c r="A988" s="2"/>
      <c r="B988" s="2"/>
      <c r="C988" s="2"/>
      <c r="D988" s="157"/>
      <c r="E988" s="157"/>
      <c r="F988" s="153"/>
      <c r="G988" s="154"/>
      <c r="H988" s="154"/>
      <c r="I988" s="154"/>
    </row>
    <row r="989" spans="1:9" x14ac:dyDescent="0.25">
      <c r="A989" s="2"/>
      <c r="B989" s="2"/>
      <c r="C989" s="2"/>
      <c r="D989" s="157"/>
      <c r="E989" s="157"/>
      <c r="F989" s="153"/>
      <c r="G989" s="154"/>
      <c r="H989" s="154"/>
      <c r="I989" s="154"/>
    </row>
    <row r="990" spans="1:9" x14ac:dyDescent="0.25">
      <c r="A990" s="2"/>
      <c r="B990" s="2"/>
      <c r="C990" s="2"/>
      <c r="D990" s="157"/>
      <c r="E990" s="157"/>
      <c r="F990" s="153"/>
      <c r="G990" s="154"/>
      <c r="H990" s="154"/>
      <c r="I990" s="154"/>
    </row>
    <row r="991" spans="1:9" x14ac:dyDescent="0.25">
      <c r="A991" s="2"/>
      <c r="B991" s="2"/>
      <c r="C991" s="2"/>
      <c r="D991" s="157"/>
      <c r="E991" s="157"/>
      <c r="F991" s="153"/>
      <c r="G991" s="154"/>
      <c r="H991" s="154"/>
      <c r="I991" s="154"/>
    </row>
    <row r="992" spans="1:9" x14ac:dyDescent="0.25">
      <c r="A992" s="2"/>
      <c r="B992" s="2"/>
      <c r="C992" s="2"/>
      <c r="D992" s="157"/>
      <c r="E992" s="157"/>
      <c r="F992" s="153"/>
      <c r="G992" s="154"/>
      <c r="H992" s="154"/>
      <c r="I992" s="154"/>
    </row>
    <row r="993" spans="1:9" x14ac:dyDescent="0.25">
      <c r="A993" s="2"/>
      <c r="B993" s="2"/>
      <c r="C993" s="2"/>
      <c r="D993" s="157"/>
      <c r="E993" s="157"/>
      <c r="F993" s="153"/>
      <c r="G993" s="154"/>
      <c r="H993" s="154"/>
      <c r="I993" s="154"/>
    </row>
    <row r="994" spans="1:9" x14ac:dyDescent="0.25">
      <c r="A994" s="2"/>
      <c r="B994" s="2"/>
      <c r="C994" s="2"/>
      <c r="D994" s="157"/>
      <c r="E994" s="157"/>
      <c r="F994" s="153"/>
      <c r="G994" s="154"/>
      <c r="H994" s="154"/>
      <c r="I994" s="154"/>
    </row>
    <row r="995" spans="1:9" x14ac:dyDescent="0.25">
      <c r="A995" s="2"/>
      <c r="B995" s="2"/>
      <c r="C995" s="2"/>
      <c r="D995" s="157"/>
      <c r="E995" s="157"/>
      <c r="F995" s="153"/>
      <c r="G995" s="154"/>
      <c r="H995" s="154"/>
      <c r="I995" s="154"/>
    </row>
    <row r="996" spans="1:9" x14ac:dyDescent="0.25">
      <c r="A996" s="2"/>
      <c r="B996" s="2"/>
      <c r="C996" s="2"/>
      <c r="D996" s="157"/>
      <c r="E996" s="157"/>
      <c r="F996" s="153"/>
      <c r="G996" s="154"/>
      <c r="H996" s="154"/>
      <c r="I996" s="154"/>
    </row>
    <row r="997" spans="1:9" x14ac:dyDescent="0.25">
      <c r="A997" s="2"/>
      <c r="B997" s="2"/>
      <c r="C997" s="2"/>
      <c r="D997" s="157"/>
      <c r="E997" s="157"/>
      <c r="F997" s="153"/>
      <c r="G997" s="154"/>
      <c r="H997" s="154"/>
      <c r="I997" s="154"/>
    </row>
    <row r="998" spans="1:9" x14ac:dyDescent="0.25">
      <c r="A998" s="2"/>
      <c r="B998" s="2"/>
      <c r="C998" s="2"/>
      <c r="D998" s="157"/>
      <c r="E998" s="157"/>
      <c r="F998" s="153"/>
      <c r="G998" s="154"/>
      <c r="H998" s="154"/>
      <c r="I998" s="154"/>
    </row>
    <row r="999" spans="1:9" x14ac:dyDescent="0.25">
      <c r="A999" s="2"/>
      <c r="B999" s="2"/>
      <c r="C999" s="2"/>
      <c r="D999" s="157"/>
      <c r="E999" s="157"/>
      <c r="F999" s="153"/>
      <c r="G999" s="154"/>
      <c r="H999" s="154"/>
      <c r="I999" s="154"/>
    </row>
    <row r="1000" spans="1:9" x14ac:dyDescent="0.25">
      <c r="A1000" s="2"/>
      <c r="B1000" s="2"/>
      <c r="C1000" s="2"/>
      <c r="D1000" s="157"/>
      <c r="E1000" s="157"/>
      <c r="F1000" s="153"/>
      <c r="G1000" s="154"/>
      <c r="H1000" s="154"/>
      <c r="I1000" s="154"/>
    </row>
    <row r="1001" spans="1:9" x14ac:dyDescent="0.25">
      <c r="A1001" s="2"/>
      <c r="B1001" s="2"/>
      <c r="C1001" s="2"/>
      <c r="D1001" s="157"/>
      <c r="E1001" s="157"/>
      <c r="F1001" s="153"/>
      <c r="G1001" s="154"/>
      <c r="H1001" s="154"/>
      <c r="I1001" s="154"/>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J154"/>
  <sheetViews>
    <sheetView showGridLines="0" workbookViewId="0">
      <selection activeCell="A5" sqref="A5"/>
    </sheetView>
  </sheetViews>
  <sheetFormatPr defaultRowHeight="15" x14ac:dyDescent="0.25"/>
  <cols>
    <col min="1" max="1" width="61.85546875" customWidth="1"/>
    <col min="2" max="2" width="23.85546875" customWidth="1"/>
    <col min="3" max="3" width="24" customWidth="1"/>
    <col min="4" max="4" width="71.28515625" customWidth="1"/>
    <col min="7" max="7" width="18" customWidth="1"/>
    <col min="8" max="8" width="4" customWidth="1"/>
  </cols>
  <sheetData>
    <row r="2" spans="1:9" x14ac:dyDescent="0.25">
      <c r="B2" s="1" t="s">
        <v>258</v>
      </c>
      <c r="F2" s="1" t="s">
        <v>42</v>
      </c>
    </row>
    <row r="3" spans="1:9" x14ac:dyDescent="0.25">
      <c r="F3" t="s">
        <v>259</v>
      </c>
    </row>
    <row r="4" spans="1:9" ht="23.25" customHeight="1" x14ac:dyDescent="0.25">
      <c r="B4" t="s">
        <v>257</v>
      </c>
      <c r="C4" s="2" t="s">
        <v>263</v>
      </c>
      <c r="D4" s="160" t="s">
        <v>262</v>
      </c>
    </row>
    <row r="5" spans="1:9" x14ac:dyDescent="0.25">
      <c r="F5" t="s">
        <v>44</v>
      </c>
    </row>
    <row r="6" spans="1:9" ht="23.25" x14ac:dyDescent="0.25">
      <c r="B6" t="s">
        <v>246</v>
      </c>
      <c r="C6" s="152">
        <v>0.75</v>
      </c>
      <c r="D6" s="160" t="s">
        <v>261</v>
      </c>
      <c r="F6" t="s">
        <v>47</v>
      </c>
    </row>
    <row r="8" spans="1:9" x14ac:dyDescent="0.25">
      <c r="A8" s="1" t="s">
        <v>43</v>
      </c>
    </row>
    <row r="9" spans="1:9" x14ac:dyDescent="0.25">
      <c r="A9" s="144" t="s">
        <v>55</v>
      </c>
      <c r="G9" s="2" t="s">
        <v>45</v>
      </c>
      <c r="I9" t="s">
        <v>46</v>
      </c>
    </row>
    <row r="10" spans="1:9" x14ac:dyDescent="0.25">
      <c r="A10" t="s">
        <v>260</v>
      </c>
    </row>
    <row r="12" spans="1:9" x14ac:dyDescent="0.25">
      <c r="A12" s="1" t="s">
        <v>48</v>
      </c>
    </row>
    <row r="13" spans="1:9" ht="14.25" customHeight="1" x14ac:dyDescent="0.25"/>
    <row r="17" spans="1:10" x14ac:dyDescent="0.25">
      <c r="A17" s="1" t="s">
        <v>237</v>
      </c>
    </row>
    <row r="18" spans="1:10" x14ac:dyDescent="0.25">
      <c r="J18" s="145"/>
    </row>
    <row r="19" spans="1:10" x14ac:dyDescent="0.25">
      <c r="J19" s="145"/>
    </row>
    <row r="20" spans="1:10" x14ac:dyDescent="0.25">
      <c r="J20" s="145"/>
    </row>
    <row r="21" spans="1:10" x14ac:dyDescent="0.25">
      <c r="J21" s="145"/>
    </row>
    <row r="22" spans="1:10" x14ac:dyDescent="0.25">
      <c r="J22" s="145"/>
    </row>
    <row r="23" spans="1:10" x14ac:dyDescent="0.25">
      <c r="J23" s="145"/>
    </row>
    <row r="24" spans="1:10" x14ac:dyDescent="0.25">
      <c r="J24" s="145"/>
    </row>
    <row r="25" spans="1:10" x14ac:dyDescent="0.25">
      <c r="J25" s="145"/>
    </row>
    <row r="26" spans="1:10" x14ac:dyDescent="0.25">
      <c r="J26" s="145"/>
    </row>
    <row r="27" spans="1:10" x14ac:dyDescent="0.25">
      <c r="J27" s="145"/>
    </row>
    <row r="28" spans="1:10" x14ac:dyDescent="0.25">
      <c r="J28" s="145"/>
    </row>
    <row r="29" spans="1:10" x14ac:dyDescent="0.25">
      <c r="J29" s="145"/>
    </row>
    <row r="30" spans="1:10" x14ac:dyDescent="0.25">
      <c r="J30" s="145"/>
    </row>
    <row r="153" spans="1:1" x14ac:dyDescent="0.25">
      <c r="A153" t="s">
        <v>49</v>
      </c>
    </row>
    <row r="154" spans="1:1" x14ac:dyDescent="0.25">
      <c r="A154" t="s">
        <v>50</v>
      </c>
    </row>
  </sheetData>
  <dataValidations count="2">
    <dataValidation type="list" showInputMessage="1" showErrorMessage="1" promptTitle="d3 Reference" prompt="How should teh d3 library be referenced?" sqref="G9" xr:uid="{645093DB-908B-4855-A5B1-F7FAEA0D3F07}">
      <formula1>"Use Web Reference (suggested),Use local"</formula1>
    </dataValidation>
    <dataValidation type="list" showInputMessage="1" showErrorMessage="1" sqref="C4" xr:uid="{0076B6A4-D421-4089-98E6-73A0975B8C66}">
      <formula1>"Stories,Points,Days,Weeks,Months,Sprints,Iterations"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N152"/>
  <sheetViews>
    <sheetView workbookViewId="0">
      <selection activeCell="P14" sqref="P14"/>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 min="13" max="13" width="12.5703125" customWidth="1"/>
    <col min="14" max="14" width="15.42578125" customWidth="1"/>
  </cols>
  <sheetData>
    <row r="2" spans="1:14" ht="15.75" thickBot="1" x14ac:dyDescent="0.3">
      <c r="A2" s="1" t="s">
        <v>4</v>
      </c>
      <c r="B2" s="1" t="s">
        <v>3</v>
      </c>
      <c r="D2" s="1" t="s">
        <v>5</v>
      </c>
      <c r="E2" s="1" t="s">
        <v>37</v>
      </c>
      <c r="G2" t="s">
        <v>223</v>
      </c>
      <c r="H2" t="s">
        <v>3</v>
      </c>
      <c r="J2" t="s">
        <v>229</v>
      </c>
      <c r="K2" t="s">
        <v>3</v>
      </c>
      <c r="M2" s="1" t="s">
        <v>278</v>
      </c>
      <c r="N2" s="2">
        <v>800</v>
      </c>
    </row>
    <row r="3" spans="1:14" ht="15.75" thickBot="1" x14ac:dyDescent="0.3">
      <c r="A3" t="s">
        <v>6</v>
      </c>
      <c r="B3" t="s">
        <v>12</v>
      </c>
      <c r="D3" t="s">
        <v>57</v>
      </c>
      <c r="E3" s="142"/>
      <c r="G3" t="s">
        <v>224</v>
      </c>
      <c r="H3" t="s">
        <v>126</v>
      </c>
      <c r="J3" s="148">
        <v>0</v>
      </c>
      <c r="K3" t="s">
        <v>126</v>
      </c>
      <c r="M3" s="1" t="s">
        <v>279</v>
      </c>
      <c r="N3" s="2">
        <v>1000</v>
      </c>
    </row>
    <row r="4" spans="1:14" ht="15.75" thickBot="1" x14ac:dyDescent="0.3">
      <c r="A4" t="s">
        <v>7</v>
      </c>
      <c r="B4" t="s">
        <v>14</v>
      </c>
      <c r="D4" t="s">
        <v>58</v>
      </c>
      <c r="E4" s="6"/>
      <c r="G4" t="s">
        <v>226</v>
      </c>
      <c r="H4" t="s">
        <v>13</v>
      </c>
      <c r="J4" s="148">
        <v>0.25</v>
      </c>
      <c r="K4" t="s">
        <v>13</v>
      </c>
    </row>
    <row r="5" spans="1:14" ht="15.75" thickBot="1" x14ac:dyDescent="0.3">
      <c r="A5" t="s">
        <v>8</v>
      </c>
      <c r="B5" t="s">
        <v>198</v>
      </c>
      <c r="D5" t="s">
        <v>59</v>
      </c>
      <c r="E5" s="7"/>
      <c r="G5" t="s">
        <v>225</v>
      </c>
      <c r="H5" t="s">
        <v>64</v>
      </c>
      <c r="J5" s="148">
        <v>0.5</v>
      </c>
      <c r="K5" t="s">
        <v>198</v>
      </c>
    </row>
    <row r="6" spans="1:14" ht="15.75" thickBot="1" x14ac:dyDescent="0.3">
      <c r="A6" t="s">
        <v>9</v>
      </c>
      <c r="B6" t="s">
        <v>13</v>
      </c>
      <c r="D6" t="s">
        <v>60</v>
      </c>
      <c r="E6" s="8"/>
      <c r="J6" s="148">
        <v>0.75</v>
      </c>
      <c r="K6" t="s">
        <v>14</v>
      </c>
    </row>
    <row r="7" spans="1:14" ht="15.75" thickBot="1" x14ac:dyDescent="0.3">
      <c r="A7" t="s">
        <v>10</v>
      </c>
      <c r="B7" t="s">
        <v>127</v>
      </c>
      <c r="D7" t="s">
        <v>61</v>
      </c>
      <c r="E7" s="9"/>
      <c r="J7" s="148">
        <v>1</v>
      </c>
      <c r="K7" t="s">
        <v>12</v>
      </c>
    </row>
    <row r="8" spans="1:14" ht="15.75" thickBot="1" x14ac:dyDescent="0.3">
      <c r="D8" t="s">
        <v>62</v>
      </c>
      <c r="E8" s="10"/>
      <c r="J8" s="148">
        <v>1.25</v>
      </c>
      <c r="K8" t="s">
        <v>12</v>
      </c>
    </row>
    <row r="9" spans="1:14" ht="15.75" thickBot="1" x14ac:dyDescent="0.3">
      <c r="D9" t="s">
        <v>63</v>
      </c>
      <c r="E9" s="11"/>
      <c r="J9" s="148"/>
    </row>
    <row r="10" spans="1:14" ht="15.75" thickBot="1" x14ac:dyDescent="0.3">
      <c r="D10" t="s">
        <v>64</v>
      </c>
      <c r="E10" s="12"/>
    </row>
    <row r="11" spans="1:14" ht="15.75" thickBot="1" x14ac:dyDescent="0.3">
      <c r="D11" t="s">
        <v>65</v>
      </c>
      <c r="E11" s="13"/>
    </row>
    <row r="12" spans="1:14" ht="15.75" thickBot="1" x14ac:dyDescent="0.3">
      <c r="D12" t="s">
        <v>11</v>
      </c>
      <c r="E12" s="14"/>
    </row>
    <row r="13" spans="1:14" ht="15.75" thickBot="1" x14ac:dyDescent="0.3">
      <c r="D13" t="s">
        <v>66</v>
      </c>
      <c r="E13" s="15"/>
    </row>
    <row r="14" spans="1:14" ht="15.75" thickBot="1" x14ac:dyDescent="0.3">
      <c r="D14" t="s">
        <v>67</v>
      </c>
      <c r="E14" s="16"/>
    </row>
    <row r="15" spans="1:14" ht="15.75" thickBot="1" x14ac:dyDescent="0.3">
      <c r="D15" t="s">
        <v>68</v>
      </c>
      <c r="E15" s="17"/>
    </row>
    <row r="16" spans="1:14" ht="15.75" thickBot="1" x14ac:dyDescent="0.3">
      <c r="D16" t="s">
        <v>69</v>
      </c>
      <c r="E16" s="18"/>
    </row>
    <row r="17" spans="4:5" ht="15.75" thickBot="1" x14ac:dyDescent="0.3">
      <c r="D17" t="s">
        <v>70</v>
      </c>
      <c r="E17" s="19"/>
    </row>
    <row r="18" spans="4:5" ht="15.75" thickBot="1" x14ac:dyDescent="0.3">
      <c r="D18" t="s">
        <v>71</v>
      </c>
      <c r="E18" s="20"/>
    </row>
    <row r="19" spans="4:5" ht="15.75" thickBot="1" x14ac:dyDescent="0.3">
      <c r="D19" t="s">
        <v>72</v>
      </c>
      <c r="E19" s="21"/>
    </row>
    <row r="20" spans="4:5" ht="15.75" thickBot="1" x14ac:dyDescent="0.3">
      <c r="D20" t="s">
        <v>73</v>
      </c>
      <c r="E20" s="22"/>
    </row>
    <row r="21" spans="4:5" ht="15.75" thickBot="1" x14ac:dyDescent="0.3">
      <c r="D21" t="s">
        <v>74</v>
      </c>
      <c r="E21" s="23"/>
    </row>
    <row r="22" spans="4:5" ht="15.75" thickBot="1" x14ac:dyDescent="0.3">
      <c r="D22" t="s">
        <v>75</v>
      </c>
      <c r="E22" s="24"/>
    </row>
    <row r="23" spans="4:5" ht="15.75" thickBot="1" x14ac:dyDescent="0.3">
      <c r="D23" t="s">
        <v>76</v>
      </c>
      <c r="E23" s="7"/>
    </row>
    <row r="24" spans="4:5" ht="15.75" thickBot="1" x14ac:dyDescent="0.3">
      <c r="D24" t="s">
        <v>77</v>
      </c>
      <c r="E24" s="25"/>
    </row>
    <row r="25" spans="4:5" ht="15.75" thickBot="1" x14ac:dyDescent="0.3">
      <c r="D25" t="s">
        <v>78</v>
      </c>
      <c r="E25" s="26"/>
    </row>
    <row r="26" spans="4:5" ht="15.75" thickBot="1" x14ac:dyDescent="0.3">
      <c r="D26" t="s">
        <v>79</v>
      </c>
      <c r="E26" s="27"/>
    </row>
    <row r="27" spans="4:5" ht="15.75" thickBot="1" x14ac:dyDescent="0.3">
      <c r="D27" t="s">
        <v>80</v>
      </c>
      <c r="E27" s="28"/>
    </row>
    <row r="28" spans="4:5" ht="15.75" thickBot="1" x14ac:dyDescent="0.3">
      <c r="D28" t="s">
        <v>81</v>
      </c>
      <c r="E28" s="28"/>
    </row>
    <row r="29" spans="4:5" ht="15.75" thickBot="1" x14ac:dyDescent="0.3">
      <c r="D29" t="s">
        <v>82</v>
      </c>
      <c r="E29" s="29"/>
    </row>
    <row r="30" spans="4:5" ht="15.75" thickBot="1" x14ac:dyDescent="0.3">
      <c r="D30" t="s">
        <v>83</v>
      </c>
      <c r="E30" s="30"/>
    </row>
    <row r="31" spans="4:5" ht="15.75" thickBot="1" x14ac:dyDescent="0.3">
      <c r="D31" t="s">
        <v>84</v>
      </c>
      <c r="E31" s="31"/>
    </row>
    <row r="32" spans="4:5" ht="15.75" thickBot="1" x14ac:dyDescent="0.3">
      <c r="D32" t="s">
        <v>85</v>
      </c>
      <c r="E32" s="32"/>
    </row>
    <row r="33" spans="4:5" ht="15.75" thickBot="1" x14ac:dyDescent="0.3">
      <c r="D33" t="s">
        <v>86</v>
      </c>
      <c r="E33" s="33"/>
    </row>
    <row r="34" spans="4:5" ht="15.75" thickBot="1" x14ac:dyDescent="0.3">
      <c r="D34" t="s">
        <v>87</v>
      </c>
      <c r="E34" s="34"/>
    </row>
    <row r="35" spans="4:5" ht="15.75" thickBot="1" x14ac:dyDescent="0.3">
      <c r="D35" t="s">
        <v>88</v>
      </c>
      <c r="E35" s="35"/>
    </row>
    <row r="36" spans="4:5" ht="15.75" thickBot="1" x14ac:dyDescent="0.3">
      <c r="D36" t="s">
        <v>89</v>
      </c>
      <c r="E36" s="36"/>
    </row>
    <row r="37" spans="4:5" ht="15.75" thickBot="1" x14ac:dyDescent="0.3">
      <c r="D37" t="s">
        <v>90</v>
      </c>
      <c r="E37" s="37"/>
    </row>
    <row r="38" spans="4:5" ht="15.75" thickBot="1" x14ac:dyDescent="0.3">
      <c r="D38" t="s">
        <v>91</v>
      </c>
      <c r="E38" s="38"/>
    </row>
    <row r="39" spans="4:5" ht="15.75" thickBot="1" x14ac:dyDescent="0.3">
      <c r="D39" t="s">
        <v>92</v>
      </c>
      <c r="E39" s="39"/>
    </row>
    <row r="40" spans="4:5" ht="15.75" thickBot="1" x14ac:dyDescent="0.3">
      <c r="D40" t="s">
        <v>93</v>
      </c>
      <c r="E40" s="39"/>
    </row>
    <row r="41" spans="4:5" ht="15.75" thickBot="1" x14ac:dyDescent="0.3">
      <c r="D41" t="s">
        <v>94</v>
      </c>
      <c r="E41" s="40"/>
    </row>
    <row r="42" spans="4:5" ht="15.75" thickBot="1" x14ac:dyDescent="0.3">
      <c r="D42" t="s">
        <v>95</v>
      </c>
      <c r="E42" s="41"/>
    </row>
    <row r="43" spans="4:5" ht="15.75" thickBot="1" x14ac:dyDescent="0.3">
      <c r="D43" t="s">
        <v>96</v>
      </c>
      <c r="E43" s="42"/>
    </row>
    <row r="44" spans="4:5" ht="15.75" thickBot="1" x14ac:dyDescent="0.3">
      <c r="D44" t="s">
        <v>97</v>
      </c>
      <c r="E44" s="43"/>
    </row>
    <row r="45" spans="4:5" ht="15.75" thickBot="1" x14ac:dyDescent="0.3">
      <c r="D45" t="s">
        <v>98</v>
      </c>
      <c r="E45" s="44"/>
    </row>
    <row r="46" spans="4:5" ht="15.75" thickBot="1" x14ac:dyDescent="0.3">
      <c r="D46" t="s">
        <v>99</v>
      </c>
      <c r="E46" s="44"/>
    </row>
    <row r="47" spans="4:5" ht="15.75" thickBot="1" x14ac:dyDescent="0.3">
      <c r="D47" t="s">
        <v>100</v>
      </c>
      <c r="E47" s="45"/>
    </row>
    <row r="48" spans="4:5" ht="15.75" thickBot="1" x14ac:dyDescent="0.3">
      <c r="D48" t="s">
        <v>101</v>
      </c>
      <c r="E48" s="46"/>
    </row>
    <row r="49" spans="4:5" ht="15.75" thickBot="1" x14ac:dyDescent="0.3">
      <c r="D49" t="s">
        <v>102</v>
      </c>
      <c r="E49" s="47"/>
    </row>
    <row r="50" spans="4:5" ht="15.75" thickBot="1" x14ac:dyDescent="0.3">
      <c r="D50" t="s">
        <v>103</v>
      </c>
      <c r="E50" s="48"/>
    </row>
    <row r="51" spans="4:5" ht="15.75" thickBot="1" x14ac:dyDescent="0.3">
      <c r="D51" t="s">
        <v>104</v>
      </c>
      <c r="E51" s="49"/>
    </row>
    <row r="52" spans="4:5" ht="15.75" thickBot="1" x14ac:dyDescent="0.3">
      <c r="D52" t="s">
        <v>56</v>
      </c>
      <c r="E52" s="50"/>
    </row>
    <row r="53" spans="4:5" ht="15.75" thickBot="1" x14ac:dyDescent="0.3">
      <c r="D53" t="s">
        <v>105</v>
      </c>
      <c r="E53" s="51"/>
    </row>
    <row r="54" spans="4:5" ht="15.75" thickBot="1" x14ac:dyDescent="0.3">
      <c r="D54" t="s">
        <v>106</v>
      </c>
      <c r="E54" s="52"/>
    </row>
    <row r="55" spans="4:5" ht="15.75" thickBot="1" x14ac:dyDescent="0.3">
      <c r="D55" t="s">
        <v>107</v>
      </c>
      <c r="E55" s="53"/>
    </row>
    <row r="56" spans="4:5" ht="15.75" thickBot="1" x14ac:dyDescent="0.3">
      <c r="D56" t="s">
        <v>108</v>
      </c>
      <c r="E56" s="54"/>
    </row>
    <row r="57" spans="4:5" ht="15.75" thickBot="1" x14ac:dyDescent="0.3">
      <c r="D57" t="s">
        <v>109</v>
      </c>
      <c r="E57" s="54"/>
    </row>
    <row r="58" spans="4:5" ht="15.75" thickBot="1" x14ac:dyDescent="0.3">
      <c r="D58" t="s">
        <v>13</v>
      </c>
      <c r="E58" s="55"/>
    </row>
    <row r="59" spans="4:5" ht="15.75" thickBot="1" x14ac:dyDescent="0.3">
      <c r="D59" t="s">
        <v>110</v>
      </c>
      <c r="E59" s="56"/>
    </row>
    <row r="60" spans="4:5" ht="15.75" thickBot="1" x14ac:dyDescent="0.3">
      <c r="D60" t="s">
        <v>111</v>
      </c>
      <c r="E60" s="57"/>
    </row>
    <row r="61" spans="4:5" ht="15.75" thickBot="1" x14ac:dyDescent="0.3">
      <c r="D61" t="s">
        <v>112</v>
      </c>
      <c r="E61" s="58"/>
    </row>
    <row r="62" spans="4:5" ht="15.75" thickBot="1" x14ac:dyDescent="0.3">
      <c r="D62" t="s">
        <v>113</v>
      </c>
      <c r="E62" s="59"/>
    </row>
    <row r="63" spans="4:5" ht="15.75" thickBot="1" x14ac:dyDescent="0.3">
      <c r="D63" t="s">
        <v>114</v>
      </c>
      <c r="E63" s="60"/>
    </row>
    <row r="64" spans="4:5" ht="15.75" thickBot="1" x14ac:dyDescent="0.3">
      <c r="D64" t="s">
        <v>115</v>
      </c>
      <c r="E64" s="61"/>
    </row>
    <row r="65" spans="4:5" ht="15.75" thickBot="1" x14ac:dyDescent="0.3">
      <c r="D65" t="s">
        <v>116</v>
      </c>
      <c r="E65" s="62"/>
    </row>
    <row r="66" spans="4:5" ht="15.75" thickBot="1" x14ac:dyDescent="0.3">
      <c r="D66" t="s">
        <v>117</v>
      </c>
      <c r="E66" s="63"/>
    </row>
    <row r="67" spans="4:5" ht="15.75" thickBot="1" x14ac:dyDescent="0.3">
      <c r="D67" t="s">
        <v>118</v>
      </c>
      <c r="E67" s="64"/>
    </row>
    <row r="68" spans="4:5" ht="15.75" thickBot="1" x14ac:dyDescent="0.3">
      <c r="D68" t="s">
        <v>119</v>
      </c>
      <c r="E68" s="65"/>
    </row>
    <row r="69" spans="4:5" ht="15.75" thickBot="1" x14ac:dyDescent="0.3">
      <c r="D69" t="s">
        <v>120</v>
      </c>
      <c r="E69" s="66"/>
    </row>
    <row r="70" spans="4:5" ht="15.75" thickBot="1" x14ac:dyDescent="0.3">
      <c r="D70" t="s">
        <v>121</v>
      </c>
      <c r="E70" s="67"/>
    </row>
    <row r="71" spans="4:5" ht="15.75" thickBot="1" x14ac:dyDescent="0.3">
      <c r="D71" t="s">
        <v>122</v>
      </c>
      <c r="E71" s="68"/>
    </row>
    <row r="72" spans="4:5" ht="15.75" thickBot="1" x14ac:dyDescent="0.3">
      <c r="D72" t="s">
        <v>123</v>
      </c>
      <c r="E72" s="69"/>
    </row>
    <row r="73" spans="4:5" ht="15.75" thickBot="1" x14ac:dyDescent="0.3">
      <c r="D73" t="s">
        <v>124</v>
      </c>
      <c r="E73" s="70"/>
    </row>
    <row r="74" spans="4:5" ht="15.75" thickBot="1" x14ac:dyDescent="0.3">
      <c r="D74" t="s">
        <v>125</v>
      </c>
      <c r="E74" s="71"/>
    </row>
    <row r="75" spans="4:5" ht="15.75" thickBot="1" x14ac:dyDescent="0.3">
      <c r="D75" t="s">
        <v>126</v>
      </c>
      <c r="E75" s="71"/>
    </row>
    <row r="76" spans="4:5" ht="15.75" thickBot="1" x14ac:dyDescent="0.3">
      <c r="D76" t="s">
        <v>127</v>
      </c>
      <c r="E76" s="72"/>
    </row>
    <row r="77" spans="4:5" ht="15.75" thickBot="1" x14ac:dyDescent="0.3">
      <c r="D77" t="s">
        <v>128</v>
      </c>
      <c r="E77" s="73"/>
    </row>
    <row r="78" spans="4:5" ht="15.75" thickBot="1" x14ac:dyDescent="0.3">
      <c r="D78" t="s">
        <v>129</v>
      </c>
      <c r="E78" s="74"/>
    </row>
    <row r="79" spans="4:5" ht="15.75" thickBot="1" x14ac:dyDescent="0.3">
      <c r="D79" t="s">
        <v>130</v>
      </c>
      <c r="E79" s="75"/>
    </row>
    <row r="80" spans="4:5" ht="15.75" thickBot="1" x14ac:dyDescent="0.3">
      <c r="D80" t="s">
        <v>131</v>
      </c>
      <c r="E80" s="76"/>
    </row>
    <row r="81" spans="4:5" ht="15.75" thickBot="1" x14ac:dyDescent="0.3">
      <c r="D81" t="s">
        <v>132</v>
      </c>
      <c r="E81" s="77"/>
    </row>
    <row r="82" spans="4:5" ht="15.75" thickBot="1" x14ac:dyDescent="0.3">
      <c r="D82" t="s">
        <v>133</v>
      </c>
      <c r="E82" s="77"/>
    </row>
    <row r="83" spans="4:5" ht="15.75" thickBot="1" x14ac:dyDescent="0.3">
      <c r="D83" t="s">
        <v>134</v>
      </c>
      <c r="E83" s="78"/>
    </row>
    <row r="84" spans="4:5" ht="15.75" thickBot="1" x14ac:dyDescent="0.3">
      <c r="D84" t="s">
        <v>135</v>
      </c>
      <c r="E84" s="79"/>
    </row>
    <row r="85" spans="4:5" ht="15.75" thickBot="1" x14ac:dyDescent="0.3">
      <c r="D85" t="s">
        <v>136</v>
      </c>
      <c r="E85" s="80"/>
    </row>
    <row r="86" spans="4:5" ht="15.75" thickBot="1" x14ac:dyDescent="0.3">
      <c r="D86" t="s">
        <v>137</v>
      </c>
      <c r="E86" s="81"/>
    </row>
    <row r="87" spans="4:5" ht="15.75" thickBot="1" x14ac:dyDescent="0.3">
      <c r="D87" t="s">
        <v>138</v>
      </c>
      <c r="E87" s="82"/>
    </row>
    <row r="88" spans="4:5" ht="15.75" thickBot="1" x14ac:dyDescent="0.3">
      <c r="D88" t="s">
        <v>139</v>
      </c>
      <c r="E88" s="49"/>
    </row>
    <row r="89" spans="4:5" ht="15.75" thickBot="1" x14ac:dyDescent="0.3">
      <c r="D89" t="s">
        <v>140</v>
      </c>
      <c r="E89" s="83"/>
    </row>
    <row r="90" spans="4:5" ht="15.75" thickBot="1" x14ac:dyDescent="0.3">
      <c r="D90" t="s">
        <v>141</v>
      </c>
      <c r="E90" s="84"/>
    </row>
    <row r="91" spans="4:5" ht="15.75" thickBot="1" x14ac:dyDescent="0.3">
      <c r="D91" t="s">
        <v>142</v>
      </c>
      <c r="E91" s="85"/>
    </row>
    <row r="92" spans="4:5" ht="15.75" thickBot="1" x14ac:dyDescent="0.3">
      <c r="D92" t="s">
        <v>143</v>
      </c>
      <c r="E92" s="86"/>
    </row>
    <row r="93" spans="4:5" ht="15.75" thickBot="1" x14ac:dyDescent="0.3">
      <c r="D93" t="s">
        <v>144</v>
      </c>
      <c r="E93" s="87"/>
    </row>
    <row r="94" spans="4:5" ht="15.75" thickBot="1" x14ac:dyDescent="0.3">
      <c r="D94" t="s">
        <v>145</v>
      </c>
      <c r="E94" s="88"/>
    </row>
    <row r="95" spans="4:5" ht="15.75" thickBot="1" x14ac:dyDescent="0.3">
      <c r="D95" t="s">
        <v>146</v>
      </c>
      <c r="E95" s="89"/>
    </row>
    <row r="96" spans="4:5" ht="15.75" thickBot="1" x14ac:dyDescent="0.3">
      <c r="D96" t="s">
        <v>147</v>
      </c>
      <c r="E96" s="90"/>
    </row>
    <row r="97" spans="4:5" ht="15.75" thickBot="1" x14ac:dyDescent="0.3">
      <c r="D97" t="s">
        <v>148</v>
      </c>
      <c r="E97" s="91"/>
    </row>
    <row r="98" spans="4:5" ht="15.75" thickBot="1" x14ac:dyDescent="0.3">
      <c r="D98" t="s">
        <v>149</v>
      </c>
      <c r="E98" s="92"/>
    </row>
    <row r="99" spans="4:5" ht="15.75" thickBot="1" x14ac:dyDescent="0.3">
      <c r="D99" t="s">
        <v>150</v>
      </c>
      <c r="E99" s="93"/>
    </row>
    <row r="100" spans="4:5" ht="15.75" thickBot="1" x14ac:dyDescent="0.3">
      <c r="D100" t="s">
        <v>151</v>
      </c>
      <c r="E100" s="94"/>
    </row>
    <row r="101" spans="4:5" ht="15.75" thickBot="1" x14ac:dyDescent="0.3">
      <c r="D101" t="s">
        <v>152</v>
      </c>
      <c r="E101" s="95"/>
    </row>
    <row r="102" spans="4:5" ht="15.75" thickBot="1" x14ac:dyDescent="0.3">
      <c r="D102" t="s">
        <v>153</v>
      </c>
      <c r="E102" s="96"/>
    </row>
    <row r="103" spans="4:5" ht="15.75" thickBot="1" x14ac:dyDescent="0.3">
      <c r="D103" t="s">
        <v>154</v>
      </c>
      <c r="E103" s="97"/>
    </row>
    <row r="104" spans="4:5" ht="15.75" thickBot="1" x14ac:dyDescent="0.3">
      <c r="D104" t="s">
        <v>155</v>
      </c>
      <c r="E104" s="98"/>
    </row>
    <row r="105" spans="4:5" ht="15.75" thickBot="1" x14ac:dyDescent="0.3">
      <c r="D105" t="s">
        <v>156</v>
      </c>
      <c r="E105" s="99"/>
    </row>
    <row r="106" spans="4:5" ht="15.75" thickBot="1" x14ac:dyDescent="0.3">
      <c r="D106" t="s">
        <v>157</v>
      </c>
      <c r="E106" s="100"/>
    </row>
    <row r="107" spans="4:5" ht="15.75" thickBot="1" x14ac:dyDescent="0.3">
      <c r="D107" t="s">
        <v>158</v>
      </c>
      <c r="E107" s="101"/>
    </row>
    <row r="108" spans="4:5" ht="15.75" thickBot="1" x14ac:dyDescent="0.3">
      <c r="D108" t="s">
        <v>14</v>
      </c>
      <c r="E108" s="102"/>
    </row>
    <row r="109" spans="4:5" ht="15.75" thickBot="1" x14ac:dyDescent="0.3">
      <c r="D109" t="s">
        <v>159</v>
      </c>
      <c r="E109" s="103"/>
    </row>
    <row r="110" spans="4:5" ht="15.75" thickBot="1" x14ac:dyDescent="0.3">
      <c r="D110" t="s">
        <v>160</v>
      </c>
      <c r="E110" s="104"/>
    </row>
    <row r="111" spans="4:5" ht="15.75" thickBot="1" x14ac:dyDescent="0.3">
      <c r="D111" t="s">
        <v>161</v>
      </c>
      <c r="E111" s="105"/>
    </row>
    <row r="112" spans="4:5" ht="15.75" thickBot="1" x14ac:dyDescent="0.3">
      <c r="D112" t="s">
        <v>162</v>
      </c>
      <c r="E112" s="106"/>
    </row>
    <row r="113" spans="4:5" ht="15.75" thickBot="1" x14ac:dyDescent="0.3">
      <c r="D113" t="s">
        <v>163</v>
      </c>
      <c r="E113" s="107"/>
    </row>
    <row r="114" spans="4:5" ht="15.75" thickBot="1" x14ac:dyDescent="0.3">
      <c r="D114" t="s">
        <v>164</v>
      </c>
      <c r="E114" s="108"/>
    </row>
    <row r="115" spans="4:5" ht="15.75" thickBot="1" x14ac:dyDescent="0.3">
      <c r="D115" t="s">
        <v>165</v>
      </c>
      <c r="E115" s="109"/>
    </row>
    <row r="116" spans="4:5" ht="15.75" thickBot="1" x14ac:dyDescent="0.3">
      <c r="D116" t="s">
        <v>166</v>
      </c>
      <c r="E116" s="110"/>
    </row>
    <row r="117" spans="4:5" ht="15.75" thickBot="1" x14ac:dyDescent="0.3">
      <c r="D117" t="s">
        <v>167</v>
      </c>
      <c r="E117" s="111"/>
    </row>
    <row r="118" spans="4:5" ht="15.75" thickBot="1" x14ac:dyDescent="0.3">
      <c r="D118" t="s">
        <v>168</v>
      </c>
      <c r="E118" s="112"/>
    </row>
    <row r="119" spans="4:5" ht="15.75" thickBot="1" x14ac:dyDescent="0.3">
      <c r="D119" t="s">
        <v>169</v>
      </c>
      <c r="E119" s="113"/>
    </row>
    <row r="120" spans="4:5" ht="15.75" thickBot="1" x14ac:dyDescent="0.3">
      <c r="D120" t="s">
        <v>170</v>
      </c>
      <c r="E120" s="114"/>
    </row>
    <row r="121" spans="4:5" ht="15.75" thickBot="1" x14ac:dyDescent="0.3">
      <c r="D121" t="s">
        <v>171</v>
      </c>
      <c r="E121" s="115"/>
    </row>
    <row r="122" spans="4:5" ht="15.75" thickBot="1" x14ac:dyDescent="0.3">
      <c r="D122" t="s">
        <v>172</v>
      </c>
      <c r="E122" s="116"/>
    </row>
    <row r="123" spans="4:5" ht="15.75" thickBot="1" x14ac:dyDescent="0.3">
      <c r="D123" t="s">
        <v>12</v>
      </c>
      <c r="E123" s="117"/>
    </row>
    <row r="124" spans="4:5" ht="15.75" thickBot="1" x14ac:dyDescent="0.3">
      <c r="D124" t="s">
        <v>173</v>
      </c>
      <c r="E124" s="118"/>
    </row>
    <row r="125" spans="4:5" ht="15.75" thickBot="1" x14ac:dyDescent="0.3">
      <c r="D125" t="s">
        <v>174</v>
      </c>
      <c r="E125" s="119"/>
    </row>
    <row r="126" spans="4:5" ht="15.75" thickBot="1" x14ac:dyDescent="0.3">
      <c r="D126" t="s">
        <v>175</v>
      </c>
      <c r="E126" s="120"/>
    </row>
    <row r="127" spans="4:5" ht="15.75" thickBot="1" x14ac:dyDescent="0.3">
      <c r="D127" t="s">
        <v>176</v>
      </c>
      <c r="E127" s="121"/>
    </row>
    <row r="128" spans="4:5" ht="15.75" thickBot="1" x14ac:dyDescent="0.3">
      <c r="D128" t="s">
        <v>177</v>
      </c>
      <c r="E128" s="122"/>
    </row>
    <row r="129" spans="4:5" ht="15.75" thickBot="1" x14ac:dyDescent="0.3">
      <c r="D129" t="s">
        <v>178</v>
      </c>
      <c r="E129" s="123"/>
    </row>
    <row r="130" spans="4:5" ht="15.75" thickBot="1" x14ac:dyDescent="0.3">
      <c r="D130" t="s">
        <v>179</v>
      </c>
      <c r="E130" s="124"/>
    </row>
    <row r="131" spans="4:5" ht="15.75" thickBot="1" x14ac:dyDescent="0.3">
      <c r="D131" t="s">
        <v>180</v>
      </c>
      <c r="E131" s="125"/>
    </row>
    <row r="132" spans="4:5" ht="15.75" thickBot="1" x14ac:dyDescent="0.3">
      <c r="D132" t="s">
        <v>181</v>
      </c>
      <c r="E132" s="126"/>
    </row>
    <row r="133" spans="4:5" ht="15.75" thickBot="1" x14ac:dyDescent="0.3">
      <c r="D133" t="s">
        <v>182</v>
      </c>
      <c r="E133" s="127"/>
    </row>
    <row r="134" spans="4:5" ht="15.75" thickBot="1" x14ac:dyDescent="0.3">
      <c r="D134" t="s">
        <v>183</v>
      </c>
      <c r="E134" s="128"/>
    </row>
    <row r="135" spans="4:5" ht="15.75" thickBot="1" x14ac:dyDescent="0.3">
      <c r="D135" t="s">
        <v>184</v>
      </c>
      <c r="E135" s="129"/>
    </row>
    <row r="136" spans="4:5" ht="15.75" thickBot="1" x14ac:dyDescent="0.3">
      <c r="D136" t="s">
        <v>185</v>
      </c>
      <c r="E136" s="129"/>
    </row>
    <row r="137" spans="4:5" ht="15.75" thickBot="1" x14ac:dyDescent="0.3">
      <c r="D137" t="s">
        <v>186</v>
      </c>
      <c r="E137" s="130"/>
    </row>
    <row r="138" spans="4:5" ht="15.75" thickBot="1" x14ac:dyDescent="0.3">
      <c r="D138" t="s">
        <v>187</v>
      </c>
      <c r="E138" s="131"/>
    </row>
    <row r="139" spans="4:5" ht="15.75" thickBot="1" x14ac:dyDescent="0.3">
      <c r="D139" t="s">
        <v>188</v>
      </c>
      <c r="E139" s="132"/>
    </row>
    <row r="140" spans="4:5" ht="15.75" thickBot="1" x14ac:dyDescent="0.3">
      <c r="D140" t="s">
        <v>189</v>
      </c>
      <c r="E140" s="133"/>
    </row>
    <row r="141" spans="4:5" ht="15.75" thickBot="1" x14ac:dyDescent="0.3">
      <c r="D141" t="s">
        <v>190</v>
      </c>
      <c r="E141" s="134"/>
    </row>
    <row r="142" spans="4:5" ht="15.75" thickBot="1" x14ac:dyDescent="0.3">
      <c r="D142" t="s">
        <v>191</v>
      </c>
      <c r="E142" s="135"/>
    </row>
    <row r="143" spans="4:5" ht="15.75" thickBot="1" x14ac:dyDescent="0.3">
      <c r="D143" t="s">
        <v>192</v>
      </c>
      <c r="E143" s="136"/>
    </row>
    <row r="144" spans="4:5" ht="15.75" thickBot="1" x14ac:dyDescent="0.3">
      <c r="D144" t="s">
        <v>193</v>
      </c>
      <c r="E144" s="137"/>
    </row>
    <row r="145" spans="4:5" ht="15.75" thickBot="1" x14ac:dyDescent="0.3">
      <c r="D145" t="s">
        <v>194</v>
      </c>
      <c r="E145" s="138"/>
    </row>
    <row r="146" spans="4:5" ht="15.75" thickBot="1" x14ac:dyDescent="0.3">
      <c r="D146" t="s">
        <v>195</v>
      </c>
      <c r="E146" s="139"/>
    </row>
    <row r="147" spans="4:5" ht="15.75" thickBot="1" x14ac:dyDescent="0.3">
      <c r="D147" t="s">
        <v>196</v>
      </c>
      <c r="E147" s="5"/>
    </row>
    <row r="148" spans="4:5" ht="15.75" thickBot="1" x14ac:dyDescent="0.3">
      <c r="D148" t="s">
        <v>197</v>
      </c>
      <c r="E148" s="140"/>
    </row>
    <row r="149" spans="4:5" ht="15.75" thickBot="1" x14ac:dyDescent="0.3">
      <c r="D149" t="s">
        <v>198</v>
      </c>
      <c r="E149" s="141"/>
    </row>
    <row r="150" spans="4:5" ht="15.75" thickBot="1" x14ac:dyDescent="0.3">
      <c r="D150" t="s">
        <v>199</v>
      </c>
      <c r="E150" s="143"/>
    </row>
    <row r="152" spans="4:5" x14ac:dyDescent="0.25">
      <c r="D152" t="s">
        <v>38</v>
      </c>
    </row>
  </sheetData>
  <pageMargins left="0.7" right="0.7" top="0.75" bottom="0.75" header="0.3" footer="0.3"/>
  <pageSetup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53675-822A-44AD-BDD2-75F6D5C732C8}">
  <sheetPr codeName="Sheet12"/>
  <dimension ref="A1:B14"/>
  <sheetViews>
    <sheetView workbookViewId="0">
      <selection activeCell="B10" sqref="B10"/>
    </sheetView>
  </sheetViews>
  <sheetFormatPr defaultRowHeight="15" x14ac:dyDescent="0.25"/>
  <cols>
    <col min="1" max="1" width="85.7109375" customWidth="1"/>
  </cols>
  <sheetData>
    <row r="1" spans="1:2" x14ac:dyDescent="0.25">
      <c r="A1" s="1" t="s">
        <v>230</v>
      </c>
    </row>
    <row r="3" spans="1:2" x14ac:dyDescent="0.25">
      <c r="A3" t="s">
        <v>231</v>
      </c>
    </row>
    <row r="4" spans="1:2" x14ac:dyDescent="0.25">
      <c r="A4" t="s">
        <v>232</v>
      </c>
      <c r="B4" t="s">
        <v>265</v>
      </c>
    </row>
    <row r="5" spans="1:2" x14ac:dyDescent="0.25">
      <c r="A5" t="s">
        <v>233</v>
      </c>
      <c r="B5" t="s">
        <v>265</v>
      </c>
    </row>
    <row r="6" spans="1:2" x14ac:dyDescent="0.25">
      <c r="A6" t="s">
        <v>234</v>
      </c>
    </row>
    <row r="7" spans="1:2" x14ac:dyDescent="0.25">
      <c r="A7" t="s">
        <v>235</v>
      </c>
      <c r="B7" t="s">
        <v>265</v>
      </c>
    </row>
    <row r="8" spans="1:2" x14ac:dyDescent="0.25">
      <c r="A8" t="s">
        <v>236</v>
      </c>
    </row>
    <row r="9" spans="1:2" x14ac:dyDescent="0.25">
      <c r="A9" t="s">
        <v>238</v>
      </c>
      <c r="B9" t="s">
        <v>265</v>
      </c>
    </row>
    <row r="10" spans="1:2" x14ac:dyDescent="0.25">
      <c r="A10" t="s">
        <v>239</v>
      </c>
    </row>
    <row r="11" spans="1:2" x14ac:dyDescent="0.25">
      <c r="A11" t="s">
        <v>240</v>
      </c>
    </row>
    <row r="12" spans="1:2" x14ac:dyDescent="0.25">
      <c r="A12" t="s">
        <v>241</v>
      </c>
    </row>
    <row r="13" spans="1:2" x14ac:dyDescent="0.25">
      <c r="A13" t="s">
        <v>245</v>
      </c>
      <c r="B13" t="s">
        <v>265</v>
      </c>
    </row>
    <row r="14" spans="1:2" x14ac:dyDescent="0.25">
      <c r="A14" t="s">
        <v>266</v>
      </c>
      <c r="B14" t="s">
        <v>265</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topLeftCell="B1" workbookViewId="0">
      <selection activeCell="T2" sqref="T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51</v>
      </c>
      <c r="U1" t="s">
        <v>3</v>
      </c>
    </row>
    <row r="2" spans="1:21" x14ac:dyDescent="0.25">
      <c r="A2" s="4" t="str">
        <f ca="1">IF(OFFSET('1. Strategies'!$A$1,ROW(A2)-1,COLUMN(A2)-1)="","",OFFSET('1. Strategies'!$A$1,ROW(A2)-1,COLUMN(A2)-1))</f>
        <v>Reduce Credit Card Fees</v>
      </c>
      <c r="B2" s="4" t="str">
        <f ca="1">IF(OFFSET('1. Strategies'!$A$1,ROW(B2)-1,COLUMN(B2)-1)="","",OFFSET('1. Strategies'!$A$1,ROW(B2)-1,COLUMN(B2)-1))</f>
        <v>Highest</v>
      </c>
      <c r="C2" s="4" t="str">
        <f ca="1">IF(OFFSET('1. Strategies'!$A$1,ROW(C2)-1,COLUMN(C2)-1)="","",OFFSET('1. Strategies'!$A$1,ROW(C2)-1,COLUMN(C2)-1))</f>
        <v/>
      </c>
      <c r="D2" s="4" t="str">
        <f ca="1">IF(OFFSET('1. Strategies'!$A$1,ROW(D2)-1,COLUMN(D2)-1)="","",OFFSET('1. Strategies'!$A$1,ROW(D2)-1,COLUMN(D2)-1))</f>
        <v>Find providers with less fees</v>
      </c>
      <c r="T2" s="3">
        <f t="shared" ref="T2:T26" ca="1" si="0">IF(A2&lt;&gt;"",ROW(A2)-2,"")</f>
        <v>0</v>
      </c>
      <c r="U2" s="3" t="str">
        <f ca="1">IF(A2&lt;&gt;"",IF(C2="",IF(B2&lt;&gt;"",INDEX(Priorities[Color],MATCH(B2,Priorities[Priorities],0),0),""),C2),"")</f>
        <v>Red</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t="shared" ca="1" si="0"/>
        <v>1</v>
      </c>
      <c r="U3" s="3" t="str">
        <f ca="1">IF(A3&lt;&gt;"",IF(C3="",IF(B3&lt;&gt;"",INDEX(Priorities[Color],MATCH(B3,Priorities[Priorities],0),0),""),C3),"")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t="shared" ca="1" si="0"/>
        <v>2</v>
      </c>
      <c r="U4" s="3" t="str">
        <f ca="1">IF(A4&lt;&gt;"",IF(C4="",IF(B4&lt;&gt;"",INDEX(Priorities[Color],MATCH(B4,Priorities[Priorities],0),0),""),C4),"")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t="shared" ca="1" si="0"/>
        <v>3</v>
      </c>
      <c r="U5" s="3" t="str">
        <f ca="1">IF(A5&lt;&gt;"",IF(C5="",IF(B5&lt;&gt;"",INDEX(Priorities[Color],MATCH(B5,Priorities[Priorities],0),0),""),C5),"")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t="shared" ca="1" si="0"/>
        <v/>
      </c>
      <c r="U6" s="3" t="str">
        <f ca="1">IF(A6&lt;&gt;"",IF(C6="",IF(B6&lt;&gt;"",INDEX(Priorities[Color],MATCH(B6,Priorities[Priorities],0),0),""),C6),"")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t="shared" ca="1" si="0"/>
        <v/>
      </c>
      <c r="U7" s="3" t="str">
        <f ca="1">IF(A7&lt;&gt;"",IF(C7="",IF(B7&lt;&gt;"",INDEX(Priorities[Color],MATCH(B7,Priorities[Priorities],0),0),""),C7),"")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t="shared" ca="1" si="0"/>
        <v/>
      </c>
      <c r="U8" s="3" t="str">
        <f ca="1">IF(A8&lt;&gt;"",IF(C8="",IF(B8&lt;&gt;"",INDEX(Priorities[Color],MATCH(B8,Priorities[Priorities],0),0),""),C8),"")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t="shared" ca="1" si="0"/>
        <v/>
      </c>
      <c r="U9" s="3" t="str">
        <f ca="1">IF(A9&lt;&gt;"",IF(C9="",IF(B9&lt;&gt;"",INDEX(Priorities[Color],MATCH(B9,Priorities[Priorities],0),0),""),C9),"")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t="shared" ca="1" si="0"/>
        <v/>
      </c>
      <c r="U10" s="3" t="str">
        <f ca="1">IF(A10&lt;&gt;"",IF(C10="",IF(B10&lt;&gt;"",INDEX(Priorities[Color],MATCH(B10,Priorities[Priorities],0),0),""),C10),"")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t="shared" ca="1" si="0"/>
        <v/>
      </c>
      <c r="U11" s="3" t="str">
        <f ca="1">IF(A11&lt;&gt;"",IF(C11="",IF(B11&lt;&gt;"",INDEX(Priorities[Color],MATCH(B11,Priorities[Priorities],0),0),""),C11),"")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t="shared" ca="1" si="0"/>
        <v/>
      </c>
      <c r="U12" s="3" t="str">
        <f ca="1">IF(A12&lt;&gt;"",IF(C12="",IF(B12&lt;&gt;"",INDEX(Priorities[Color],MATCH(B12,Priorities[Priorities],0),0),""),C12),"")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t="shared" ca="1" si="0"/>
        <v/>
      </c>
      <c r="U13" s="3" t="str">
        <f ca="1">IF(A13&lt;&gt;"",IF(C13="",IF(B13&lt;&gt;"",INDEX(Priorities[Color],MATCH(B13,Priorities[Priorities],0),0),""),C13),"")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t="shared" ca="1" si="0"/>
        <v/>
      </c>
      <c r="U14" s="3" t="str">
        <f ca="1">IF(A14&lt;&gt;"",IF(C14="",IF(B14&lt;&gt;"",INDEX(Priorities[Color],MATCH(B14,Priorities[Priorities],0),0),""),C14),"")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t="shared" ca="1" si="0"/>
        <v/>
      </c>
      <c r="U15" s="3" t="str">
        <f ca="1">IF(A15&lt;&gt;"",IF(C15="",IF(B15&lt;&gt;"",INDEX(Priorities[Color],MATCH(B15,Priorities[Priorities],0),0),""),C15),"")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t="shared" ca="1" si="0"/>
        <v/>
      </c>
      <c r="U16" s="3" t="str">
        <f ca="1">IF(A16&lt;&gt;"",IF(C16="",IF(B16&lt;&gt;"",INDEX(Priorities[Color],MATCH(B16,Priorities[Priorities],0),0),""),C16),"")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t="shared" ca="1" si="0"/>
        <v/>
      </c>
      <c r="U17" s="3" t="str">
        <f ca="1">IF(A17&lt;&gt;"",IF(C17="",IF(B17&lt;&gt;"",INDEX(Priorities[Color],MATCH(B17,Priorities[Priorities],0),0),""),C17),"")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t="shared" ca="1" si="0"/>
        <v/>
      </c>
      <c r="U18" s="3" t="str">
        <f ca="1">IF(A18&lt;&gt;"",IF(C18="",IF(B18&lt;&gt;"",INDEX(Priorities[Color],MATCH(B18,Priorities[Priorities],0),0),""),C18),"")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t="shared" ca="1" si="0"/>
        <v/>
      </c>
      <c r="U19" s="3" t="str">
        <f ca="1">IF(A19&lt;&gt;"",IF(C19="",IF(B19&lt;&gt;"",INDEX(Priorities[Color],MATCH(B19,Priorities[Priorities],0),0),""),C19),"")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t="shared" ca="1" si="0"/>
        <v/>
      </c>
      <c r="U20" s="3" t="str">
        <f ca="1">IF(A20&lt;&gt;"",IF(C20="",IF(B20&lt;&gt;"",INDEX(Priorities[Color],MATCH(B20,Priorities[Priorities],0),0),""),C20),"")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t="shared" ca="1" si="0"/>
        <v/>
      </c>
      <c r="U21" s="3" t="str">
        <f ca="1">IF(A21&lt;&gt;"",IF(C21="",IF(B21&lt;&gt;"",INDEX(Priorities[Color],MATCH(B21,Priorities[Priorities],0),0),""),C21),"")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t="shared" ca="1" si="0"/>
        <v/>
      </c>
      <c r="U22" s="3" t="str">
        <f ca="1">IF(A22&lt;&gt;"",IF(C22="",IF(B22&lt;&gt;"",INDEX(Priorities[Color],MATCH(B22,Priorities[Priorities],0),0),""),C22),"")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t="shared" ca="1" si="0"/>
        <v/>
      </c>
      <c r="U23" s="3" t="str">
        <f ca="1">IF(A23&lt;&gt;"",IF(C23="",IF(B23&lt;&gt;"",INDEX(Priorities[Color],MATCH(B23,Priorities[Priorities],0),0),""),C23),"")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t="shared" ca="1" si="0"/>
        <v/>
      </c>
      <c r="U24" s="3" t="str">
        <f ca="1">IF(A24&lt;&gt;"",IF(C24="",IF(B24&lt;&gt;"",INDEX(Priorities[Color],MATCH(B24,Priorities[Priorities],0),0),""),C24),"")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t="shared" ca="1" si="0"/>
        <v/>
      </c>
      <c r="U25" s="3" t="str">
        <f ca="1">IF(A25&lt;&gt;"",IF(C25="",IF(B25&lt;&gt;"",INDEX(Priorities[Color],MATCH(B25,Priorities[Priorities],0),0),""),C25),"")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t="shared" ca="1" si="0"/>
        <v/>
      </c>
      <c r="U26" s="3" t="str">
        <f ca="1">IF(A26&lt;&gt;"",IF(C26="",IF(B26&lt;&gt;"",INDEX(Priorities[Color],MATCH(B26,Priorities[Priorities],0),0),""),C26),"")</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topLeftCell="C1" workbookViewId="0">
      <selection activeCell="U2" sqref="U2"/>
    </sheetView>
  </sheetViews>
  <sheetFormatPr defaultRowHeight="15" x14ac:dyDescent="0.25"/>
  <cols>
    <col min="1" max="1" width="26.85546875" bestFit="1" customWidth="1"/>
    <col min="2" max="2" width="15.7109375" customWidth="1"/>
    <col min="3" max="5" width="14.7109375" customWidth="1"/>
    <col min="6" max="6" width="18.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Total Capacity (in units selected in the Generate Sankey worksheeet)</v>
      </c>
      <c r="C1" s="3" t="str">
        <f ca="1">IF(OFFSET('2. Teams'!$A$1,ROW(C1)-1,COLUMN(C1)-1)="","",OFFSET('2. Teams'!$A$1,ROW(C1)-1,COLUMN(C1)-1))</f>
        <v>Color Override</v>
      </c>
      <c r="D1" s="3" t="str">
        <f ca="1">IF(OFFSET('2. Teams'!$A$1,ROW(D1)-1,COLUMN(D1)-1)="","",OFFSET('2. Teams'!$A$1,ROW(D1)-1,COLUMN(D1)-1))</f>
        <v>Target Low Throughput/Velocity</v>
      </c>
      <c r="E1" s="3" t="str">
        <f ca="1">IF(OFFSET('2. Teams'!$A$1,ROW(E1)-1,COLUMN(E1)-1)="","",OFFSET('2. Teams'!$A$1,ROW(E1)-1,COLUMN(E1)-1))</f>
        <v>Target High Throughput/Velocity</v>
      </c>
      <c r="F1" s="3" t="str">
        <f ca="1">IF(OFFSET('2. Teams'!$A$1,ROW(F1)-1,COLUMN(F1)-1)="","",OFFSET('2. Teams'!$A$1,ROW(F1)-1,COLUMN(F1)-1))</f>
        <v>Reserve Capacity Percentage</v>
      </c>
      <c r="T1" s="1" t="s">
        <v>51</v>
      </c>
      <c r="U1" s="1" t="s">
        <v>227</v>
      </c>
      <c r="V1" s="1" t="s">
        <v>228</v>
      </c>
      <c r="W1" s="1" t="s">
        <v>3</v>
      </c>
    </row>
    <row r="2" spans="1:23" x14ac:dyDescent="0.25">
      <c r="A2" s="4" t="str">
        <f ca="1">IF(OFFSET('2. Teams'!$A$1,ROW(A2)-1,COLUMN(A2)-1)="","",OFFSET('2. Teams'!$A$1,ROW(A2)-1,COLUMN(A2)-1))</f>
        <v>Database</v>
      </c>
      <c r="B2" s="4">
        <f ca="1">IF(OFFSET('2. Teams'!$A$1,ROW(B2)-1,COLUMN(B2)-1)="","",OFFSET('2. Teams'!$A$1,ROW(B2)-1,COLUMN(B2)-1))</f>
        <v>6</v>
      </c>
      <c r="C2" s="4" t="str">
        <f ca="1">IF(OFFSET('2. Teams'!$A$1,ROW(C2)-1,COLUMN(C2)-1)="","",OFFSET('2. Teams'!$A$1,ROW(C2)-1,COLUMN(C2)-1))</f>
        <v/>
      </c>
      <c r="D2" s="4">
        <f ca="1">IF(OFFSET('2. Teams'!$A$1,ROW(D2)-1,COLUMN(D2)-1)="","",OFFSET('2. Teams'!$A$1,ROW(D2)-1,COLUMN(D2)-1))</f>
        <v>1</v>
      </c>
      <c r="E2" s="4">
        <f ca="1">IF(OFFSET('2. Teams'!$A$1,ROW(E2)-1,COLUMN(E2)-1)="","",OFFSET('2. Teams'!$A$1,ROW(E2)-1,COLUMN(E2)-1))</f>
        <v>6</v>
      </c>
      <c r="F2" s="4">
        <f ca="1">IF(OFFSET('2. Teams'!$A$1,ROW(F2)-1,COLUMN(F2)-1)="","",OFFSET('2. Teams'!$A$1,ROW(F2)-1,COLUMN(F2)-1))</f>
        <v>0</v>
      </c>
      <c r="T2" s="3">
        <f ca="1">IF(A2&lt;&gt;"",MAX('Work Indirect'!$T:$T)+(ROW(A2)-1),"")</f>
        <v>32</v>
      </c>
      <c r="U2" s="3">
        <f ca="1">IF(A2&lt;&gt;"",SUMIF('Work Indirect'!C:C,A2,'Work Indirect'!AC:AC),"")</f>
        <v>6.2222222222222223</v>
      </c>
      <c r="V2" s="149">
        <f ca="1">IF(B2="","",U2/B2)</f>
        <v>1.037037037037037</v>
      </c>
      <c r="W2" s="3" t="str">
        <f ca="1">IF(A2&lt;&gt;"",IF(C2="",INDEX(Allocation[Color],MATCH(V2,Allocation[Allocation],1),0),C2),"")</f>
        <v>Red</v>
      </c>
    </row>
    <row r="3" spans="1:23" x14ac:dyDescent="0.25">
      <c r="A3" s="4" t="str">
        <f ca="1">IF(OFFSET('2. Teams'!$A$1,ROW(A3)-1,COLUMN(A3)-1)="","",OFFSET('2. Teams'!$A$1,ROW(A3)-1,COLUMN(A3)-1))</f>
        <v>Team UI 1</v>
      </c>
      <c r="B3" s="4">
        <f ca="1">IF(OFFSET('2. Teams'!$A$1,ROW(B3)-1,COLUMN(B3)-1)="","",OFFSET('2. Teams'!$A$1,ROW(B3)-1,COLUMN(B3)-1))</f>
        <v>6</v>
      </c>
      <c r="C3" s="4" t="str">
        <f ca="1">IF(OFFSET('2. Teams'!$A$1,ROW(C3)-1,COLUMN(C3)-1)="","",OFFSET('2. Teams'!$A$1,ROW(C3)-1,COLUMN(C3)-1))</f>
        <v/>
      </c>
      <c r="D3" s="4">
        <f ca="1">IF(OFFSET('2. Teams'!$A$1,ROW(D3)-1,COLUMN(D3)-1)="","",OFFSET('2. Teams'!$A$1,ROW(D3)-1,COLUMN(D3)-1))</f>
        <v>2</v>
      </c>
      <c r="E3" s="4">
        <f ca="1">IF(OFFSET('2. Teams'!$A$1,ROW(E3)-1,COLUMN(E3)-1)="","",OFFSET('2. Teams'!$A$1,ROW(E3)-1,COLUMN(E3)-1))</f>
        <v>6</v>
      </c>
      <c r="F3" s="4">
        <f ca="1">IF(OFFSET('2. Teams'!$A$1,ROW(F3)-1,COLUMN(F3)-1)="","",OFFSET('2. Teams'!$A$1,ROW(F3)-1,COLUMN(F3)-1))</f>
        <v>0</v>
      </c>
      <c r="T3" s="3">
        <f ca="1">IF(A3&lt;&gt;"",MAX('Work Indirect'!$T:$T)+(ROW(A3)-1),"")</f>
        <v>33</v>
      </c>
      <c r="U3" s="3">
        <f ca="1">IF(A3&lt;&gt;"",SUMIF('Work Indirect'!C:C,A3,'Work Indirect'!AC:AC),"")</f>
        <v>7</v>
      </c>
      <c r="V3" s="149">
        <f t="shared" ref="V3:V66" ca="1" si="0">IF(B3="","",U3/B3)</f>
        <v>1.1666666666666667</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6</v>
      </c>
      <c r="C4" s="4" t="str">
        <f ca="1">IF(OFFSET('2. Teams'!$A$1,ROW(C4)-1,COLUMN(C4)-1)="","",OFFSET('2. Teams'!$A$1,ROW(C4)-1,COLUMN(C4)-1))</f>
        <v/>
      </c>
      <c r="D4" s="4">
        <f ca="1">IF(OFFSET('2. Teams'!$A$1,ROW(D4)-1,COLUMN(D4)-1)="","",OFFSET('2. Teams'!$A$1,ROW(D4)-1,COLUMN(D4)-1))</f>
        <v>4</v>
      </c>
      <c r="E4" s="4">
        <f ca="1">IF(OFFSET('2. Teams'!$A$1,ROW(E4)-1,COLUMN(E4)-1)="","",OFFSET('2. Teams'!$A$1,ROW(E4)-1,COLUMN(E4)-1))</f>
        <v>6</v>
      </c>
      <c r="F4" s="4">
        <f ca="1">IF(OFFSET('2. Teams'!$A$1,ROW(F4)-1,COLUMN(F4)-1)="","",OFFSET('2. Teams'!$A$1,ROW(F4)-1,COLUMN(F4)-1))</f>
        <v>0.2</v>
      </c>
      <c r="T4" s="3">
        <f ca="1">IF(A4&lt;&gt;"",MAX('Work Indirect'!$T:$T)+(ROW(A4)-1),"")</f>
        <v>34</v>
      </c>
      <c r="U4" s="3">
        <f ca="1">IF(A4&lt;&gt;"",SUMIF('Work Indirect'!C:C,A4,'Work Indirect'!AC:AC),"")</f>
        <v>3.4090909090909087</v>
      </c>
      <c r="V4" s="149">
        <f t="shared" ca="1" si="0"/>
        <v>0.56818181818181812</v>
      </c>
      <c r="W4" s="3" t="str">
        <f ca="1">IF(A4&lt;&gt;"",IF(C4="",INDEX(Allocation[Color],MATCH(V4,Allocation[Allocation],1),0),C4),"")</f>
        <v>Yellow</v>
      </c>
    </row>
    <row r="5" spans="1:23" x14ac:dyDescent="0.25">
      <c r="A5" s="4" t="str">
        <f ca="1">IF(OFFSET('2. Teams'!$A$1,ROW(A5)-1,COLUMN(A5)-1)="","",OFFSET('2. Teams'!$A$1,ROW(A5)-1,COLUMN(A5)-1))</f>
        <v>Team Server Side</v>
      </c>
      <c r="B5" s="4">
        <f ca="1">IF(OFFSET('2. Teams'!$A$1,ROW(B5)-1,COLUMN(B5)-1)="","",OFFSET('2. Teams'!$A$1,ROW(B5)-1,COLUMN(B5)-1))</f>
        <v>6</v>
      </c>
      <c r="C5" s="4" t="str">
        <f ca="1">IF(OFFSET('2. Teams'!$A$1,ROW(C5)-1,COLUMN(C5)-1)="","",OFFSET('2. Teams'!$A$1,ROW(C5)-1,COLUMN(C5)-1))</f>
        <v/>
      </c>
      <c r="D5" s="4">
        <f ca="1">IF(OFFSET('2. Teams'!$A$1,ROW(D5)-1,COLUMN(D5)-1)="","",OFFSET('2. Teams'!$A$1,ROW(D5)-1,COLUMN(D5)-1))</f>
        <v>10</v>
      </c>
      <c r="E5" s="4">
        <f ca="1">IF(OFFSET('2. Teams'!$A$1,ROW(E5)-1,COLUMN(E5)-1)="","",OFFSET('2. Teams'!$A$1,ROW(E5)-1,COLUMN(E5)-1))</f>
        <v>20</v>
      </c>
      <c r="F5" s="4">
        <f ca="1">IF(OFFSET('2. Teams'!$A$1,ROW(F5)-1,COLUMN(F5)-1)="","",OFFSET('2. Teams'!$A$1,ROW(F5)-1,COLUMN(F5)-1))</f>
        <v>0.2</v>
      </c>
      <c r="T5" s="3">
        <f ca="1">IF(A5&lt;&gt;"",MAX('Work Indirect'!$T:$T)+(ROW(A5)-1),"")</f>
        <v>35</v>
      </c>
      <c r="U5" s="3">
        <f ca="1">IF(A5&lt;&gt;"",SUMIF('Work Indirect'!C:C,A5,'Work Indirect'!AC:AC),"")</f>
        <v>3.5833333333333335</v>
      </c>
      <c r="V5" s="149">
        <f t="shared" ca="1" si="0"/>
        <v>0.59722222222222221</v>
      </c>
      <c r="W5" s="3" t="str">
        <f ca="1">IF(A5&lt;&gt;"",IF(C5="",INDEX(Allocation[Color],MATCH(V5,Allocation[Allocation],1),0),C5),"")</f>
        <v>Yellow</v>
      </c>
    </row>
    <row r="6" spans="1:23" x14ac:dyDescent="0.25">
      <c r="A6" s="4" t="str">
        <f ca="1">IF(OFFSET('2. Teams'!$A$1,ROW(A6)-1,COLUMN(A6)-1)="","",OFFSET('2. Teams'!$A$1,ROW(A6)-1,COLUMN(A6)-1))</f>
        <v>Logistics</v>
      </c>
      <c r="B6" s="4">
        <f ca="1">IF(OFFSET('2. Teams'!$A$1,ROW(B6)-1,COLUMN(B6)-1)="","",OFFSET('2. Teams'!$A$1,ROW(B6)-1,COLUMN(B6)-1))</f>
        <v>6</v>
      </c>
      <c r="C6" s="4" t="str">
        <f ca="1">IF(OFFSET('2. Teams'!$A$1,ROW(C6)-1,COLUMN(C6)-1)="","",OFFSET('2. Teams'!$A$1,ROW(C6)-1,COLUMN(C6)-1))</f>
        <v/>
      </c>
      <c r="D6" s="4">
        <f ca="1">IF(OFFSET('2. Teams'!$A$1,ROW(D6)-1,COLUMN(D6)-1)="","",OFFSET('2. Teams'!$A$1,ROW(D6)-1,COLUMN(D6)-1))</f>
        <v>2</v>
      </c>
      <c r="E6" s="4">
        <f ca="1">IF(OFFSET('2. Teams'!$A$1,ROW(E6)-1,COLUMN(E6)-1)="","",OFFSET('2. Teams'!$A$1,ROW(E6)-1,COLUMN(E6)-1))</f>
        <v>2</v>
      </c>
      <c r="F6" s="4">
        <f ca="1">IF(OFFSET('2. Teams'!$A$1,ROW(F6)-1,COLUMN(F6)-1)="","",OFFSET('2. Teams'!$A$1,ROW(F6)-1,COLUMN(F6)-1))</f>
        <v>0</v>
      </c>
      <c r="T6" s="3">
        <f ca="1">IF(A6&lt;&gt;"",MAX('Work Indirect'!$T:$T)+(ROW(A6)-1),"")</f>
        <v>36</v>
      </c>
      <c r="U6" s="3">
        <f ca="1">IF(A6&lt;&gt;"",SUMIF('Work Indirect'!C:C,A6,'Work Indirect'!AC:AC),"")</f>
        <v>3</v>
      </c>
      <c r="V6" s="149">
        <f t="shared" ca="1" si="0"/>
        <v>0.5</v>
      </c>
      <c r="W6" s="3" t="str">
        <f ca="1">IF(A6&lt;&gt;"",IF(C6="",INDEX(Allocation[Color],MATCH(V6,Allocation[Allocation],1),0),C6),"")</f>
        <v>Yellow</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D7" s="4" t="str">
        <f ca="1">IF(OFFSET('2. Teams'!$A$1,ROW(D7)-1,COLUMN(D7)-1)="","",OFFSET('2. Teams'!$A$1,ROW(D7)-1,COLUMN(D7)-1))</f>
        <v/>
      </c>
      <c r="E7" s="4" t="str">
        <f ca="1">IF(OFFSET('2. Teams'!$A$1,ROW(E7)-1,COLUMN(E7)-1)="","",OFFSET('2. Teams'!$A$1,ROW(E7)-1,COLUMN(E7)-1))</f>
        <v/>
      </c>
      <c r="F7" s="4" t="str">
        <f ca="1">IF(OFFSET('2. Teams'!$A$1,ROW(F7)-1,COLUMN(F7)-1)="","",OFFSET('2. Teams'!$A$1,ROW(F7)-1,COLUMN(F7)-1))</f>
        <v/>
      </c>
      <c r="T7" s="3" t="str">
        <f ca="1">IF(A7&lt;&gt;"",MAX('Work Indirect'!$T:$T)+(ROW(A7)-1),"")</f>
        <v/>
      </c>
      <c r="U7" s="3" t="str">
        <f ca="1">IF(A7&lt;&gt;"",SUMIF('Work Indirect'!C:C,A7,'Work Indirect'!AC:AC),"")</f>
        <v/>
      </c>
      <c r="V7" s="149"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D8" s="4" t="str">
        <f ca="1">IF(OFFSET('2. Teams'!$A$1,ROW(D8)-1,COLUMN(D8)-1)="","",OFFSET('2. Teams'!$A$1,ROW(D8)-1,COLUMN(D8)-1))</f>
        <v/>
      </c>
      <c r="E8" s="4" t="str">
        <f ca="1">IF(OFFSET('2. Teams'!$A$1,ROW(E8)-1,COLUMN(E8)-1)="","",OFFSET('2. Teams'!$A$1,ROW(E8)-1,COLUMN(E8)-1))</f>
        <v/>
      </c>
      <c r="F8" s="4" t="str">
        <f ca="1">IF(OFFSET('2. Teams'!$A$1,ROW(F8)-1,COLUMN(F8)-1)="","",OFFSET('2. Teams'!$A$1,ROW(F8)-1,COLUMN(F8)-1))</f>
        <v/>
      </c>
      <c r="T8" s="3" t="str">
        <f ca="1">IF(A8&lt;&gt;"",MAX('Work Indirect'!$T:$T)+(ROW(A8)-1),"")</f>
        <v/>
      </c>
      <c r="U8" s="3" t="str">
        <f ca="1">IF(A8&lt;&gt;"",SUMIF('Work Indirect'!C:C,A8,'Work Indirect'!AC:AC),"")</f>
        <v/>
      </c>
      <c r="V8" s="149"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D9" s="4" t="str">
        <f ca="1">IF(OFFSET('2. Teams'!$A$1,ROW(D9)-1,COLUMN(D9)-1)="","",OFFSET('2. Teams'!$A$1,ROW(D9)-1,COLUMN(D9)-1))</f>
        <v/>
      </c>
      <c r="E9" s="4" t="str">
        <f ca="1">IF(OFFSET('2. Teams'!$A$1,ROW(E9)-1,COLUMN(E9)-1)="","",OFFSET('2. Teams'!$A$1,ROW(E9)-1,COLUMN(E9)-1))</f>
        <v/>
      </c>
      <c r="F9" s="4" t="str">
        <f ca="1">IF(OFFSET('2. Teams'!$A$1,ROW(F9)-1,COLUMN(F9)-1)="","",OFFSET('2. Teams'!$A$1,ROW(F9)-1,COLUMN(F9)-1))</f>
        <v/>
      </c>
      <c r="T9" s="3" t="str">
        <f ca="1">IF(A9&lt;&gt;"",MAX('Work Indirect'!$T:$T)+(ROW(A9)-1),"")</f>
        <v/>
      </c>
      <c r="U9" s="3" t="str">
        <f ca="1">IF(A9&lt;&gt;"",SUMIF('Work Indirect'!C:C,A9,'Work Indirect'!AC:AC),"")</f>
        <v/>
      </c>
      <c r="V9" s="149"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D10" s="4" t="str">
        <f ca="1">IF(OFFSET('2. Teams'!$A$1,ROW(D10)-1,COLUMN(D10)-1)="","",OFFSET('2. Teams'!$A$1,ROW(D10)-1,COLUMN(D10)-1))</f>
        <v/>
      </c>
      <c r="E10" s="4" t="str">
        <f ca="1">IF(OFFSET('2. Teams'!$A$1,ROW(E10)-1,COLUMN(E10)-1)="","",OFFSET('2. Teams'!$A$1,ROW(E10)-1,COLUMN(E10)-1))</f>
        <v/>
      </c>
      <c r="F10" s="4" t="str">
        <f ca="1">IF(OFFSET('2. Teams'!$A$1,ROW(F10)-1,COLUMN(F10)-1)="","",OFFSET('2. Teams'!$A$1,ROW(F10)-1,COLUMN(F10)-1))</f>
        <v/>
      </c>
      <c r="T10" s="3" t="str">
        <f ca="1">IF(A10&lt;&gt;"",MAX('Work Indirect'!$T:$T)+(ROW(A10)-1),"")</f>
        <v/>
      </c>
      <c r="U10" s="3" t="str">
        <f ca="1">IF(A10&lt;&gt;"",SUMIF('Work Indirect'!C:C,A10,'Work Indirect'!AC:AC),"")</f>
        <v/>
      </c>
      <c r="V10" s="149"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D11" s="4" t="str">
        <f ca="1">IF(OFFSET('2. Teams'!$A$1,ROW(D11)-1,COLUMN(D11)-1)="","",OFFSET('2. Teams'!$A$1,ROW(D11)-1,COLUMN(D11)-1))</f>
        <v/>
      </c>
      <c r="E11" s="4" t="str">
        <f ca="1">IF(OFFSET('2. Teams'!$A$1,ROW(E11)-1,COLUMN(E11)-1)="","",OFFSET('2. Teams'!$A$1,ROW(E11)-1,COLUMN(E11)-1))</f>
        <v/>
      </c>
      <c r="F11" s="4" t="str">
        <f ca="1">IF(OFFSET('2. Teams'!$A$1,ROW(F11)-1,COLUMN(F11)-1)="","",OFFSET('2. Teams'!$A$1,ROW(F11)-1,COLUMN(F11)-1))</f>
        <v/>
      </c>
      <c r="T11" s="3" t="str">
        <f ca="1">IF(A11&lt;&gt;"",MAX('Work Indirect'!$T:$T)+(ROW(A11)-1),"")</f>
        <v/>
      </c>
      <c r="U11" s="3" t="str">
        <f ca="1">IF(A11&lt;&gt;"",SUMIF('Work Indirect'!C:C,A11,'Work Indirect'!AC:AC),"")</f>
        <v/>
      </c>
      <c r="V11" s="149"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D12" s="4" t="str">
        <f ca="1">IF(OFFSET('2. Teams'!$A$1,ROW(D12)-1,COLUMN(D12)-1)="","",OFFSET('2. Teams'!$A$1,ROW(D12)-1,COLUMN(D12)-1))</f>
        <v/>
      </c>
      <c r="E12" s="4" t="str">
        <f ca="1">IF(OFFSET('2. Teams'!$A$1,ROW(E12)-1,COLUMN(E12)-1)="","",OFFSET('2. Teams'!$A$1,ROW(E12)-1,COLUMN(E12)-1))</f>
        <v/>
      </c>
      <c r="F12" s="4" t="str">
        <f ca="1">IF(OFFSET('2. Teams'!$A$1,ROW(F12)-1,COLUMN(F12)-1)="","",OFFSET('2. Teams'!$A$1,ROW(F12)-1,COLUMN(F12)-1))</f>
        <v/>
      </c>
      <c r="T12" s="3" t="str">
        <f ca="1">IF(A12&lt;&gt;"",MAX('Work Indirect'!$T:$T)+(ROW(A12)-1),"")</f>
        <v/>
      </c>
      <c r="U12" s="3" t="str">
        <f ca="1">IF(A12&lt;&gt;"",SUMIF('Work Indirect'!C:C,A12,'Work Indirect'!AC:AC),"")</f>
        <v/>
      </c>
      <c r="V12" s="149"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D13" s="4" t="str">
        <f ca="1">IF(OFFSET('2. Teams'!$A$1,ROW(D13)-1,COLUMN(D13)-1)="","",OFFSET('2. Teams'!$A$1,ROW(D13)-1,COLUMN(D13)-1))</f>
        <v/>
      </c>
      <c r="E13" s="4" t="str">
        <f ca="1">IF(OFFSET('2. Teams'!$A$1,ROW(E13)-1,COLUMN(E13)-1)="","",OFFSET('2. Teams'!$A$1,ROW(E13)-1,COLUMN(E13)-1))</f>
        <v/>
      </c>
      <c r="F13" s="4" t="str">
        <f ca="1">IF(OFFSET('2. Teams'!$A$1,ROW(F13)-1,COLUMN(F13)-1)="","",OFFSET('2. Teams'!$A$1,ROW(F13)-1,COLUMN(F13)-1))</f>
        <v/>
      </c>
      <c r="T13" s="3" t="str">
        <f ca="1">IF(A13&lt;&gt;"",MAX('Work Indirect'!$T:$T)+(ROW(A13)-1),"")</f>
        <v/>
      </c>
      <c r="U13" s="3" t="str">
        <f ca="1">IF(A13&lt;&gt;"",SUMIF('Work Indirect'!C:C,A13,'Work Indirect'!AC:AC),"")</f>
        <v/>
      </c>
      <c r="V13" s="149"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D14" s="4" t="str">
        <f ca="1">IF(OFFSET('2. Teams'!$A$1,ROW(D14)-1,COLUMN(D14)-1)="","",OFFSET('2. Teams'!$A$1,ROW(D14)-1,COLUMN(D14)-1))</f>
        <v/>
      </c>
      <c r="E14" s="4" t="str">
        <f ca="1">IF(OFFSET('2. Teams'!$A$1,ROW(E14)-1,COLUMN(E14)-1)="","",OFFSET('2. Teams'!$A$1,ROW(E14)-1,COLUMN(E14)-1))</f>
        <v/>
      </c>
      <c r="F14" s="4" t="str">
        <f ca="1">IF(OFFSET('2. Teams'!$A$1,ROW(F14)-1,COLUMN(F14)-1)="","",OFFSET('2. Teams'!$A$1,ROW(F14)-1,COLUMN(F14)-1))</f>
        <v/>
      </c>
      <c r="T14" s="3" t="str">
        <f ca="1">IF(A14&lt;&gt;"",MAX('Work Indirect'!$T:$T)+(ROW(A14)-1),"")</f>
        <v/>
      </c>
      <c r="U14" s="3" t="str">
        <f ca="1">IF(A14&lt;&gt;"",SUMIF('Work Indirect'!C:C,A14,'Work Indirect'!AC:AC),"")</f>
        <v/>
      </c>
      <c r="V14" s="149"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D15" s="4" t="str">
        <f ca="1">IF(OFFSET('2. Teams'!$A$1,ROW(D15)-1,COLUMN(D15)-1)="","",OFFSET('2. Teams'!$A$1,ROW(D15)-1,COLUMN(D15)-1))</f>
        <v/>
      </c>
      <c r="E15" s="4" t="str">
        <f ca="1">IF(OFFSET('2. Teams'!$A$1,ROW(E15)-1,COLUMN(E15)-1)="","",OFFSET('2. Teams'!$A$1,ROW(E15)-1,COLUMN(E15)-1))</f>
        <v/>
      </c>
      <c r="F15" s="4" t="str">
        <f ca="1">IF(OFFSET('2. Teams'!$A$1,ROW(F15)-1,COLUMN(F15)-1)="","",OFFSET('2. Teams'!$A$1,ROW(F15)-1,COLUMN(F15)-1))</f>
        <v/>
      </c>
      <c r="T15" s="3" t="str">
        <f ca="1">IF(A15&lt;&gt;"",MAX('Work Indirect'!$T:$T)+(ROW(A15)-1),"")</f>
        <v/>
      </c>
      <c r="U15" s="3" t="str">
        <f ca="1">IF(A15&lt;&gt;"",SUMIF('Work Indirect'!C:C,A15,'Work Indirect'!AC:AC),"")</f>
        <v/>
      </c>
      <c r="V15" s="149"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D16" s="4" t="str">
        <f ca="1">IF(OFFSET('2. Teams'!$A$1,ROW(D16)-1,COLUMN(D16)-1)="","",OFFSET('2. Teams'!$A$1,ROW(D16)-1,COLUMN(D16)-1))</f>
        <v/>
      </c>
      <c r="E16" s="4" t="str">
        <f ca="1">IF(OFFSET('2. Teams'!$A$1,ROW(E16)-1,COLUMN(E16)-1)="","",OFFSET('2. Teams'!$A$1,ROW(E16)-1,COLUMN(E16)-1))</f>
        <v/>
      </c>
      <c r="F16" s="4" t="str">
        <f ca="1">IF(OFFSET('2. Teams'!$A$1,ROW(F16)-1,COLUMN(F16)-1)="","",OFFSET('2. Teams'!$A$1,ROW(F16)-1,COLUMN(F16)-1))</f>
        <v/>
      </c>
      <c r="T16" s="3" t="str">
        <f ca="1">IF(A16&lt;&gt;"",MAX('Work Indirect'!$T:$T)+(ROW(A16)-1),"")</f>
        <v/>
      </c>
      <c r="U16" s="3" t="str">
        <f ca="1">IF(A16&lt;&gt;"",SUMIF('Work Indirect'!C:C,A16,'Work Indirect'!AC:AC),"")</f>
        <v/>
      </c>
      <c r="V16" s="149"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D17" s="4" t="str">
        <f ca="1">IF(OFFSET('2. Teams'!$A$1,ROW(D17)-1,COLUMN(D17)-1)="","",OFFSET('2. Teams'!$A$1,ROW(D17)-1,COLUMN(D17)-1))</f>
        <v/>
      </c>
      <c r="E17" s="4" t="str">
        <f ca="1">IF(OFFSET('2. Teams'!$A$1,ROW(E17)-1,COLUMN(E17)-1)="","",OFFSET('2. Teams'!$A$1,ROW(E17)-1,COLUMN(E17)-1))</f>
        <v/>
      </c>
      <c r="F17" s="4" t="str">
        <f ca="1">IF(OFFSET('2. Teams'!$A$1,ROW(F17)-1,COLUMN(F17)-1)="","",OFFSET('2. Teams'!$A$1,ROW(F17)-1,COLUMN(F17)-1))</f>
        <v/>
      </c>
      <c r="T17" s="3" t="str">
        <f ca="1">IF(A17&lt;&gt;"",MAX('Work Indirect'!$T:$T)+(ROW(A17)-1),"")</f>
        <v/>
      </c>
      <c r="U17" s="3" t="str">
        <f ca="1">IF(A17&lt;&gt;"",SUMIF('Work Indirect'!C:C,A17,'Work Indirect'!AC:AC),"")</f>
        <v/>
      </c>
      <c r="V17" s="149"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D18" s="4" t="str">
        <f ca="1">IF(OFFSET('2. Teams'!$A$1,ROW(D18)-1,COLUMN(D18)-1)="","",OFFSET('2. Teams'!$A$1,ROW(D18)-1,COLUMN(D18)-1))</f>
        <v/>
      </c>
      <c r="E18" s="4" t="str">
        <f ca="1">IF(OFFSET('2. Teams'!$A$1,ROW(E18)-1,COLUMN(E18)-1)="","",OFFSET('2. Teams'!$A$1,ROW(E18)-1,COLUMN(E18)-1))</f>
        <v/>
      </c>
      <c r="F18" s="4" t="str">
        <f ca="1">IF(OFFSET('2. Teams'!$A$1,ROW(F18)-1,COLUMN(F18)-1)="","",OFFSET('2. Teams'!$A$1,ROW(F18)-1,COLUMN(F18)-1))</f>
        <v/>
      </c>
      <c r="T18" s="3" t="str">
        <f ca="1">IF(A18&lt;&gt;"",MAX('Work Indirect'!$T:$T)+(ROW(A18)-1),"")</f>
        <v/>
      </c>
      <c r="U18" s="3" t="str">
        <f ca="1">IF(A18&lt;&gt;"",SUMIF('Work Indirect'!C:C,A18,'Work Indirect'!AC:AC),"")</f>
        <v/>
      </c>
      <c r="V18" s="149"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D19" s="4" t="str">
        <f ca="1">IF(OFFSET('2. Teams'!$A$1,ROW(D19)-1,COLUMN(D19)-1)="","",OFFSET('2. Teams'!$A$1,ROW(D19)-1,COLUMN(D19)-1))</f>
        <v/>
      </c>
      <c r="E19" s="4" t="str">
        <f ca="1">IF(OFFSET('2. Teams'!$A$1,ROW(E19)-1,COLUMN(E19)-1)="","",OFFSET('2. Teams'!$A$1,ROW(E19)-1,COLUMN(E19)-1))</f>
        <v/>
      </c>
      <c r="F19" s="4" t="str">
        <f ca="1">IF(OFFSET('2. Teams'!$A$1,ROW(F19)-1,COLUMN(F19)-1)="","",OFFSET('2. Teams'!$A$1,ROW(F19)-1,COLUMN(F19)-1))</f>
        <v/>
      </c>
      <c r="T19" s="3" t="str">
        <f ca="1">IF(A19&lt;&gt;"",MAX('Work Indirect'!$T:$T)+(ROW(A19)-1),"")</f>
        <v/>
      </c>
      <c r="U19" s="3" t="str">
        <f ca="1">IF(A19&lt;&gt;"",SUMIF('Work Indirect'!C:C,A19,'Work Indirect'!AC:AC),"")</f>
        <v/>
      </c>
      <c r="V19" s="149"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D20" s="4" t="str">
        <f ca="1">IF(OFFSET('2. Teams'!$A$1,ROW(D20)-1,COLUMN(D20)-1)="","",OFFSET('2. Teams'!$A$1,ROW(D20)-1,COLUMN(D20)-1))</f>
        <v/>
      </c>
      <c r="E20" s="4" t="str">
        <f ca="1">IF(OFFSET('2. Teams'!$A$1,ROW(E20)-1,COLUMN(E20)-1)="","",OFFSET('2. Teams'!$A$1,ROW(E20)-1,COLUMN(E20)-1))</f>
        <v/>
      </c>
      <c r="F20" s="4" t="str">
        <f ca="1">IF(OFFSET('2. Teams'!$A$1,ROW(F20)-1,COLUMN(F20)-1)="","",OFFSET('2. Teams'!$A$1,ROW(F20)-1,COLUMN(F20)-1))</f>
        <v/>
      </c>
      <c r="T20" s="3" t="str">
        <f ca="1">IF(A20&lt;&gt;"",MAX('Work Indirect'!$T:$T)+(ROW(A20)-1),"")</f>
        <v/>
      </c>
      <c r="U20" s="3" t="str">
        <f ca="1">IF(A20&lt;&gt;"",SUMIF('Work Indirect'!C:C,A20,'Work Indirect'!AC:AC),"")</f>
        <v/>
      </c>
      <c r="V20" s="149"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D21" s="4" t="str">
        <f ca="1">IF(OFFSET('2. Teams'!$A$1,ROW(D21)-1,COLUMN(D21)-1)="","",OFFSET('2. Teams'!$A$1,ROW(D21)-1,COLUMN(D21)-1))</f>
        <v/>
      </c>
      <c r="E21" s="4" t="str">
        <f ca="1">IF(OFFSET('2. Teams'!$A$1,ROW(E21)-1,COLUMN(E21)-1)="","",OFFSET('2. Teams'!$A$1,ROW(E21)-1,COLUMN(E21)-1))</f>
        <v/>
      </c>
      <c r="F21" s="4" t="str">
        <f ca="1">IF(OFFSET('2. Teams'!$A$1,ROW(F21)-1,COLUMN(F21)-1)="","",OFFSET('2. Teams'!$A$1,ROW(F21)-1,COLUMN(F21)-1))</f>
        <v/>
      </c>
      <c r="T21" s="3" t="str">
        <f ca="1">IF(A21&lt;&gt;"",MAX('Work Indirect'!$T:$T)+(ROW(A21)-1),"")</f>
        <v/>
      </c>
      <c r="U21" s="3" t="str">
        <f ca="1">IF(A21&lt;&gt;"",SUMIF('Work Indirect'!C:C,A21,'Work Indirect'!AC:AC),"")</f>
        <v/>
      </c>
      <c r="V21" s="149"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D22" s="4" t="str">
        <f ca="1">IF(OFFSET('2. Teams'!$A$1,ROW(D22)-1,COLUMN(D22)-1)="","",OFFSET('2. Teams'!$A$1,ROW(D22)-1,COLUMN(D22)-1))</f>
        <v/>
      </c>
      <c r="E22" s="4" t="str">
        <f ca="1">IF(OFFSET('2. Teams'!$A$1,ROW(E22)-1,COLUMN(E22)-1)="","",OFFSET('2. Teams'!$A$1,ROW(E22)-1,COLUMN(E22)-1))</f>
        <v/>
      </c>
      <c r="F22" s="4" t="str">
        <f ca="1">IF(OFFSET('2. Teams'!$A$1,ROW(F22)-1,COLUMN(F22)-1)="","",OFFSET('2. Teams'!$A$1,ROW(F22)-1,COLUMN(F22)-1))</f>
        <v/>
      </c>
      <c r="T22" s="3" t="str">
        <f ca="1">IF(A22&lt;&gt;"",MAX('Work Indirect'!$T:$T)+(ROW(A22)-1),"")</f>
        <v/>
      </c>
      <c r="U22" s="3" t="str">
        <f ca="1">IF(A22&lt;&gt;"",SUMIF('Work Indirect'!C:C,A22,'Work Indirect'!AC:AC),"")</f>
        <v/>
      </c>
      <c r="V22" s="149"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D23" s="4" t="str">
        <f ca="1">IF(OFFSET('2. Teams'!$A$1,ROW(D23)-1,COLUMN(D23)-1)="","",OFFSET('2. Teams'!$A$1,ROW(D23)-1,COLUMN(D23)-1))</f>
        <v/>
      </c>
      <c r="E23" s="4" t="str">
        <f ca="1">IF(OFFSET('2. Teams'!$A$1,ROW(E23)-1,COLUMN(E23)-1)="","",OFFSET('2. Teams'!$A$1,ROW(E23)-1,COLUMN(E23)-1))</f>
        <v/>
      </c>
      <c r="F23" s="4" t="str">
        <f ca="1">IF(OFFSET('2. Teams'!$A$1,ROW(F23)-1,COLUMN(F23)-1)="","",OFFSET('2. Teams'!$A$1,ROW(F23)-1,COLUMN(F23)-1))</f>
        <v/>
      </c>
      <c r="T23" s="3" t="str">
        <f ca="1">IF(A23&lt;&gt;"",MAX('Work Indirect'!$T:$T)+(ROW(A23)-1),"")</f>
        <v/>
      </c>
      <c r="U23" s="3" t="str">
        <f ca="1">IF(A23&lt;&gt;"",SUMIF('Work Indirect'!C:C,A23,'Work Indirect'!AC:AC),"")</f>
        <v/>
      </c>
      <c r="V23" s="149"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D24" s="4" t="str">
        <f ca="1">IF(OFFSET('2. Teams'!$A$1,ROW(D24)-1,COLUMN(D24)-1)="","",OFFSET('2. Teams'!$A$1,ROW(D24)-1,COLUMN(D24)-1))</f>
        <v/>
      </c>
      <c r="E24" s="4" t="str">
        <f ca="1">IF(OFFSET('2. Teams'!$A$1,ROW(E24)-1,COLUMN(E24)-1)="","",OFFSET('2. Teams'!$A$1,ROW(E24)-1,COLUMN(E24)-1))</f>
        <v/>
      </c>
      <c r="F24" s="4" t="str">
        <f ca="1">IF(OFFSET('2. Teams'!$A$1,ROW(F24)-1,COLUMN(F24)-1)="","",OFFSET('2. Teams'!$A$1,ROW(F24)-1,COLUMN(F24)-1))</f>
        <v/>
      </c>
      <c r="T24" s="3" t="str">
        <f ca="1">IF(A24&lt;&gt;"",MAX('Work Indirect'!$T:$T)+(ROW(A24)-1),"")</f>
        <v/>
      </c>
      <c r="U24" s="3" t="str">
        <f ca="1">IF(A24&lt;&gt;"",SUMIF('Work Indirect'!C:C,A24,'Work Indirect'!AC:AC),"")</f>
        <v/>
      </c>
      <c r="V24" s="149"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D25" s="4" t="str">
        <f ca="1">IF(OFFSET('2. Teams'!$A$1,ROW(D25)-1,COLUMN(D25)-1)="","",OFFSET('2. Teams'!$A$1,ROW(D25)-1,COLUMN(D25)-1))</f>
        <v/>
      </c>
      <c r="E25" s="4" t="str">
        <f ca="1">IF(OFFSET('2. Teams'!$A$1,ROW(E25)-1,COLUMN(E25)-1)="","",OFFSET('2. Teams'!$A$1,ROW(E25)-1,COLUMN(E25)-1))</f>
        <v/>
      </c>
      <c r="F25" s="4" t="str">
        <f ca="1">IF(OFFSET('2. Teams'!$A$1,ROW(F25)-1,COLUMN(F25)-1)="","",OFFSET('2. Teams'!$A$1,ROW(F25)-1,COLUMN(F25)-1))</f>
        <v/>
      </c>
      <c r="T25" s="3" t="str">
        <f ca="1">IF(A25&lt;&gt;"",MAX('Work Indirect'!$T:$T)+(ROW(A25)-1),"")</f>
        <v/>
      </c>
      <c r="U25" s="3" t="str">
        <f ca="1">IF(A25&lt;&gt;"",SUMIF('Work Indirect'!C:C,A25,'Work Indirect'!AC:AC),"")</f>
        <v/>
      </c>
      <c r="V25" s="149"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D26" s="4" t="str">
        <f ca="1">IF(OFFSET('2. Teams'!$A$1,ROW(D26)-1,COLUMN(D26)-1)="","",OFFSET('2. Teams'!$A$1,ROW(D26)-1,COLUMN(D26)-1))</f>
        <v/>
      </c>
      <c r="E26" s="4" t="str">
        <f ca="1">IF(OFFSET('2. Teams'!$A$1,ROW(E26)-1,COLUMN(E26)-1)="","",OFFSET('2. Teams'!$A$1,ROW(E26)-1,COLUMN(E26)-1))</f>
        <v/>
      </c>
      <c r="F26" s="4" t="str">
        <f ca="1">IF(OFFSET('2. Teams'!$A$1,ROW(F26)-1,COLUMN(F26)-1)="","",OFFSET('2. Teams'!$A$1,ROW(F26)-1,COLUMN(F26)-1))</f>
        <v/>
      </c>
      <c r="T26" s="3" t="str">
        <f ca="1">IF(A26&lt;&gt;"",MAX('Work Indirect'!$T:$T)+(ROW(A26)-1),"")</f>
        <v/>
      </c>
      <c r="U26" s="3" t="str">
        <f ca="1">IF(A26&lt;&gt;"",SUMIF('Work Indirect'!C:C,A26,'Work Indirect'!AC:AC),"")</f>
        <v/>
      </c>
      <c r="V26" s="149"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D27" s="4" t="str">
        <f ca="1">IF(OFFSET('2. Teams'!$A$1,ROW(D27)-1,COLUMN(D27)-1)="","",OFFSET('2. Teams'!$A$1,ROW(D27)-1,COLUMN(D27)-1))</f>
        <v/>
      </c>
      <c r="E27" s="4" t="str">
        <f ca="1">IF(OFFSET('2. Teams'!$A$1,ROW(E27)-1,COLUMN(E27)-1)="","",OFFSET('2. Teams'!$A$1,ROW(E27)-1,COLUMN(E27)-1))</f>
        <v/>
      </c>
      <c r="F27" s="4" t="str">
        <f ca="1">IF(OFFSET('2. Teams'!$A$1,ROW(F27)-1,COLUMN(F27)-1)="","",OFFSET('2. Teams'!$A$1,ROW(F27)-1,COLUMN(F27)-1))</f>
        <v/>
      </c>
      <c r="T27" s="3" t="str">
        <f ca="1">IF(A27&lt;&gt;"",MAX('Work Indirect'!$T:$T)+(ROW(A27)-1),"")</f>
        <v/>
      </c>
      <c r="U27" s="3" t="str">
        <f ca="1">IF(A27&lt;&gt;"",SUMIF('Work Indirect'!C:C,A27,'Work Indirect'!AC:AC),"")</f>
        <v/>
      </c>
      <c r="V27" s="149"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D28" s="4" t="str">
        <f ca="1">IF(OFFSET('2. Teams'!$A$1,ROW(D28)-1,COLUMN(D28)-1)="","",OFFSET('2. Teams'!$A$1,ROW(D28)-1,COLUMN(D28)-1))</f>
        <v/>
      </c>
      <c r="E28" s="4" t="str">
        <f ca="1">IF(OFFSET('2. Teams'!$A$1,ROW(E28)-1,COLUMN(E28)-1)="","",OFFSET('2. Teams'!$A$1,ROW(E28)-1,COLUMN(E28)-1))</f>
        <v/>
      </c>
      <c r="F28" s="4" t="str">
        <f ca="1">IF(OFFSET('2. Teams'!$A$1,ROW(F28)-1,COLUMN(F28)-1)="","",OFFSET('2. Teams'!$A$1,ROW(F28)-1,COLUMN(F28)-1))</f>
        <v/>
      </c>
      <c r="T28" s="3" t="str">
        <f ca="1">IF(A28&lt;&gt;"",MAX('Work Indirect'!$T:$T)+(ROW(A28)-1),"")</f>
        <v/>
      </c>
      <c r="U28" s="3" t="str">
        <f ca="1">IF(A28&lt;&gt;"",SUMIF('Work Indirect'!C:C,A28,'Work Indirect'!AC:AC),"")</f>
        <v/>
      </c>
      <c r="V28" s="149"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D29" s="4" t="str">
        <f ca="1">IF(OFFSET('2. Teams'!$A$1,ROW(D29)-1,COLUMN(D29)-1)="","",OFFSET('2. Teams'!$A$1,ROW(D29)-1,COLUMN(D29)-1))</f>
        <v/>
      </c>
      <c r="E29" s="4" t="str">
        <f ca="1">IF(OFFSET('2. Teams'!$A$1,ROW(E29)-1,COLUMN(E29)-1)="","",OFFSET('2. Teams'!$A$1,ROW(E29)-1,COLUMN(E29)-1))</f>
        <v/>
      </c>
      <c r="F29" s="4" t="str">
        <f ca="1">IF(OFFSET('2. Teams'!$A$1,ROW(F29)-1,COLUMN(F29)-1)="","",OFFSET('2. Teams'!$A$1,ROW(F29)-1,COLUMN(F29)-1))</f>
        <v/>
      </c>
      <c r="T29" s="3" t="str">
        <f ca="1">IF(A29&lt;&gt;"",MAX('Work Indirect'!$T:$T)+(ROW(A29)-1),"")</f>
        <v/>
      </c>
      <c r="U29" s="3" t="str">
        <f ca="1">IF(A29&lt;&gt;"",SUMIF('Work Indirect'!C:C,A29,'Work Indirect'!AC:AC),"")</f>
        <v/>
      </c>
      <c r="V29" s="149"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D30" s="4" t="str">
        <f ca="1">IF(OFFSET('2. Teams'!$A$1,ROW(D30)-1,COLUMN(D30)-1)="","",OFFSET('2. Teams'!$A$1,ROW(D30)-1,COLUMN(D30)-1))</f>
        <v/>
      </c>
      <c r="E30" s="4" t="str">
        <f ca="1">IF(OFFSET('2. Teams'!$A$1,ROW(E30)-1,COLUMN(E30)-1)="","",OFFSET('2. Teams'!$A$1,ROW(E30)-1,COLUMN(E30)-1))</f>
        <v/>
      </c>
      <c r="F30" s="4" t="str">
        <f ca="1">IF(OFFSET('2. Teams'!$A$1,ROW(F30)-1,COLUMN(F30)-1)="","",OFFSET('2. Teams'!$A$1,ROW(F30)-1,COLUMN(F30)-1))</f>
        <v/>
      </c>
      <c r="T30" s="3" t="str">
        <f ca="1">IF(A30&lt;&gt;"",MAX('Work Indirect'!$T:$T)+(ROW(A30)-1),"")</f>
        <v/>
      </c>
      <c r="U30" s="3" t="str">
        <f ca="1">IF(A30&lt;&gt;"",SUMIF('Work Indirect'!C:C,A30,'Work Indirect'!AC:AC),"")</f>
        <v/>
      </c>
      <c r="V30" s="149"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D31" s="4" t="str">
        <f ca="1">IF(OFFSET('2. Teams'!$A$1,ROW(D31)-1,COLUMN(D31)-1)="","",OFFSET('2. Teams'!$A$1,ROW(D31)-1,COLUMN(D31)-1))</f>
        <v/>
      </c>
      <c r="E31" s="4" t="str">
        <f ca="1">IF(OFFSET('2. Teams'!$A$1,ROW(E31)-1,COLUMN(E31)-1)="","",OFFSET('2. Teams'!$A$1,ROW(E31)-1,COLUMN(E31)-1))</f>
        <v/>
      </c>
      <c r="F31" s="4" t="str">
        <f ca="1">IF(OFFSET('2. Teams'!$A$1,ROW(F31)-1,COLUMN(F31)-1)="","",OFFSET('2. Teams'!$A$1,ROW(F31)-1,COLUMN(F31)-1))</f>
        <v/>
      </c>
      <c r="T31" s="3" t="str">
        <f ca="1">IF(A31&lt;&gt;"",MAX('Work Indirect'!$T:$T)+(ROW(A31)-1),"")</f>
        <v/>
      </c>
      <c r="U31" s="3" t="str">
        <f ca="1">IF(A31&lt;&gt;"",SUMIF('Work Indirect'!C:C,A31,'Work Indirect'!AC:AC),"")</f>
        <v/>
      </c>
      <c r="V31" s="149"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D32" s="4" t="str">
        <f ca="1">IF(OFFSET('2. Teams'!$A$1,ROW(D32)-1,COLUMN(D32)-1)="","",OFFSET('2. Teams'!$A$1,ROW(D32)-1,COLUMN(D32)-1))</f>
        <v/>
      </c>
      <c r="E32" s="4" t="str">
        <f ca="1">IF(OFFSET('2. Teams'!$A$1,ROW(E32)-1,COLUMN(E32)-1)="","",OFFSET('2. Teams'!$A$1,ROW(E32)-1,COLUMN(E32)-1))</f>
        <v/>
      </c>
      <c r="F32" s="4" t="str">
        <f ca="1">IF(OFFSET('2. Teams'!$A$1,ROW(F32)-1,COLUMN(F32)-1)="","",OFFSET('2. Teams'!$A$1,ROW(F32)-1,COLUMN(F32)-1))</f>
        <v/>
      </c>
      <c r="T32" s="3" t="str">
        <f ca="1">IF(A32&lt;&gt;"",MAX('Work Indirect'!$T:$T)+(ROW(A32)-1),"")</f>
        <v/>
      </c>
      <c r="U32" s="3" t="str">
        <f ca="1">IF(A32&lt;&gt;"",SUMIF('Work Indirect'!C:C,A32,'Work Indirect'!AC:AC),"")</f>
        <v/>
      </c>
      <c r="V32" s="149"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D33" s="4" t="str">
        <f ca="1">IF(OFFSET('2. Teams'!$A$1,ROW(D33)-1,COLUMN(D33)-1)="","",OFFSET('2. Teams'!$A$1,ROW(D33)-1,COLUMN(D33)-1))</f>
        <v/>
      </c>
      <c r="E33" s="4" t="str">
        <f ca="1">IF(OFFSET('2. Teams'!$A$1,ROW(E33)-1,COLUMN(E33)-1)="","",OFFSET('2. Teams'!$A$1,ROW(E33)-1,COLUMN(E33)-1))</f>
        <v/>
      </c>
      <c r="F33" s="4" t="str">
        <f ca="1">IF(OFFSET('2. Teams'!$A$1,ROW(F33)-1,COLUMN(F33)-1)="","",OFFSET('2. Teams'!$A$1,ROW(F33)-1,COLUMN(F33)-1))</f>
        <v/>
      </c>
      <c r="T33" s="3" t="str">
        <f ca="1">IF(A33&lt;&gt;"",MAX('Work Indirect'!$T:$T)+(ROW(A33)-1),"")</f>
        <v/>
      </c>
      <c r="U33" s="3" t="str">
        <f ca="1">IF(A33&lt;&gt;"",SUMIF('Work Indirect'!C:C,A33,'Work Indirect'!AC:AC),"")</f>
        <v/>
      </c>
      <c r="V33" s="149"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D34" s="4" t="str">
        <f ca="1">IF(OFFSET('2. Teams'!$A$1,ROW(D34)-1,COLUMN(D34)-1)="","",OFFSET('2. Teams'!$A$1,ROW(D34)-1,COLUMN(D34)-1))</f>
        <v/>
      </c>
      <c r="E34" s="4" t="str">
        <f ca="1">IF(OFFSET('2. Teams'!$A$1,ROW(E34)-1,COLUMN(E34)-1)="","",OFFSET('2. Teams'!$A$1,ROW(E34)-1,COLUMN(E34)-1))</f>
        <v/>
      </c>
      <c r="F34" s="4" t="str">
        <f ca="1">IF(OFFSET('2. Teams'!$A$1,ROW(F34)-1,COLUMN(F34)-1)="","",OFFSET('2. Teams'!$A$1,ROW(F34)-1,COLUMN(F34)-1))</f>
        <v/>
      </c>
      <c r="T34" s="3" t="str">
        <f ca="1">IF(A34&lt;&gt;"",MAX('Work Indirect'!$T:$T)+(ROW(A34)-1),"")</f>
        <v/>
      </c>
      <c r="U34" s="3" t="str">
        <f ca="1">IF(A34&lt;&gt;"",SUMIF('Work Indirect'!C:C,A34,'Work Indirect'!AC:AC),"")</f>
        <v/>
      </c>
      <c r="V34" s="149"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D35" s="4" t="str">
        <f ca="1">IF(OFFSET('2. Teams'!$A$1,ROW(D35)-1,COLUMN(D35)-1)="","",OFFSET('2. Teams'!$A$1,ROW(D35)-1,COLUMN(D35)-1))</f>
        <v/>
      </c>
      <c r="E35" s="4" t="str">
        <f ca="1">IF(OFFSET('2. Teams'!$A$1,ROW(E35)-1,COLUMN(E35)-1)="","",OFFSET('2. Teams'!$A$1,ROW(E35)-1,COLUMN(E35)-1))</f>
        <v/>
      </c>
      <c r="F35" s="4" t="str">
        <f ca="1">IF(OFFSET('2. Teams'!$A$1,ROW(F35)-1,COLUMN(F35)-1)="","",OFFSET('2. Teams'!$A$1,ROW(F35)-1,COLUMN(F35)-1))</f>
        <v/>
      </c>
      <c r="T35" s="3" t="str">
        <f ca="1">IF(A35&lt;&gt;"",MAX('Work Indirect'!$T:$T)+(ROW(A35)-1),"")</f>
        <v/>
      </c>
      <c r="U35" s="3" t="str">
        <f ca="1">IF(A35&lt;&gt;"",SUMIF('Work Indirect'!C:C,A35,'Work Indirect'!AC:AC),"")</f>
        <v/>
      </c>
      <c r="V35" s="149"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D36" s="4" t="str">
        <f ca="1">IF(OFFSET('2. Teams'!$A$1,ROW(D36)-1,COLUMN(D36)-1)="","",OFFSET('2. Teams'!$A$1,ROW(D36)-1,COLUMN(D36)-1))</f>
        <v/>
      </c>
      <c r="E36" s="4" t="str">
        <f ca="1">IF(OFFSET('2. Teams'!$A$1,ROW(E36)-1,COLUMN(E36)-1)="","",OFFSET('2. Teams'!$A$1,ROW(E36)-1,COLUMN(E36)-1))</f>
        <v/>
      </c>
      <c r="F36" s="4" t="str">
        <f ca="1">IF(OFFSET('2. Teams'!$A$1,ROW(F36)-1,COLUMN(F36)-1)="","",OFFSET('2. Teams'!$A$1,ROW(F36)-1,COLUMN(F36)-1))</f>
        <v/>
      </c>
      <c r="T36" s="3" t="str">
        <f ca="1">IF(A36&lt;&gt;"",MAX('Work Indirect'!$T:$T)+(ROW(A36)-1),"")</f>
        <v/>
      </c>
      <c r="U36" s="3" t="str">
        <f ca="1">IF(A36&lt;&gt;"",SUMIF('Work Indirect'!C:C,A36,'Work Indirect'!AC:AC),"")</f>
        <v/>
      </c>
      <c r="V36" s="149"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D37" s="4" t="str">
        <f ca="1">IF(OFFSET('2. Teams'!$A$1,ROW(D37)-1,COLUMN(D37)-1)="","",OFFSET('2. Teams'!$A$1,ROW(D37)-1,COLUMN(D37)-1))</f>
        <v/>
      </c>
      <c r="E37" s="4" t="str">
        <f ca="1">IF(OFFSET('2. Teams'!$A$1,ROW(E37)-1,COLUMN(E37)-1)="","",OFFSET('2. Teams'!$A$1,ROW(E37)-1,COLUMN(E37)-1))</f>
        <v/>
      </c>
      <c r="F37" s="4" t="str">
        <f ca="1">IF(OFFSET('2. Teams'!$A$1,ROW(F37)-1,COLUMN(F37)-1)="","",OFFSET('2. Teams'!$A$1,ROW(F37)-1,COLUMN(F37)-1))</f>
        <v/>
      </c>
      <c r="T37" s="3" t="str">
        <f ca="1">IF(A37&lt;&gt;"",MAX('Work Indirect'!$T:$T)+(ROW(A37)-1),"")</f>
        <v/>
      </c>
      <c r="U37" s="3" t="str">
        <f ca="1">IF(A37&lt;&gt;"",SUMIF('Work Indirect'!C:C,A37,'Work Indirect'!AC:AC),"")</f>
        <v/>
      </c>
      <c r="V37" s="149"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D38" s="4" t="str">
        <f ca="1">IF(OFFSET('2. Teams'!$A$1,ROW(D38)-1,COLUMN(D38)-1)="","",OFFSET('2. Teams'!$A$1,ROW(D38)-1,COLUMN(D38)-1))</f>
        <v/>
      </c>
      <c r="E38" s="4" t="str">
        <f ca="1">IF(OFFSET('2. Teams'!$A$1,ROW(E38)-1,COLUMN(E38)-1)="","",OFFSET('2. Teams'!$A$1,ROW(E38)-1,COLUMN(E38)-1))</f>
        <v/>
      </c>
      <c r="F38" s="4" t="str">
        <f ca="1">IF(OFFSET('2. Teams'!$A$1,ROW(F38)-1,COLUMN(F38)-1)="","",OFFSET('2. Teams'!$A$1,ROW(F38)-1,COLUMN(F38)-1))</f>
        <v/>
      </c>
      <c r="T38" s="3" t="str">
        <f ca="1">IF(A38&lt;&gt;"",MAX('Work Indirect'!$T:$T)+(ROW(A38)-1),"")</f>
        <v/>
      </c>
      <c r="U38" s="3" t="str">
        <f ca="1">IF(A38&lt;&gt;"",SUMIF('Work Indirect'!C:C,A38,'Work Indirect'!AC:AC),"")</f>
        <v/>
      </c>
      <c r="V38" s="149"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D39" s="4" t="str">
        <f ca="1">IF(OFFSET('2. Teams'!$A$1,ROW(D39)-1,COLUMN(D39)-1)="","",OFFSET('2. Teams'!$A$1,ROW(D39)-1,COLUMN(D39)-1))</f>
        <v/>
      </c>
      <c r="E39" s="4" t="str">
        <f ca="1">IF(OFFSET('2. Teams'!$A$1,ROW(E39)-1,COLUMN(E39)-1)="","",OFFSET('2. Teams'!$A$1,ROW(E39)-1,COLUMN(E39)-1))</f>
        <v/>
      </c>
      <c r="F39" s="4" t="str">
        <f ca="1">IF(OFFSET('2. Teams'!$A$1,ROW(F39)-1,COLUMN(F39)-1)="","",OFFSET('2. Teams'!$A$1,ROW(F39)-1,COLUMN(F39)-1))</f>
        <v/>
      </c>
      <c r="T39" s="3" t="str">
        <f ca="1">IF(A39&lt;&gt;"",MAX('Work Indirect'!$T:$T)+(ROW(A39)-1),"")</f>
        <v/>
      </c>
      <c r="U39" s="3" t="str">
        <f ca="1">IF(A39&lt;&gt;"",SUMIF('Work Indirect'!C:C,A39,'Work Indirect'!AC:AC),"")</f>
        <v/>
      </c>
      <c r="V39" s="149"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D40" s="4" t="str">
        <f ca="1">IF(OFFSET('2. Teams'!$A$1,ROW(D40)-1,COLUMN(D40)-1)="","",OFFSET('2. Teams'!$A$1,ROW(D40)-1,COLUMN(D40)-1))</f>
        <v/>
      </c>
      <c r="E40" s="4" t="str">
        <f ca="1">IF(OFFSET('2. Teams'!$A$1,ROW(E40)-1,COLUMN(E40)-1)="","",OFFSET('2. Teams'!$A$1,ROW(E40)-1,COLUMN(E40)-1))</f>
        <v/>
      </c>
      <c r="F40" s="4" t="str">
        <f ca="1">IF(OFFSET('2. Teams'!$A$1,ROW(F40)-1,COLUMN(F40)-1)="","",OFFSET('2. Teams'!$A$1,ROW(F40)-1,COLUMN(F40)-1))</f>
        <v/>
      </c>
      <c r="T40" s="3" t="str">
        <f ca="1">IF(A40&lt;&gt;"",MAX('Work Indirect'!$T:$T)+(ROW(A40)-1),"")</f>
        <v/>
      </c>
      <c r="U40" s="3" t="str">
        <f ca="1">IF(A40&lt;&gt;"",SUMIF('Work Indirect'!C:C,A40,'Work Indirect'!AC:AC),"")</f>
        <v/>
      </c>
      <c r="V40" s="149"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D41" s="4" t="str">
        <f ca="1">IF(OFFSET('2. Teams'!$A$1,ROW(D41)-1,COLUMN(D41)-1)="","",OFFSET('2. Teams'!$A$1,ROW(D41)-1,COLUMN(D41)-1))</f>
        <v/>
      </c>
      <c r="E41" s="4" t="str">
        <f ca="1">IF(OFFSET('2. Teams'!$A$1,ROW(E41)-1,COLUMN(E41)-1)="","",OFFSET('2. Teams'!$A$1,ROW(E41)-1,COLUMN(E41)-1))</f>
        <v/>
      </c>
      <c r="F41" s="4" t="str">
        <f ca="1">IF(OFFSET('2. Teams'!$A$1,ROW(F41)-1,COLUMN(F41)-1)="","",OFFSET('2. Teams'!$A$1,ROW(F41)-1,COLUMN(F41)-1))</f>
        <v/>
      </c>
      <c r="T41" s="3" t="str">
        <f ca="1">IF(A41&lt;&gt;"",MAX('Work Indirect'!$T:$T)+(ROW(A41)-1),"")</f>
        <v/>
      </c>
      <c r="U41" s="3" t="str">
        <f ca="1">IF(A41&lt;&gt;"",SUMIF('Work Indirect'!C:C,A41,'Work Indirect'!AC:AC),"")</f>
        <v/>
      </c>
      <c r="V41" s="149"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D42" s="4" t="str">
        <f ca="1">IF(OFFSET('2. Teams'!$A$1,ROW(D42)-1,COLUMN(D42)-1)="","",OFFSET('2. Teams'!$A$1,ROW(D42)-1,COLUMN(D42)-1))</f>
        <v/>
      </c>
      <c r="E42" s="4" t="str">
        <f ca="1">IF(OFFSET('2. Teams'!$A$1,ROW(E42)-1,COLUMN(E42)-1)="","",OFFSET('2. Teams'!$A$1,ROW(E42)-1,COLUMN(E42)-1))</f>
        <v/>
      </c>
      <c r="F42" s="4" t="str">
        <f ca="1">IF(OFFSET('2. Teams'!$A$1,ROW(F42)-1,COLUMN(F42)-1)="","",OFFSET('2. Teams'!$A$1,ROW(F42)-1,COLUMN(F42)-1))</f>
        <v/>
      </c>
      <c r="T42" s="3" t="str">
        <f ca="1">IF(A42&lt;&gt;"",MAX('Work Indirect'!$T:$T)+(ROW(A42)-1),"")</f>
        <v/>
      </c>
      <c r="U42" s="3" t="str">
        <f ca="1">IF(A42&lt;&gt;"",SUMIF('Work Indirect'!C:C,A42,'Work Indirect'!AC:AC),"")</f>
        <v/>
      </c>
      <c r="V42" s="149"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D43" s="4" t="str">
        <f ca="1">IF(OFFSET('2. Teams'!$A$1,ROW(D43)-1,COLUMN(D43)-1)="","",OFFSET('2. Teams'!$A$1,ROW(D43)-1,COLUMN(D43)-1))</f>
        <v/>
      </c>
      <c r="E43" s="4" t="str">
        <f ca="1">IF(OFFSET('2. Teams'!$A$1,ROW(E43)-1,COLUMN(E43)-1)="","",OFFSET('2. Teams'!$A$1,ROW(E43)-1,COLUMN(E43)-1))</f>
        <v/>
      </c>
      <c r="F43" s="4" t="str">
        <f ca="1">IF(OFFSET('2. Teams'!$A$1,ROW(F43)-1,COLUMN(F43)-1)="","",OFFSET('2. Teams'!$A$1,ROW(F43)-1,COLUMN(F43)-1))</f>
        <v/>
      </c>
      <c r="T43" s="3" t="str">
        <f ca="1">IF(A43&lt;&gt;"",MAX('Work Indirect'!$T:$T)+(ROW(A43)-1),"")</f>
        <v/>
      </c>
      <c r="U43" s="3" t="str">
        <f ca="1">IF(A43&lt;&gt;"",SUMIF('Work Indirect'!C:C,A43,'Work Indirect'!AC:AC),"")</f>
        <v/>
      </c>
      <c r="V43" s="149"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D44" s="4" t="str">
        <f ca="1">IF(OFFSET('2. Teams'!$A$1,ROW(D44)-1,COLUMN(D44)-1)="","",OFFSET('2. Teams'!$A$1,ROW(D44)-1,COLUMN(D44)-1))</f>
        <v/>
      </c>
      <c r="E44" s="4" t="str">
        <f ca="1">IF(OFFSET('2. Teams'!$A$1,ROW(E44)-1,COLUMN(E44)-1)="","",OFFSET('2. Teams'!$A$1,ROW(E44)-1,COLUMN(E44)-1))</f>
        <v/>
      </c>
      <c r="F44" s="4" t="str">
        <f ca="1">IF(OFFSET('2. Teams'!$A$1,ROW(F44)-1,COLUMN(F44)-1)="","",OFFSET('2. Teams'!$A$1,ROW(F44)-1,COLUMN(F44)-1))</f>
        <v/>
      </c>
      <c r="T44" s="3" t="str">
        <f ca="1">IF(A44&lt;&gt;"",MAX('Work Indirect'!$T:$T)+(ROW(A44)-1),"")</f>
        <v/>
      </c>
      <c r="U44" s="3" t="str">
        <f ca="1">IF(A44&lt;&gt;"",SUMIF('Work Indirect'!C:C,A44,'Work Indirect'!AC:AC),"")</f>
        <v/>
      </c>
      <c r="V44" s="149"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D45" s="4" t="str">
        <f ca="1">IF(OFFSET('2. Teams'!$A$1,ROW(D45)-1,COLUMN(D45)-1)="","",OFFSET('2. Teams'!$A$1,ROW(D45)-1,COLUMN(D45)-1))</f>
        <v/>
      </c>
      <c r="E45" s="4" t="str">
        <f ca="1">IF(OFFSET('2. Teams'!$A$1,ROW(E45)-1,COLUMN(E45)-1)="","",OFFSET('2. Teams'!$A$1,ROW(E45)-1,COLUMN(E45)-1))</f>
        <v/>
      </c>
      <c r="F45" s="4" t="str">
        <f ca="1">IF(OFFSET('2. Teams'!$A$1,ROW(F45)-1,COLUMN(F45)-1)="","",OFFSET('2. Teams'!$A$1,ROW(F45)-1,COLUMN(F45)-1))</f>
        <v/>
      </c>
      <c r="T45" s="3" t="str">
        <f ca="1">IF(A45&lt;&gt;"",MAX('Work Indirect'!$T:$T)+(ROW(A45)-1),"")</f>
        <v/>
      </c>
      <c r="U45" s="3" t="str">
        <f ca="1">IF(A45&lt;&gt;"",SUMIF('Work Indirect'!C:C,A45,'Work Indirect'!AC:AC),"")</f>
        <v/>
      </c>
      <c r="V45" s="149"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D46" s="4" t="str">
        <f ca="1">IF(OFFSET('2. Teams'!$A$1,ROW(D46)-1,COLUMN(D46)-1)="","",OFFSET('2. Teams'!$A$1,ROW(D46)-1,COLUMN(D46)-1))</f>
        <v/>
      </c>
      <c r="E46" s="4" t="str">
        <f ca="1">IF(OFFSET('2. Teams'!$A$1,ROW(E46)-1,COLUMN(E46)-1)="","",OFFSET('2. Teams'!$A$1,ROW(E46)-1,COLUMN(E46)-1))</f>
        <v/>
      </c>
      <c r="F46" s="4" t="str">
        <f ca="1">IF(OFFSET('2. Teams'!$A$1,ROW(F46)-1,COLUMN(F46)-1)="","",OFFSET('2. Teams'!$A$1,ROW(F46)-1,COLUMN(F46)-1))</f>
        <v/>
      </c>
      <c r="T46" s="3" t="str">
        <f ca="1">IF(A46&lt;&gt;"",MAX('Work Indirect'!$T:$T)+(ROW(A46)-1),"")</f>
        <v/>
      </c>
      <c r="U46" s="3" t="str">
        <f ca="1">IF(A46&lt;&gt;"",SUMIF('Work Indirect'!C:C,A46,'Work Indirect'!AC:AC),"")</f>
        <v/>
      </c>
      <c r="V46" s="149"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D47" s="4" t="str">
        <f ca="1">IF(OFFSET('2. Teams'!$A$1,ROW(D47)-1,COLUMN(D47)-1)="","",OFFSET('2. Teams'!$A$1,ROW(D47)-1,COLUMN(D47)-1))</f>
        <v/>
      </c>
      <c r="E47" s="4" t="str">
        <f ca="1">IF(OFFSET('2. Teams'!$A$1,ROW(E47)-1,COLUMN(E47)-1)="","",OFFSET('2. Teams'!$A$1,ROW(E47)-1,COLUMN(E47)-1))</f>
        <v/>
      </c>
      <c r="F47" s="4" t="str">
        <f ca="1">IF(OFFSET('2. Teams'!$A$1,ROW(F47)-1,COLUMN(F47)-1)="","",OFFSET('2. Teams'!$A$1,ROW(F47)-1,COLUMN(F47)-1))</f>
        <v/>
      </c>
      <c r="T47" s="3" t="str">
        <f ca="1">IF(A47&lt;&gt;"",MAX('Work Indirect'!$T:$T)+(ROW(A47)-1),"")</f>
        <v/>
      </c>
      <c r="U47" s="3" t="str">
        <f ca="1">IF(A47&lt;&gt;"",SUMIF('Work Indirect'!C:C,A47,'Work Indirect'!AC:AC),"")</f>
        <v/>
      </c>
      <c r="V47" s="149"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D48" s="4" t="str">
        <f ca="1">IF(OFFSET('2. Teams'!$A$1,ROW(D48)-1,COLUMN(D48)-1)="","",OFFSET('2. Teams'!$A$1,ROW(D48)-1,COLUMN(D48)-1))</f>
        <v/>
      </c>
      <c r="E48" s="4" t="str">
        <f ca="1">IF(OFFSET('2. Teams'!$A$1,ROW(E48)-1,COLUMN(E48)-1)="","",OFFSET('2. Teams'!$A$1,ROW(E48)-1,COLUMN(E48)-1))</f>
        <v/>
      </c>
      <c r="F48" s="4" t="str">
        <f ca="1">IF(OFFSET('2. Teams'!$A$1,ROW(F48)-1,COLUMN(F48)-1)="","",OFFSET('2. Teams'!$A$1,ROW(F48)-1,COLUMN(F48)-1))</f>
        <v/>
      </c>
      <c r="T48" s="3" t="str">
        <f ca="1">IF(A48&lt;&gt;"",MAX('Work Indirect'!$T:$T)+(ROW(A48)-1),"")</f>
        <v/>
      </c>
      <c r="U48" s="3" t="str">
        <f ca="1">IF(A48&lt;&gt;"",SUMIF('Work Indirect'!C:C,A48,'Work Indirect'!AC:AC),"")</f>
        <v/>
      </c>
      <c r="V48" s="149"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D49" s="4" t="str">
        <f ca="1">IF(OFFSET('2. Teams'!$A$1,ROW(D49)-1,COLUMN(D49)-1)="","",OFFSET('2. Teams'!$A$1,ROW(D49)-1,COLUMN(D49)-1))</f>
        <v/>
      </c>
      <c r="E49" s="4" t="str">
        <f ca="1">IF(OFFSET('2. Teams'!$A$1,ROW(E49)-1,COLUMN(E49)-1)="","",OFFSET('2. Teams'!$A$1,ROW(E49)-1,COLUMN(E49)-1))</f>
        <v/>
      </c>
      <c r="F49" s="4" t="str">
        <f ca="1">IF(OFFSET('2. Teams'!$A$1,ROW(F49)-1,COLUMN(F49)-1)="","",OFFSET('2. Teams'!$A$1,ROW(F49)-1,COLUMN(F49)-1))</f>
        <v/>
      </c>
      <c r="T49" s="3" t="str">
        <f ca="1">IF(A49&lt;&gt;"",MAX('Work Indirect'!$T:$T)+(ROW(A49)-1),"")</f>
        <v/>
      </c>
      <c r="U49" s="3" t="str">
        <f ca="1">IF(A49&lt;&gt;"",SUMIF('Work Indirect'!C:C,A49,'Work Indirect'!AC:AC),"")</f>
        <v/>
      </c>
      <c r="V49" s="149"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D50" s="4" t="str">
        <f ca="1">IF(OFFSET('2. Teams'!$A$1,ROW(D50)-1,COLUMN(D50)-1)="","",OFFSET('2. Teams'!$A$1,ROW(D50)-1,COLUMN(D50)-1))</f>
        <v/>
      </c>
      <c r="E50" s="4" t="str">
        <f ca="1">IF(OFFSET('2. Teams'!$A$1,ROW(E50)-1,COLUMN(E50)-1)="","",OFFSET('2. Teams'!$A$1,ROW(E50)-1,COLUMN(E50)-1))</f>
        <v/>
      </c>
      <c r="F50" s="4" t="str">
        <f ca="1">IF(OFFSET('2. Teams'!$A$1,ROW(F50)-1,COLUMN(F50)-1)="","",OFFSET('2. Teams'!$A$1,ROW(F50)-1,COLUMN(F50)-1))</f>
        <v/>
      </c>
      <c r="T50" s="3" t="str">
        <f ca="1">IF(A50&lt;&gt;"",MAX('Work Indirect'!$T:$T)+(ROW(A50)-1),"")</f>
        <v/>
      </c>
      <c r="U50" s="3" t="str">
        <f ca="1">IF(A50&lt;&gt;"",SUMIF('Work Indirect'!C:C,A50,'Work Indirect'!AC:AC),"")</f>
        <v/>
      </c>
      <c r="V50" s="149"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D51" s="4" t="str">
        <f ca="1">IF(OFFSET('2. Teams'!$A$1,ROW(D51)-1,COLUMN(D51)-1)="","",OFFSET('2. Teams'!$A$1,ROW(D51)-1,COLUMN(D51)-1))</f>
        <v/>
      </c>
      <c r="E51" s="4" t="str">
        <f ca="1">IF(OFFSET('2. Teams'!$A$1,ROW(E51)-1,COLUMN(E51)-1)="","",OFFSET('2. Teams'!$A$1,ROW(E51)-1,COLUMN(E51)-1))</f>
        <v/>
      </c>
      <c r="F51" s="4" t="str">
        <f ca="1">IF(OFFSET('2. Teams'!$A$1,ROW(F51)-1,COLUMN(F51)-1)="","",OFFSET('2. Teams'!$A$1,ROW(F51)-1,COLUMN(F51)-1))</f>
        <v/>
      </c>
      <c r="T51" s="3" t="str">
        <f ca="1">IF(A51&lt;&gt;"",MAX('Work Indirect'!$T:$T)+(ROW(A51)-1),"")</f>
        <v/>
      </c>
      <c r="U51" s="3" t="str">
        <f ca="1">IF(A51&lt;&gt;"",SUMIF('Work Indirect'!C:C,A51,'Work Indirect'!AC:AC),"")</f>
        <v/>
      </c>
      <c r="V51" s="149"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D52" s="4" t="str">
        <f ca="1">IF(OFFSET('2. Teams'!$A$1,ROW(D52)-1,COLUMN(D52)-1)="","",OFFSET('2. Teams'!$A$1,ROW(D52)-1,COLUMN(D52)-1))</f>
        <v/>
      </c>
      <c r="E52" s="4" t="str">
        <f ca="1">IF(OFFSET('2. Teams'!$A$1,ROW(E52)-1,COLUMN(E52)-1)="","",OFFSET('2. Teams'!$A$1,ROW(E52)-1,COLUMN(E52)-1))</f>
        <v/>
      </c>
      <c r="F52" s="4" t="str">
        <f ca="1">IF(OFFSET('2. Teams'!$A$1,ROW(F52)-1,COLUMN(F52)-1)="","",OFFSET('2. Teams'!$A$1,ROW(F52)-1,COLUMN(F52)-1))</f>
        <v/>
      </c>
      <c r="T52" s="3" t="str">
        <f ca="1">IF(A52&lt;&gt;"",MAX('Work Indirect'!$T:$T)+(ROW(A52)-1),"")</f>
        <v/>
      </c>
      <c r="U52" s="3" t="str">
        <f ca="1">IF(A52&lt;&gt;"",SUMIF('Work Indirect'!C:C,A52,'Work Indirect'!AC:AC),"")</f>
        <v/>
      </c>
      <c r="V52" s="149"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D53" s="4" t="str">
        <f ca="1">IF(OFFSET('2. Teams'!$A$1,ROW(D53)-1,COLUMN(D53)-1)="","",OFFSET('2. Teams'!$A$1,ROW(D53)-1,COLUMN(D53)-1))</f>
        <v/>
      </c>
      <c r="E53" s="4" t="str">
        <f ca="1">IF(OFFSET('2. Teams'!$A$1,ROW(E53)-1,COLUMN(E53)-1)="","",OFFSET('2. Teams'!$A$1,ROW(E53)-1,COLUMN(E53)-1))</f>
        <v/>
      </c>
      <c r="F53" s="4" t="str">
        <f ca="1">IF(OFFSET('2. Teams'!$A$1,ROW(F53)-1,COLUMN(F53)-1)="","",OFFSET('2. Teams'!$A$1,ROW(F53)-1,COLUMN(F53)-1))</f>
        <v/>
      </c>
      <c r="T53" s="3" t="str">
        <f ca="1">IF(A53&lt;&gt;"",MAX('Work Indirect'!$T:$T)+(ROW(A53)-1),"")</f>
        <v/>
      </c>
      <c r="U53" s="3" t="str">
        <f ca="1">IF(A53&lt;&gt;"",SUMIF('Work Indirect'!C:C,A53,'Work Indirect'!AC:AC),"")</f>
        <v/>
      </c>
      <c r="V53" s="149"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D54" s="4" t="str">
        <f ca="1">IF(OFFSET('2. Teams'!$A$1,ROW(D54)-1,COLUMN(D54)-1)="","",OFFSET('2. Teams'!$A$1,ROW(D54)-1,COLUMN(D54)-1))</f>
        <v/>
      </c>
      <c r="E54" s="4" t="str">
        <f ca="1">IF(OFFSET('2. Teams'!$A$1,ROW(E54)-1,COLUMN(E54)-1)="","",OFFSET('2. Teams'!$A$1,ROW(E54)-1,COLUMN(E54)-1))</f>
        <v/>
      </c>
      <c r="F54" s="4" t="str">
        <f ca="1">IF(OFFSET('2. Teams'!$A$1,ROW(F54)-1,COLUMN(F54)-1)="","",OFFSET('2. Teams'!$A$1,ROW(F54)-1,COLUMN(F54)-1))</f>
        <v/>
      </c>
      <c r="T54" s="3" t="str">
        <f ca="1">IF(A54&lt;&gt;"",MAX('Work Indirect'!$T:$T)+(ROW(A54)-1),"")</f>
        <v/>
      </c>
      <c r="U54" s="3" t="str">
        <f ca="1">IF(A54&lt;&gt;"",SUMIF('Work Indirect'!C:C,A54,'Work Indirect'!AC:AC),"")</f>
        <v/>
      </c>
      <c r="V54" s="149"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D55" s="4" t="str">
        <f ca="1">IF(OFFSET('2. Teams'!$A$1,ROW(D55)-1,COLUMN(D55)-1)="","",OFFSET('2. Teams'!$A$1,ROW(D55)-1,COLUMN(D55)-1))</f>
        <v/>
      </c>
      <c r="E55" s="4" t="str">
        <f ca="1">IF(OFFSET('2. Teams'!$A$1,ROW(E55)-1,COLUMN(E55)-1)="","",OFFSET('2. Teams'!$A$1,ROW(E55)-1,COLUMN(E55)-1))</f>
        <v/>
      </c>
      <c r="F55" s="4" t="str">
        <f ca="1">IF(OFFSET('2. Teams'!$A$1,ROW(F55)-1,COLUMN(F55)-1)="","",OFFSET('2. Teams'!$A$1,ROW(F55)-1,COLUMN(F55)-1))</f>
        <v/>
      </c>
      <c r="T55" s="3" t="str">
        <f ca="1">IF(A55&lt;&gt;"",MAX('Work Indirect'!$T:$T)+(ROW(A55)-1),"")</f>
        <v/>
      </c>
      <c r="U55" s="3" t="str">
        <f ca="1">IF(A55&lt;&gt;"",SUMIF('Work Indirect'!C:C,A55,'Work Indirect'!AC:AC),"")</f>
        <v/>
      </c>
      <c r="V55" s="149"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D56" s="4" t="str">
        <f ca="1">IF(OFFSET('2. Teams'!$A$1,ROW(D56)-1,COLUMN(D56)-1)="","",OFFSET('2. Teams'!$A$1,ROW(D56)-1,COLUMN(D56)-1))</f>
        <v/>
      </c>
      <c r="E56" s="4" t="str">
        <f ca="1">IF(OFFSET('2. Teams'!$A$1,ROW(E56)-1,COLUMN(E56)-1)="","",OFFSET('2. Teams'!$A$1,ROW(E56)-1,COLUMN(E56)-1))</f>
        <v/>
      </c>
      <c r="F56" s="4" t="str">
        <f ca="1">IF(OFFSET('2. Teams'!$A$1,ROW(F56)-1,COLUMN(F56)-1)="","",OFFSET('2. Teams'!$A$1,ROW(F56)-1,COLUMN(F56)-1))</f>
        <v/>
      </c>
      <c r="T56" s="3" t="str">
        <f ca="1">IF(A56&lt;&gt;"",MAX('Work Indirect'!$T:$T)+(ROW(A56)-1),"")</f>
        <v/>
      </c>
      <c r="U56" s="3" t="str">
        <f ca="1">IF(A56&lt;&gt;"",SUMIF('Work Indirect'!C:C,A56,'Work Indirect'!AC:AC),"")</f>
        <v/>
      </c>
      <c r="V56" s="149"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D57" s="4" t="str">
        <f ca="1">IF(OFFSET('2. Teams'!$A$1,ROW(D57)-1,COLUMN(D57)-1)="","",OFFSET('2. Teams'!$A$1,ROW(D57)-1,COLUMN(D57)-1))</f>
        <v/>
      </c>
      <c r="E57" s="4" t="str">
        <f ca="1">IF(OFFSET('2. Teams'!$A$1,ROW(E57)-1,COLUMN(E57)-1)="","",OFFSET('2. Teams'!$A$1,ROW(E57)-1,COLUMN(E57)-1))</f>
        <v/>
      </c>
      <c r="F57" s="4" t="str">
        <f ca="1">IF(OFFSET('2. Teams'!$A$1,ROW(F57)-1,COLUMN(F57)-1)="","",OFFSET('2. Teams'!$A$1,ROW(F57)-1,COLUMN(F57)-1))</f>
        <v/>
      </c>
      <c r="T57" s="3" t="str">
        <f ca="1">IF(A57&lt;&gt;"",MAX('Work Indirect'!$T:$T)+(ROW(A57)-1),"")</f>
        <v/>
      </c>
      <c r="U57" s="3" t="str">
        <f ca="1">IF(A57&lt;&gt;"",SUMIF('Work Indirect'!C:C,A57,'Work Indirect'!AC:AC),"")</f>
        <v/>
      </c>
      <c r="V57" s="149"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D58" s="4" t="str">
        <f ca="1">IF(OFFSET('2. Teams'!$A$1,ROW(D58)-1,COLUMN(D58)-1)="","",OFFSET('2. Teams'!$A$1,ROW(D58)-1,COLUMN(D58)-1))</f>
        <v/>
      </c>
      <c r="E58" s="4" t="str">
        <f ca="1">IF(OFFSET('2. Teams'!$A$1,ROW(E58)-1,COLUMN(E58)-1)="","",OFFSET('2. Teams'!$A$1,ROW(E58)-1,COLUMN(E58)-1))</f>
        <v/>
      </c>
      <c r="F58" s="4" t="str">
        <f ca="1">IF(OFFSET('2. Teams'!$A$1,ROW(F58)-1,COLUMN(F58)-1)="","",OFFSET('2. Teams'!$A$1,ROW(F58)-1,COLUMN(F58)-1))</f>
        <v/>
      </c>
      <c r="T58" s="3" t="str">
        <f ca="1">IF(A58&lt;&gt;"",MAX('Work Indirect'!$T:$T)+(ROW(A58)-1),"")</f>
        <v/>
      </c>
      <c r="U58" s="3" t="str">
        <f ca="1">IF(A58&lt;&gt;"",SUMIF('Work Indirect'!C:C,A58,'Work Indirect'!AC:AC),"")</f>
        <v/>
      </c>
      <c r="V58" s="149"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D59" s="4" t="str">
        <f ca="1">IF(OFFSET('2. Teams'!$A$1,ROW(D59)-1,COLUMN(D59)-1)="","",OFFSET('2. Teams'!$A$1,ROW(D59)-1,COLUMN(D59)-1))</f>
        <v/>
      </c>
      <c r="E59" s="4" t="str">
        <f ca="1">IF(OFFSET('2. Teams'!$A$1,ROW(E59)-1,COLUMN(E59)-1)="","",OFFSET('2. Teams'!$A$1,ROW(E59)-1,COLUMN(E59)-1))</f>
        <v/>
      </c>
      <c r="F59" s="4" t="str">
        <f ca="1">IF(OFFSET('2. Teams'!$A$1,ROW(F59)-1,COLUMN(F59)-1)="","",OFFSET('2. Teams'!$A$1,ROW(F59)-1,COLUMN(F59)-1))</f>
        <v/>
      </c>
      <c r="T59" s="3" t="str">
        <f ca="1">IF(A59&lt;&gt;"",MAX('Work Indirect'!$T:$T)+(ROW(A59)-1),"")</f>
        <v/>
      </c>
      <c r="U59" s="3" t="str">
        <f ca="1">IF(A59&lt;&gt;"",SUMIF('Work Indirect'!C:C,A59,'Work Indirect'!AC:AC),"")</f>
        <v/>
      </c>
      <c r="V59" s="149"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D60" s="4" t="str">
        <f ca="1">IF(OFFSET('2. Teams'!$A$1,ROW(D60)-1,COLUMN(D60)-1)="","",OFFSET('2. Teams'!$A$1,ROW(D60)-1,COLUMN(D60)-1))</f>
        <v/>
      </c>
      <c r="E60" s="4" t="str">
        <f ca="1">IF(OFFSET('2. Teams'!$A$1,ROW(E60)-1,COLUMN(E60)-1)="","",OFFSET('2. Teams'!$A$1,ROW(E60)-1,COLUMN(E60)-1))</f>
        <v/>
      </c>
      <c r="F60" s="4" t="str">
        <f ca="1">IF(OFFSET('2. Teams'!$A$1,ROW(F60)-1,COLUMN(F60)-1)="","",OFFSET('2. Teams'!$A$1,ROW(F60)-1,COLUMN(F60)-1))</f>
        <v/>
      </c>
      <c r="T60" s="3" t="str">
        <f ca="1">IF(A60&lt;&gt;"",MAX('Work Indirect'!$T:$T)+(ROW(A60)-1),"")</f>
        <v/>
      </c>
      <c r="U60" s="3" t="str">
        <f ca="1">IF(A60&lt;&gt;"",SUMIF('Work Indirect'!C:C,A60,'Work Indirect'!AC:AC),"")</f>
        <v/>
      </c>
      <c r="V60" s="149"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D61" s="4" t="str">
        <f ca="1">IF(OFFSET('2. Teams'!$A$1,ROW(D61)-1,COLUMN(D61)-1)="","",OFFSET('2. Teams'!$A$1,ROW(D61)-1,COLUMN(D61)-1))</f>
        <v/>
      </c>
      <c r="E61" s="4" t="str">
        <f ca="1">IF(OFFSET('2. Teams'!$A$1,ROW(E61)-1,COLUMN(E61)-1)="","",OFFSET('2. Teams'!$A$1,ROW(E61)-1,COLUMN(E61)-1))</f>
        <v/>
      </c>
      <c r="F61" s="4" t="str">
        <f ca="1">IF(OFFSET('2. Teams'!$A$1,ROW(F61)-1,COLUMN(F61)-1)="","",OFFSET('2. Teams'!$A$1,ROW(F61)-1,COLUMN(F61)-1))</f>
        <v/>
      </c>
      <c r="T61" s="3" t="str">
        <f ca="1">IF(A61&lt;&gt;"",MAX('Work Indirect'!$T:$T)+(ROW(A61)-1),"")</f>
        <v/>
      </c>
      <c r="U61" s="3" t="str">
        <f ca="1">IF(A61&lt;&gt;"",SUMIF('Work Indirect'!C:C,A61,'Work Indirect'!AC:AC),"")</f>
        <v/>
      </c>
      <c r="V61" s="149"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D62" s="4" t="str">
        <f ca="1">IF(OFFSET('2. Teams'!$A$1,ROW(D62)-1,COLUMN(D62)-1)="","",OFFSET('2. Teams'!$A$1,ROW(D62)-1,COLUMN(D62)-1))</f>
        <v/>
      </c>
      <c r="E62" s="4" t="str">
        <f ca="1">IF(OFFSET('2. Teams'!$A$1,ROW(E62)-1,COLUMN(E62)-1)="","",OFFSET('2. Teams'!$A$1,ROW(E62)-1,COLUMN(E62)-1))</f>
        <v/>
      </c>
      <c r="F62" s="4" t="str">
        <f ca="1">IF(OFFSET('2. Teams'!$A$1,ROW(F62)-1,COLUMN(F62)-1)="","",OFFSET('2. Teams'!$A$1,ROW(F62)-1,COLUMN(F62)-1))</f>
        <v/>
      </c>
      <c r="T62" s="3" t="str">
        <f ca="1">IF(A62&lt;&gt;"",MAX('Work Indirect'!$T:$T)+(ROW(A62)-1),"")</f>
        <v/>
      </c>
      <c r="U62" s="3" t="str">
        <f ca="1">IF(A62&lt;&gt;"",SUMIF('Work Indirect'!C:C,A62,'Work Indirect'!AC:AC),"")</f>
        <v/>
      </c>
      <c r="V62" s="149"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D63" s="4" t="str">
        <f ca="1">IF(OFFSET('2. Teams'!$A$1,ROW(D63)-1,COLUMN(D63)-1)="","",OFFSET('2. Teams'!$A$1,ROW(D63)-1,COLUMN(D63)-1))</f>
        <v/>
      </c>
      <c r="E63" s="4" t="str">
        <f ca="1">IF(OFFSET('2. Teams'!$A$1,ROW(E63)-1,COLUMN(E63)-1)="","",OFFSET('2. Teams'!$A$1,ROW(E63)-1,COLUMN(E63)-1))</f>
        <v/>
      </c>
      <c r="F63" s="4" t="str">
        <f ca="1">IF(OFFSET('2. Teams'!$A$1,ROW(F63)-1,COLUMN(F63)-1)="","",OFFSET('2. Teams'!$A$1,ROW(F63)-1,COLUMN(F63)-1))</f>
        <v/>
      </c>
      <c r="T63" s="3" t="str">
        <f ca="1">IF(A63&lt;&gt;"",MAX('Work Indirect'!$T:$T)+(ROW(A63)-1),"")</f>
        <v/>
      </c>
      <c r="U63" s="3" t="str">
        <f ca="1">IF(A63&lt;&gt;"",SUMIF('Work Indirect'!C:C,A63,'Work Indirect'!AC:AC),"")</f>
        <v/>
      </c>
      <c r="V63" s="149"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D64" s="4" t="str">
        <f ca="1">IF(OFFSET('2. Teams'!$A$1,ROW(D64)-1,COLUMN(D64)-1)="","",OFFSET('2. Teams'!$A$1,ROW(D64)-1,COLUMN(D64)-1))</f>
        <v/>
      </c>
      <c r="E64" s="4" t="str">
        <f ca="1">IF(OFFSET('2. Teams'!$A$1,ROW(E64)-1,COLUMN(E64)-1)="","",OFFSET('2. Teams'!$A$1,ROW(E64)-1,COLUMN(E64)-1))</f>
        <v/>
      </c>
      <c r="F64" s="4" t="str">
        <f ca="1">IF(OFFSET('2. Teams'!$A$1,ROW(F64)-1,COLUMN(F64)-1)="","",OFFSET('2. Teams'!$A$1,ROW(F64)-1,COLUMN(F64)-1))</f>
        <v/>
      </c>
      <c r="T64" s="3" t="str">
        <f ca="1">IF(A64&lt;&gt;"",MAX('Work Indirect'!$T:$T)+(ROW(A64)-1),"")</f>
        <v/>
      </c>
      <c r="U64" s="3" t="str">
        <f ca="1">IF(A64&lt;&gt;"",SUMIF('Work Indirect'!C:C,A64,'Work Indirect'!AC:AC),"")</f>
        <v/>
      </c>
      <c r="V64" s="149"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D65" s="4" t="str">
        <f ca="1">IF(OFFSET('2. Teams'!$A$1,ROW(D65)-1,COLUMN(D65)-1)="","",OFFSET('2. Teams'!$A$1,ROW(D65)-1,COLUMN(D65)-1))</f>
        <v/>
      </c>
      <c r="E65" s="4" t="str">
        <f ca="1">IF(OFFSET('2. Teams'!$A$1,ROW(E65)-1,COLUMN(E65)-1)="","",OFFSET('2. Teams'!$A$1,ROW(E65)-1,COLUMN(E65)-1))</f>
        <v/>
      </c>
      <c r="F65" s="4" t="str">
        <f ca="1">IF(OFFSET('2. Teams'!$A$1,ROW(F65)-1,COLUMN(F65)-1)="","",OFFSET('2. Teams'!$A$1,ROW(F65)-1,COLUMN(F65)-1))</f>
        <v/>
      </c>
      <c r="T65" s="3" t="str">
        <f ca="1">IF(A65&lt;&gt;"",MAX('Work Indirect'!$T:$T)+(ROW(A65)-1),"")</f>
        <v/>
      </c>
      <c r="U65" s="3" t="str">
        <f ca="1">IF(A65&lt;&gt;"",SUMIF('Work Indirect'!C:C,A65,'Work Indirect'!AC:AC),"")</f>
        <v/>
      </c>
      <c r="V65" s="149"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D66" s="4" t="str">
        <f ca="1">IF(OFFSET('2. Teams'!$A$1,ROW(D66)-1,COLUMN(D66)-1)="","",OFFSET('2. Teams'!$A$1,ROW(D66)-1,COLUMN(D66)-1))</f>
        <v/>
      </c>
      <c r="E66" s="4" t="str">
        <f ca="1">IF(OFFSET('2. Teams'!$A$1,ROW(E66)-1,COLUMN(E66)-1)="","",OFFSET('2. Teams'!$A$1,ROW(E66)-1,COLUMN(E66)-1))</f>
        <v/>
      </c>
      <c r="F66" s="4" t="str">
        <f ca="1">IF(OFFSET('2. Teams'!$A$1,ROW(F66)-1,COLUMN(F66)-1)="","",OFFSET('2. Teams'!$A$1,ROW(F66)-1,COLUMN(F66)-1))</f>
        <v/>
      </c>
      <c r="T66" s="3" t="str">
        <f ca="1">IF(A66&lt;&gt;"",MAX('Work Indirect'!$T:$T)+(ROW(A66)-1),"")</f>
        <v/>
      </c>
      <c r="U66" s="3" t="str">
        <f ca="1">IF(A66&lt;&gt;"",SUMIF('Work Indirect'!C:C,A66,'Work Indirect'!AC:AC),"")</f>
        <v/>
      </c>
      <c r="V66" s="149"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D67" s="4" t="str">
        <f ca="1">IF(OFFSET('2. Teams'!$A$1,ROW(D67)-1,COLUMN(D67)-1)="","",OFFSET('2. Teams'!$A$1,ROW(D67)-1,COLUMN(D67)-1))</f>
        <v/>
      </c>
      <c r="E67" s="4" t="str">
        <f ca="1">IF(OFFSET('2. Teams'!$A$1,ROW(E67)-1,COLUMN(E67)-1)="","",OFFSET('2. Teams'!$A$1,ROW(E67)-1,COLUMN(E67)-1))</f>
        <v/>
      </c>
      <c r="F67" s="4" t="str">
        <f ca="1">IF(OFFSET('2. Teams'!$A$1,ROW(F67)-1,COLUMN(F67)-1)="","",OFFSET('2. Teams'!$A$1,ROW(F67)-1,COLUMN(F67)-1))</f>
        <v/>
      </c>
      <c r="T67" s="3" t="str">
        <f ca="1">IF(A67&lt;&gt;"",MAX('Work Indirect'!$T:$T)+(ROW(A67)-1),"")</f>
        <v/>
      </c>
      <c r="U67" s="3" t="str">
        <f ca="1">IF(A67&lt;&gt;"",SUMIF('Work Indirect'!C:C,A67,'Work Indirect'!AC:AC),"")</f>
        <v/>
      </c>
      <c r="V67" s="149"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D68" s="4" t="str">
        <f ca="1">IF(OFFSET('2. Teams'!$A$1,ROW(D68)-1,COLUMN(D68)-1)="","",OFFSET('2. Teams'!$A$1,ROW(D68)-1,COLUMN(D68)-1))</f>
        <v/>
      </c>
      <c r="E68" s="4" t="str">
        <f ca="1">IF(OFFSET('2. Teams'!$A$1,ROW(E68)-1,COLUMN(E68)-1)="","",OFFSET('2. Teams'!$A$1,ROW(E68)-1,COLUMN(E68)-1))</f>
        <v/>
      </c>
      <c r="F68" s="4" t="str">
        <f ca="1">IF(OFFSET('2. Teams'!$A$1,ROW(F68)-1,COLUMN(F68)-1)="","",OFFSET('2. Teams'!$A$1,ROW(F68)-1,COLUMN(F68)-1))</f>
        <v/>
      </c>
      <c r="T68" s="3" t="str">
        <f ca="1">IF(A68&lt;&gt;"",MAX('Work Indirect'!$T:$T)+(ROW(A68)-1),"")</f>
        <v/>
      </c>
      <c r="U68" s="3" t="str">
        <f ca="1">IF(A68&lt;&gt;"",SUMIF('Work Indirect'!C:C,A68,'Work Indirect'!AC:AC),"")</f>
        <v/>
      </c>
      <c r="V68" s="149"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D69" s="4" t="str">
        <f ca="1">IF(OFFSET('2. Teams'!$A$1,ROW(D69)-1,COLUMN(D69)-1)="","",OFFSET('2. Teams'!$A$1,ROW(D69)-1,COLUMN(D69)-1))</f>
        <v/>
      </c>
      <c r="E69" s="4" t="str">
        <f ca="1">IF(OFFSET('2. Teams'!$A$1,ROW(E69)-1,COLUMN(E69)-1)="","",OFFSET('2. Teams'!$A$1,ROW(E69)-1,COLUMN(E69)-1))</f>
        <v/>
      </c>
      <c r="F69" s="4" t="str">
        <f ca="1">IF(OFFSET('2. Teams'!$A$1,ROW(F69)-1,COLUMN(F69)-1)="","",OFFSET('2. Teams'!$A$1,ROW(F69)-1,COLUMN(F69)-1))</f>
        <v/>
      </c>
      <c r="T69" s="3" t="str">
        <f ca="1">IF(A69&lt;&gt;"",MAX('Work Indirect'!$T:$T)+(ROW(A69)-1),"")</f>
        <v/>
      </c>
      <c r="U69" s="3" t="str">
        <f ca="1">IF(A69&lt;&gt;"",SUMIF('Work Indirect'!C:C,A69,'Work Indirect'!AC:AC),"")</f>
        <v/>
      </c>
      <c r="V69" s="149"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D70" s="4" t="str">
        <f ca="1">IF(OFFSET('2. Teams'!$A$1,ROW(D70)-1,COLUMN(D70)-1)="","",OFFSET('2. Teams'!$A$1,ROW(D70)-1,COLUMN(D70)-1))</f>
        <v/>
      </c>
      <c r="E70" s="4" t="str">
        <f ca="1">IF(OFFSET('2. Teams'!$A$1,ROW(E70)-1,COLUMN(E70)-1)="","",OFFSET('2. Teams'!$A$1,ROW(E70)-1,COLUMN(E70)-1))</f>
        <v/>
      </c>
      <c r="F70" s="4" t="str">
        <f ca="1">IF(OFFSET('2. Teams'!$A$1,ROW(F70)-1,COLUMN(F70)-1)="","",OFFSET('2. Teams'!$A$1,ROW(F70)-1,COLUMN(F70)-1))</f>
        <v/>
      </c>
      <c r="T70" s="3" t="str">
        <f ca="1">IF(A70&lt;&gt;"",MAX('Work Indirect'!$T:$T)+(ROW(A70)-1),"")</f>
        <v/>
      </c>
      <c r="U70" s="3" t="str">
        <f ca="1">IF(A70&lt;&gt;"",SUMIF('Work Indirect'!C:C,A70,'Work Indirect'!AC:AC),"")</f>
        <v/>
      </c>
      <c r="V70" s="149"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D71" s="4" t="str">
        <f ca="1">IF(OFFSET('2. Teams'!$A$1,ROW(D71)-1,COLUMN(D71)-1)="","",OFFSET('2. Teams'!$A$1,ROW(D71)-1,COLUMN(D71)-1))</f>
        <v/>
      </c>
      <c r="E71" s="4" t="str">
        <f ca="1">IF(OFFSET('2. Teams'!$A$1,ROW(E71)-1,COLUMN(E71)-1)="","",OFFSET('2. Teams'!$A$1,ROW(E71)-1,COLUMN(E71)-1))</f>
        <v/>
      </c>
      <c r="F71" s="4" t="str">
        <f ca="1">IF(OFFSET('2. Teams'!$A$1,ROW(F71)-1,COLUMN(F71)-1)="","",OFFSET('2. Teams'!$A$1,ROW(F71)-1,COLUMN(F71)-1))</f>
        <v/>
      </c>
      <c r="T71" s="3" t="str">
        <f ca="1">IF(A71&lt;&gt;"",MAX('Work Indirect'!$T:$T)+(ROW(A71)-1),"")</f>
        <v/>
      </c>
      <c r="U71" s="3" t="str">
        <f ca="1">IF(A71&lt;&gt;"",SUMIF('Work Indirect'!C:C,A71,'Work Indirect'!AC:AC),"")</f>
        <v/>
      </c>
      <c r="V71" s="149"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D72" s="4" t="str">
        <f ca="1">IF(OFFSET('2. Teams'!$A$1,ROW(D72)-1,COLUMN(D72)-1)="","",OFFSET('2. Teams'!$A$1,ROW(D72)-1,COLUMN(D72)-1))</f>
        <v/>
      </c>
      <c r="E72" s="4" t="str">
        <f ca="1">IF(OFFSET('2. Teams'!$A$1,ROW(E72)-1,COLUMN(E72)-1)="","",OFFSET('2. Teams'!$A$1,ROW(E72)-1,COLUMN(E72)-1))</f>
        <v/>
      </c>
      <c r="F72" s="4" t="str">
        <f ca="1">IF(OFFSET('2. Teams'!$A$1,ROW(F72)-1,COLUMN(F72)-1)="","",OFFSET('2. Teams'!$A$1,ROW(F72)-1,COLUMN(F72)-1))</f>
        <v/>
      </c>
      <c r="T72" s="3" t="str">
        <f ca="1">IF(A72&lt;&gt;"",MAX('Work Indirect'!$T:$T)+(ROW(A72)-1),"")</f>
        <v/>
      </c>
      <c r="U72" s="3" t="str">
        <f ca="1">IF(A72&lt;&gt;"",SUMIF('Work Indirect'!C:C,A72,'Work Indirect'!AC:AC),"")</f>
        <v/>
      </c>
      <c r="V72" s="149"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D73" s="4" t="str">
        <f ca="1">IF(OFFSET('2. Teams'!$A$1,ROW(D73)-1,COLUMN(D73)-1)="","",OFFSET('2. Teams'!$A$1,ROW(D73)-1,COLUMN(D73)-1))</f>
        <v/>
      </c>
      <c r="E73" s="4" t="str">
        <f ca="1">IF(OFFSET('2. Teams'!$A$1,ROW(E73)-1,COLUMN(E73)-1)="","",OFFSET('2. Teams'!$A$1,ROW(E73)-1,COLUMN(E73)-1))</f>
        <v/>
      </c>
      <c r="F73" s="4" t="str">
        <f ca="1">IF(OFFSET('2. Teams'!$A$1,ROW(F73)-1,COLUMN(F73)-1)="","",OFFSET('2. Teams'!$A$1,ROW(F73)-1,COLUMN(F73)-1))</f>
        <v/>
      </c>
      <c r="T73" s="3" t="str">
        <f ca="1">IF(A73&lt;&gt;"",MAX('Work Indirect'!$T:$T)+(ROW(A73)-1),"")</f>
        <v/>
      </c>
      <c r="U73" s="3" t="str">
        <f ca="1">IF(A73&lt;&gt;"",SUMIF('Work Indirect'!C:C,A73,'Work Indirect'!AC:AC),"")</f>
        <v/>
      </c>
      <c r="V73" s="149"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D74" s="4" t="str">
        <f ca="1">IF(OFFSET('2. Teams'!$A$1,ROW(D74)-1,COLUMN(D74)-1)="","",OFFSET('2. Teams'!$A$1,ROW(D74)-1,COLUMN(D74)-1))</f>
        <v/>
      </c>
      <c r="E74" s="4" t="str">
        <f ca="1">IF(OFFSET('2. Teams'!$A$1,ROW(E74)-1,COLUMN(E74)-1)="","",OFFSET('2. Teams'!$A$1,ROW(E74)-1,COLUMN(E74)-1))</f>
        <v/>
      </c>
      <c r="F74" s="4" t="str">
        <f ca="1">IF(OFFSET('2. Teams'!$A$1,ROW(F74)-1,COLUMN(F74)-1)="","",OFFSET('2. Teams'!$A$1,ROW(F74)-1,COLUMN(F74)-1))</f>
        <v/>
      </c>
      <c r="T74" s="3" t="str">
        <f ca="1">IF(A74&lt;&gt;"",MAX('Work Indirect'!$T:$T)+(ROW(A74)-1),"")</f>
        <v/>
      </c>
      <c r="U74" s="3" t="str">
        <f ca="1">IF(A74&lt;&gt;"",SUMIF('Work Indirect'!C:C,A74,'Work Indirect'!AC:AC),"")</f>
        <v/>
      </c>
      <c r="V74" s="149"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D75" s="4" t="str">
        <f ca="1">IF(OFFSET('2. Teams'!$A$1,ROW(D75)-1,COLUMN(D75)-1)="","",OFFSET('2. Teams'!$A$1,ROW(D75)-1,COLUMN(D75)-1))</f>
        <v/>
      </c>
      <c r="E75" s="4" t="str">
        <f ca="1">IF(OFFSET('2. Teams'!$A$1,ROW(E75)-1,COLUMN(E75)-1)="","",OFFSET('2. Teams'!$A$1,ROW(E75)-1,COLUMN(E75)-1))</f>
        <v/>
      </c>
      <c r="F75" s="4" t="str">
        <f ca="1">IF(OFFSET('2. Teams'!$A$1,ROW(F75)-1,COLUMN(F75)-1)="","",OFFSET('2. Teams'!$A$1,ROW(F75)-1,COLUMN(F75)-1))</f>
        <v/>
      </c>
      <c r="T75" s="3" t="str">
        <f ca="1">IF(A75&lt;&gt;"",MAX('Work Indirect'!$T:$T)+(ROW(A75)-1),"")</f>
        <v/>
      </c>
      <c r="U75" s="3" t="str">
        <f ca="1">IF(A75&lt;&gt;"",SUMIF('Work Indirect'!C:C,A75,'Work Indirect'!AC:AC),"")</f>
        <v/>
      </c>
      <c r="V75" s="149"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D76" s="4" t="str">
        <f ca="1">IF(OFFSET('2. Teams'!$A$1,ROW(D76)-1,COLUMN(D76)-1)="","",OFFSET('2. Teams'!$A$1,ROW(D76)-1,COLUMN(D76)-1))</f>
        <v/>
      </c>
      <c r="E76" s="4" t="str">
        <f ca="1">IF(OFFSET('2. Teams'!$A$1,ROW(E76)-1,COLUMN(E76)-1)="","",OFFSET('2. Teams'!$A$1,ROW(E76)-1,COLUMN(E76)-1))</f>
        <v/>
      </c>
      <c r="F76" s="4" t="str">
        <f ca="1">IF(OFFSET('2. Teams'!$A$1,ROW(F76)-1,COLUMN(F76)-1)="","",OFFSET('2. Teams'!$A$1,ROW(F76)-1,COLUMN(F76)-1))</f>
        <v/>
      </c>
      <c r="T76" s="3" t="str">
        <f ca="1">IF(A76&lt;&gt;"",MAX('Work Indirect'!$T:$T)+(ROW(A76)-1),"")</f>
        <v/>
      </c>
      <c r="U76" s="3" t="str">
        <f ca="1">IF(A76&lt;&gt;"",SUMIF('Work Indirect'!C:C,A76,'Work Indirect'!AC:AC),"")</f>
        <v/>
      </c>
      <c r="V76" s="149"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D77" s="4" t="str">
        <f ca="1">IF(OFFSET('2. Teams'!$A$1,ROW(D77)-1,COLUMN(D77)-1)="","",OFFSET('2. Teams'!$A$1,ROW(D77)-1,COLUMN(D77)-1))</f>
        <v/>
      </c>
      <c r="E77" s="4" t="str">
        <f ca="1">IF(OFFSET('2. Teams'!$A$1,ROW(E77)-1,COLUMN(E77)-1)="","",OFFSET('2. Teams'!$A$1,ROW(E77)-1,COLUMN(E77)-1))</f>
        <v/>
      </c>
      <c r="F77" s="4" t="str">
        <f ca="1">IF(OFFSET('2. Teams'!$A$1,ROW(F77)-1,COLUMN(F77)-1)="","",OFFSET('2. Teams'!$A$1,ROW(F77)-1,COLUMN(F77)-1))</f>
        <v/>
      </c>
      <c r="T77" s="3" t="str">
        <f ca="1">IF(A77&lt;&gt;"",MAX('Work Indirect'!$T:$T)+(ROW(A77)-1),"")</f>
        <v/>
      </c>
      <c r="U77" s="3" t="str">
        <f ca="1">IF(A77&lt;&gt;"",SUMIF('Work Indirect'!C:C,A77,'Work Indirect'!AC:AC),"")</f>
        <v/>
      </c>
      <c r="V77" s="149"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D78" s="4" t="str">
        <f ca="1">IF(OFFSET('2. Teams'!$A$1,ROW(D78)-1,COLUMN(D78)-1)="","",OFFSET('2. Teams'!$A$1,ROW(D78)-1,COLUMN(D78)-1))</f>
        <v/>
      </c>
      <c r="E78" s="4" t="str">
        <f ca="1">IF(OFFSET('2. Teams'!$A$1,ROW(E78)-1,COLUMN(E78)-1)="","",OFFSET('2. Teams'!$A$1,ROW(E78)-1,COLUMN(E78)-1))</f>
        <v/>
      </c>
      <c r="F78" s="4" t="str">
        <f ca="1">IF(OFFSET('2. Teams'!$A$1,ROW(F78)-1,COLUMN(F78)-1)="","",OFFSET('2. Teams'!$A$1,ROW(F78)-1,COLUMN(F78)-1))</f>
        <v/>
      </c>
      <c r="T78" s="3" t="str">
        <f ca="1">IF(A78&lt;&gt;"",MAX('Work Indirect'!$T:$T)+(ROW(A78)-1),"")</f>
        <v/>
      </c>
      <c r="U78" s="3" t="str">
        <f ca="1">IF(A78&lt;&gt;"",SUMIF('Work Indirect'!C:C,A78,'Work Indirect'!AC:AC),"")</f>
        <v/>
      </c>
      <c r="V78" s="149"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D79" s="4" t="str">
        <f ca="1">IF(OFFSET('2. Teams'!$A$1,ROW(D79)-1,COLUMN(D79)-1)="","",OFFSET('2. Teams'!$A$1,ROW(D79)-1,COLUMN(D79)-1))</f>
        <v/>
      </c>
      <c r="E79" s="4" t="str">
        <f ca="1">IF(OFFSET('2. Teams'!$A$1,ROW(E79)-1,COLUMN(E79)-1)="","",OFFSET('2. Teams'!$A$1,ROW(E79)-1,COLUMN(E79)-1))</f>
        <v/>
      </c>
      <c r="F79" s="4" t="str">
        <f ca="1">IF(OFFSET('2. Teams'!$A$1,ROW(F79)-1,COLUMN(F79)-1)="","",OFFSET('2. Teams'!$A$1,ROW(F79)-1,COLUMN(F79)-1))</f>
        <v/>
      </c>
      <c r="T79" s="3" t="str">
        <f ca="1">IF(A79&lt;&gt;"",MAX('Work Indirect'!$T:$T)+(ROW(A79)-1),"")</f>
        <v/>
      </c>
      <c r="U79" s="3" t="str">
        <f ca="1">IF(A79&lt;&gt;"",SUMIF('Work Indirect'!C:C,A79,'Work Indirect'!AC:AC),"")</f>
        <v/>
      </c>
      <c r="V79" s="149"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D80" s="4" t="str">
        <f ca="1">IF(OFFSET('2. Teams'!$A$1,ROW(D80)-1,COLUMN(D80)-1)="","",OFFSET('2. Teams'!$A$1,ROW(D80)-1,COLUMN(D80)-1))</f>
        <v/>
      </c>
      <c r="E80" s="4" t="str">
        <f ca="1">IF(OFFSET('2. Teams'!$A$1,ROW(E80)-1,COLUMN(E80)-1)="","",OFFSET('2. Teams'!$A$1,ROW(E80)-1,COLUMN(E80)-1))</f>
        <v/>
      </c>
      <c r="F80" s="4" t="str">
        <f ca="1">IF(OFFSET('2. Teams'!$A$1,ROW(F80)-1,COLUMN(F80)-1)="","",OFFSET('2. Teams'!$A$1,ROW(F80)-1,COLUMN(F80)-1))</f>
        <v/>
      </c>
      <c r="T80" s="3" t="str">
        <f ca="1">IF(A80&lt;&gt;"",MAX('Work Indirect'!$T:$T)+(ROW(A80)-1),"")</f>
        <v/>
      </c>
      <c r="U80" s="3" t="str">
        <f ca="1">IF(A80&lt;&gt;"",SUMIF('Work Indirect'!C:C,A80,'Work Indirect'!AC:AC),"")</f>
        <v/>
      </c>
      <c r="V80" s="149"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D81" s="4" t="str">
        <f ca="1">IF(OFFSET('2. Teams'!$A$1,ROW(D81)-1,COLUMN(D81)-1)="","",OFFSET('2. Teams'!$A$1,ROW(D81)-1,COLUMN(D81)-1))</f>
        <v/>
      </c>
      <c r="E81" s="4" t="str">
        <f ca="1">IF(OFFSET('2. Teams'!$A$1,ROW(E81)-1,COLUMN(E81)-1)="","",OFFSET('2. Teams'!$A$1,ROW(E81)-1,COLUMN(E81)-1))</f>
        <v/>
      </c>
      <c r="F81" s="4" t="str">
        <f ca="1">IF(OFFSET('2. Teams'!$A$1,ROW(F81)-1,COLUMN(F81)-1)="","",OFFSET('2. Teams'!$A$1,ROW(F81)-1,COLUMN(F81)-1))</f>
        <v/>
      </c>
      <c r="T81" s="3" t="str">
        <f ca="1">IF(A81&lt;&gt;"",MAX('Work Indirect'!$T:$T)+(ROW(A81)-1),"")</f>
        <v/>
      </c>
      <c r="U81" s="3" t="str">
        <f ca="1">IF(A81&lt;&gt;"",SUMIF('Work Indirect'!C:C,A81,'Work Indirect'!AC:AC),"")</f>
        <v/>
      </c>
      <c r="V81" s="149"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D82" s="4" t="str">
        <f ca="1">IF(OFFSET('2. Teams'!$A$1,ROW(D82)-1,COLUMN(D82)-1)="","",OFFSET('2. Teams'!$A$1,ROW(D82)-1,COLUMN(D82)-1))</f>
        <v/>
      </c>
      <c r="E82" s="4" t="str">
        <f ca="1">IF(OFFSET('2. Teams'!$A$1,ROW(E82)-1,COLUMN(E82)-1)="","",OFFSET('2. Teams'!$A$1,ROW(E82)-1,COLUMN(E82)-1))</f>
        <v/>
      </c>
      <c r="F82" s="4" t="str">
        <f ca="1">IF(OFFSET('2. Teams'!$A$1,ROW(F82)-1,COLUMN(F82)-1)="","",OFFSET('2. Teams'!$A$1,ROW(F82)-1,COLUMN(F82)-1))</f>
        <v/>
      </c>
      <c r="T82" s="3" t="str">
        <f ca="1">IF(A82&lt;&gt;"",MAX('Work Indirect'!$T:$T)+(ROW(A82)-1),"")</f>
        <v/>
      </c>
      <c r="U82" s="3" t="str">
        <f ca="1">IF(A82&lt;&gt;"",SUMIF('Work Indirect'!C:C,A82,'Work Indirect'!AC:AC),"")</f>
        <v/>
      </c>
      <c r="V82" s="149"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D83" s="4" t="str">
        <f ca="1">IF(OFFSET('2. Teams'!$A$1,ROW(D83)-1,COLUMN(D83)-1)="","",OFFSET('2. Teams'!$A$1,ROW(D83)-1,COLUMN(D83)-1))</f>
        <v/>
      </c>
      <c r="E83" s="4" t="str">
        <f ca="1">IF(OFFSET('2. Teams'!$A$1,ROW(E83)-1,COLUMN(E83)-1)="","",OFFSET('2. Teams'!$A$1,ROW(E83)-1,COLUMN(E83)-1))</f>
        <v/>
      </c>
      <c r="F83" s="4" t="str">
        <f ca="1">IF(OFFSET('2. Teams'!$A$1,ROW(F83)-1,COLUMN(F83)-1)="","",OFFSET('2. Teams'!$A$1,ROW(F83)-1,COLUMN(F83)-1))</f>
        <v/>
      </c>
      <c r="T83" s="3" t="str">
        <f ca="1">IF(A83&lt;&gt;"",MAX('Work Indirect'!$T:$T)+(ROW(A83)-1),"")</f>
        <v/>
      </c>
      <c r="U83" s="3" t="str">
        <f ca="1">IF(A83&lt;&gt;"",SUMIF('Work Indirect'!C:C,A83,'Work Indirect'!AC:AC),"")</f>
        <v/>
      </c>
      <c r="V83" s="149"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D84" s="4" t="str">
        <f ca="1">IF(OFFSET('2. Teams'!$A$1,ROW(D84)-1,COLUMN(D84)-1)="","",OFFSET('2. Teams'!$A$1,ROW(D84)-1,COLUMN(D84)-1))</f>
        <v/>
      </c>
      <c r="E84" s="4" t="str">
        <f ca="1">IF(OFFSET('2. Teams'!$A$1,ROW(E84)-1,COLUMN(E84)-1)="","",OFFSET('2. Teams'!$A$1,ROW(E84)-1,COLUMN(E84)-1))</f>
        <v/>
      </c>
      <c r="F84" s="4" t="str">
        <f ca="1">IF(OFFSET('2. Teams'!$A$1,ROW(F84)-1,COLUMN(F84)-1)="","",OFFSET('2. Teams'!$A$1,ROW(F84)-1,COLUMN(F84)-1))</f>
        <v/>
      </c>
      <c r="T84" s="3" t="str">
        <f ca="1">IF(A84&lt;&gt;"",MAX('Work Indirect'!$T:$T)+(ROW(A84)-1),"")</f>
        <v/>
      </c>
      <c r="U84" s="3" t="str">
        <f ca="1">IF(A84&lt;&gt;"",SUMIF('Work Indirect'!C:C,A84,'Work Indirect'!AC:AC),"")</f>
        <v/>
      </c>
      <c r="V84" s="149"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D85" s="4" t="str">
        <f ca="1">IF(OFFSET('2. Teams'!$A$1,ROW(D85)-1,COLUMN(D85)-1)="","",OFFSET('2. Teams'!$A$1,ROW(D85)-1,COLUMN(D85)-1))</f>
        <v/>
      </c>
      <c r="E85" s="4" t="str">
        <f ca="1">IF(OFFSET('2. Teams'!$A$1,ROW(E85)-1,COLUMN(E85)-1)="","",OFFSET('2. Teams'!$A$1,ROW(E85)-1,COLUMN(E85)-1))</f>
        <v/>
      </c>
      <c r="F85" s="4" t="str">
        <f ca="1">IF(OFFSET('2. Teams'!$A$1,ROW(F85)-1,COLUMN(F85)-1)="","",OFFSET('2. Teams'!$A$1,ROW(F85)-1,COLUMN(F85)-1))</f>
        <v/>
      </c>
      <c r="T85" s="3" t="str">
        <f ca="1">IF(A85&lt;&gt;"",MAX('Work Indirect'!$T:$T)+(ROW(A85)-1),"")</f>
        <v/>
      </c>
      <c r="U85" s="3" t="str">
        <f ca="1">IF(A85&lt;&gt;"",SUMIF('Work Indirect'!C:C,A85,'Work Indirect'!AC:AC),"")</f>
        <v/>
      </c>
      <c r="V85" s="149"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D86" s="4" t="str">
        <f ca="1">IF(OFFSET('2. Teams'!$A$1,ROW(D86)-1,COLUMN(D86)-1)="","",OFFSET('2. Teams'!$A$1,ROW(D86)-1,COLUMN(D86)-1))</f>
        <v/>
      </c>
      <c r="E86" s="4" t="str">
        <f ca="1">IF(OFFSET('2. Teams'!$A$1,ROW(E86)-1,COLUMN(E86)-1)="","",OFFSET('2. Teams'!$A$1,ROW(E86)-1,COLUMN(E86)-1))</f>
        <v/>
      </c>
      <c r="F86" s="4" t="str">
        <f ca="1">IF(OFFSET('2. Teams'!$A$1,ROW(F86)-1,COLUMN(F86)-1)="","",OFFSET('2. Teams'!$A$1,ROW(F86)-1,COLUMN(F86)-1))</f>
        <v/>
      </c>
      <c r="T86" s="3" t="str">
        <f ca="1">IF(A86&lt;&gt;"",MAX('Work Indirect'!$T:$T)+(ROW(A86)-1),"")</f>
        <v/>
      </c>
      <c r="U86" s="3" t="str">
        <f ca="1">IF(A86&lt;&gt;"",SUMIF('Work Indirect'!C:C,A86,'Work Indirect'!AC:AC),"")</f>
        <v/>
      </c>
      <c r="V86" s="149"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D87" s="4" t="str">
        <f ca="1">IF(OFFSET('2. Teams'!$A$1,ROW(D87)-1,COLUMN(D87)-1)="","",OFFSET('2. Teams'!$A$1,ROW(D87)-1,COLUMN(D87)-1))</f>
        <v/>
      </c>
      <c r="E87" s="4" t="str">
        <f ca="1">IF(OFFSET('2. Teams'!$A$1,ROW(E87)-1,COLUMN(E87)-1)="","",OFFSET('2. Teams'!$A$1,ROW(E87)-1,COLUMN(E87)-1))</f>
        <v/>
      </c>
      <c r="F87" s="4" t="str">
        <f ca="1">IF(OFFSET('2. Teams'!$A$1,ROW(F87)-1,COLUMN(F87)-1)="","",OFFSET('2. Teams'!$A$1,ROW(F87)-1,COLUMN(F87)-1))</f>
        <v/>
      </c>
      <c r="T87" s="3" t="str">
        <f ca="1">IF(A87&lt;&gt;"",MAX('Work Indirect'!$T:$T)+(ROW(A87)-1),"")</f>
        <v/>
      </c>
      <c r="U87" s="3" t="str">
        <f ca="1">IF(A87&lt;&gt;"",SUMIF('Work Indirect'!C:C,A87,'Work Indirect'!AC:AC),"")</f>
        <v/>
      </c>
      <c r="V87" s="149"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D88" s="4" t="str">
        <f ca="1">IF(OFFSET('2. Teams'!$A$1,ROW(D88)-1,COLUMN(D88)-1)="","",OFFSET('2. Teams'!$A$1,ROW(D88)-1,COLUMN(D88)-1))</f>
        <v/>
      </c>
      <c r="E88" s="4" t="str">
        <f ca="1">IF(OFFSET('2. Teams'!$A$1,ROW(E88)-1,COLUMN(E88)-1)="","",OFFSET('2. Teams'!$A$1,ROW(E88)-1,COLUMN(E88)-1))</f>
        <v/>
      </c>
      <c r="F88" s="4" t="str">
        <f ca="1">IF(OFFSET('2. Teams'!$A$1,ROW(F88)-1,COLUMN(F88)-1)="","",OFFSET('2. Teams'!$A$1,ROW(F88)-1,COLUMN(F88)-1))</f>
        <v/>
      </c>
      <c r="T88" s="3" t="str">
        <f ca="1">IF(A88&lt;&gt;"",MAX('Work Indirect'!$T:$T)+(ROW(A88)-1),"")</f>
        <v/>
      </c>
      <c r="U88" s="3" t="str">
        <f ca="1">IF(A88&lt;&gt;"",SUMIF('Work Indirect'!C:C,A88,'Work Indirect'!AC:AC),"")</f>
        <v/>
      </c>
      <c r="V88" s="149"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D89" s="4" t="str">
        <f ca="1">IF(OFFSET('2. Teams'!$A$1,ROW(D89)-1,COLUMN(D89)-1)="","",OFFSET('2. Teams'!$A$1,ROW(D89)-1,COLUMN(D89)-1))</f>
        <v/>
      </c>
      <c r="E89" s="4" t="str">
        <f ca="1">IF(OFFSET('2. Teams'!$A$1,ROW(E89)-1,COLUMN(E89)-1)="","",OFFSET('2. Teams'!$A$1,ROW(E89)-1,COLUMN(E89)-1))</f>
        <v/>
      </c>
      <c r="F89" s="4" t="str">
        <f ca="1">IF(OFFSET('2. Teams'!$A$1,ROW(F89)-1,COLUMN(F89)-1)="","",OFFSET('2. Teams'!$A$1,ROW(F89)-1,COLUMN(F89)-1))</f>
        <v/>
      </c>
      <c r="T89" s="3" t="str">
        <f ca="1">IF(A89&lt;&gt;"",MAX('Work Indirect'!$T:$T)+(ROW(A89)-1),"")</f>
        <v/>
      </c>
      <c r="U89" s="3" t="str">
        <f ca="1">IF(A89&lt;&gt;"",SUMIF('Work Indirect'!C:C,A89,'Work Indirect'!AC:AC),"")</f>
        <v/>
      </c>
      <c r="V89" s="149"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D90" s="4" t="str">
        <f ca="1">IF(OFFSET('2. Teams'!$A$1,ROW(D90)-1,COLUMN(D90)-1)="","",OFFSET('2. Teams'!$A$1,ROW(D90)-1,COLUMN(D90)-1))</f>
        <v/>
      </c>
      <c r="E90" s="4" t="str">
        <f ca="1">IF(OFFSET('2. Teams'!$A$1,ROW(E90)-1,COLUMN(E90)-1)="","",OFFSET('2. Teams'!$A$1,ROW(E90)-1,COLUMN(E90)-1))</f>
        <v/>
      </c>
      <c r="F90" s="4" t="str">
        <f ca="1">IF(OFFSET('2. Teams'!$A$1,ROW(F90)-1,COLUMN(F90)-1)="","",OFFSET('2. Teams'!$A$1,ROW(F90)-1,COLUMN(F90)-1))</f>
        <v/>
      </c>
      <c r="T90" s="3" t="str">
        <f ca="1">IF(A90&lt;&gt;"",MAX('Work Indirect'!$T:$T)+(ROW(A90)-1),"")</f>
        <v/>
      </c>
      <c r="U90" s="3" t="str">
        <f ca="1">IF(A90&lt;&gt;"",SUMIF('Work Indirect'!C:C,A90,'Work Indirect'!AC:AC),"")</f>
        <v/>
      </c>
      <c r="V90" s="149"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D91" s="4" t="str">
        <f ca="1">IF(OFFSET('2. Teams'!$A$1,ROW(D91)-1,COLUMN(D91)-1)="","",OFFSET('2. Teams'!$A$1,ROW(D91)-1,COLUMN(D91)-1))</f>
        <v/>
      </c>
      <c r="E91" s="4" t="str">
        <f ca="1">IF(OFFSET('2. Teams'!$A$1,ROW(E91)-1,COLUMN(E91)-1)="","",OFFSET('2. Teams'!$A$1,ROW(E91)-1,COLUMN(E91)-1))</f>
        <v/>
      </c>
      <c r="F91" s="4" t="str">
        <f ca="1">IF(OFFSET('2. Teams'!$A$1,ROW(F91)-1,COLUMN(F91)-1)="","",OFFSET('2. Teams'!$A$1,ROW(F91)-1,COLUMN(F91)-1))</f>
        <v/>
      </c>
      <c r="T91" s="3" t="str">
        <f ca="1">IF(A91&lt;&gt;"",MAX('Work Indirect'!$T:$T)+(ROW(A91)-1),"")</f>
        <v/>
      </c>
      <c r="U91" s="3" t="str">
        <f ca="1">IF(A91&lt;&gt;"",SUMIF('Work Indirect'!C:C,A91,'Work Indirect'!AC:AC),"")</f>
        <v/>
      </c>
      <c r="V91" s="149"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D92" s="4" t="str">
        <f ca="1">IF(OFFSET('2. Teams'!$A$1,ROW(D92)-1,COLUMN(D92)-1)="","",OFFSET('2. Teams'!$A$1,ROW(D92)-1,COLUMN(D92)-1))</f>
        <v/>
      </c>
      <c r="E92" s="4" t="str">
        <f ca="1">IF(OFFSET('2. Teams'!$A$1,ROW(E92)-1,COLUMN(E92)-1)="","",OFFSET('2. Teams'!$A$1,ROW(E92)-1,COLUMN(E92)-1))</f>
        <v/>
      </c>
      <c r="F92" s="4" t="str">
        <f ca="1">IF(OFFSET('2. Teams'!$A$1,ROW(F92)-1,COLUMN(F92)-1)="","",OFFSET('2. Teams'!$A$1,ROW(F92)-1,COLUMN(F92)-1))</f>
        <v/>
      </c>
      <c r="T92" s="3" t="str">
        <f ca="1">IF(A92&lt;&gt;"",MAX('Work Indirect'!$T:$T)+(ROW(A92)-1),"")</f>
        <v/>
      </c>
      <c r="U92" s="3" t="str">
        <f ca="1">IF(A92&lt;&gt;"",SUMIF('Work Indirect'!C:C,A92,'Work Indirect'!AC:AC),"")</f>
        <v/>
      </c>
      <c r="V92" s="149"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D93" s="4" t="str">
        <f ca="1">IF(OFFSET('2. Teams'!$A$1,ROW(D93)-1,COLUMN(D93)-1)="","",OFFSET('2. Teams'!$A$1,ROW(D93)-1,COLUMN(D93)-1))</f>
        <v/>
      </c>
      <c r="E93" s="4" t="str">
        <f ca="1">IF(OFFSET('2. Teams'!$A$1,ROW(E93)-1,COLUMN(E93)-1)="","",OFFSET('2. Teams'!$A$1,ROW(E93)-1,COLUMN(E93)-1))</f>
        <v/>
      </c>
      <c r="F93" s="4" t="str">
        <f ca="1">IF(OFFSET('2. Teams'!$A$1,ROW(F93)-1,COLUMN(F93)-1)="","",OFFSET('2. Teams'!$A$1,ROW(F93)-1,COLUMN(F93)-1))</f>
        <v/>
      </c>
      <c r="T93" s="3" t="str">
        <f ca="1">IF(A93&lt;&gt;"",MAX('Work Indirect'!$T:$T)+(ROW(A93)-1),"")</f>
        <v/>
      </c>
      <c r="U93" s="3" t="str">
        <f ca="1">IF(A93&lt;&gt;"",SUMIF('Work Indirect'!C:C,A93,'Work Indirect'!AC:AC),"")</f>
        <v/>
      </c>
      <c r="V93" s="149"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D94" s="4" t="str">
        <f ca="1">IF(OFFSET('2. Teams'!$A$1,ROW(D94)-1,COLUMN(D94)-1)="","",OFFSET('2. Teams'!$A$1,ROW(D94)-1,COLUMN(D94)-1))</f>
        <v/>
      </c>
      <c r="E94" s="4" t="str">
        <f ca="1">IF(OFFSET('2. Teams'!$A$1,ROW(E94)-1,COLUMN(E94)-1)="","",OFFSET('2. Teams'!$A$1,ROW(E94)-1,COLUMN(E94)-1))</f>
        <v/>
      </c>
      <c r="F94" s="4" t="str">
        <f ca="1">IF(OFFSET('2. Teams'!$A$1,ROW(F94)-1,COLUMN(F94)-1)="","",OFFSET('2. Teams'!$A$1,ROW(F94)-1,COLUMN(F94)-1))</f>
        <v/>
      </c>
      <c r="T94" s="3" t="str">
        <f ca="1">IF(A94&lt;&gt;"",MAX('Work Indirect'!$T:$T)+(ROW(A94)-1),"")</f>
        <v/>
      </c>
      <c r="U94" s="3" t="str">
        <f ca="1">IF(A94&lt;&gt;"",SUMIF('Work Indirect'!C:C,A94,'Work Indirect'!AC:AC),"")</f>
        <v/>
      </c>
      <c r="V94" s="149"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D95" s="4" t="str">
        <f ca="1">IF(OFFSET('2. Teams'!$A$1,ROW(D95)-1,COLUMN(D95)-1)="","",OFFSET('2. Teams'!$A$1,ROW(D95)-1,COLUMN(D95)-1))</f>
        <v/>
      </c>
      <c r="E95" s="4" t="str">
        <f ca="1">IF(OFFSET('2. Teams'!$A$1,ROW(E95)-1,COLUMN(E95)-1)="","",OFFSET('2. Teams'!$A$1,ROW(E95)-1,COLUMN(E95)-1))</f>
        <v/>
      </c>
      <c r="F95" s="4" t="str">
        <f ca="1">IF(OFFSET('2. Teams'!$A$1,ROW(F95)-1,COLUMN(F95)-1)="","",OFFSET('2. Teams'!$A$1,ROW(F95)-1,COLUMN(F95)-1))</f>
        <v/>
      </c>
      <c r="T95" s="3" t="str">
        <f ca="1">IF(A95&lt;&gt;"",MAX('Work Indirect'!$T:$T)+(ROW(A95)-1),"")</f>
        <v/>
      </c>
      <c r="U95" s="3" t="str">
        <f ca="1">IF(A95&lt;&gt;"",SUMIF('Work Indirect'!C:C,A95,'Work Indirect'!AC:AC),"")</f>
        <v/>
      </c>
      <c r="V95" s="149"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D96" s="4" t="str">
        <f ca="1">IF(OFFSET('2. Teams'!$A$1,ROW(D96)-1,COLUMN(D96)-1)="","",OFFSET('2. Teams'!$A$1,ROW(D96)-1,COLUMN(D96)-1))</f>
        <v/>
      </c>
      <c r="E96" s="4" t="str">
        <f ca="1">IF(OFFSET('2. Teams'!$A$1,ROW(E96)-1,COLUMN(E96)-1)="","",OFFSET('2. Teams'!$A$1,ROW(E96)-1,COLUMN(E96)-1))</f>
        <v/>
      </c>
      <c r="F96" s="4" t="str">
        <f ca="1">IF(OFFSET('2. Teams'!$A$1,ROW(F96)-1,COLUMN(F96)-1)="","",OFFSET('2. Teams'!$A$1,ROW(F96)-1,COLUMN(F96)-1))</f>
        <v/>
      </c>
      <c r="T96" s="3" t="str">
        <f ca="1">IF(A96&lt;&gt;"",MAX('Work Indirect'!$T:$T)+(ROW(A96)-1),"")</f>
        <v/>
      </c>
      <c r="U96" s="3" t="str">
        <f ca="1">IF(A96&lt;&gt;"",SUMIF('Work Indirect'!C:C,A96,'Work Indirect'!AC:AC),"")</f>
        <v/>
      </c>
      <c r="V96" s="149"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D97" s="4" t="str">
        <f ca="1">IF(OFFSET('2. Teams'!$A$1,ROW(D97)-1,COLUMN(D97)-1)="","",OFFSET('2. Teams'!$A$1,ROW(D97)-1,COLUMN(D97)-1))</f>
        <v/>
      </c>
      <c r="E97" s="4" t="str">
        <f ca="1">IF(OFFSET('2. Teams'!$A$1,ROW(E97)-1,COLUMN(E97)-1)="","",OFFSET('2. Teams'!$A$1,ROW(E97)-1,COLUMN(E97)-1))</f>
        <v/>
      </c>
      <c r="F97" s="4" t="str">
        <f ca="1">IF(OFFSET('2. Teams'!$A$1,ROW(F97)-1,COLUMN(F97)-1)="","",OFFSET('2. Teams'!$A$1,ROW(F97)-1,COLUMN(F97)-1))</f>
        <v/>
      </c>
      <c r="T97" s="3" t="str">
        <f ca="1">IF(A97&lt;&gt;"",MAX('Work Indirect'!$T:$T)+(ROW(A97)-1),"")</f>
        <v/>
      </c>
      <c r="U97" s="3" t="str">
        <f ca="1">IF(A97&lt;&gt;"",SUMIF('Work Indirect'!C:C,A97,'Work Indirect'!AC:AC),"")</f>
        <v/>
      </c>
      <c r="V97" s="149"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D98" s="4" t="str">
        <f ca="1">IF(OFFSET('2. Teams'!$A$1,ROW(D98)-1,COLUMN(D98)-1)="","",OFFSET('2. Teams'!$A$1,ROW(D98)-1,COLUMN(D98)-1))</f>
        <v/>
      </c>
      <c r="E98" s="4" t="str">
        <f ca="1">IF(OFFSET('2. Teams'!$A$1,ROW(E98)-1,COLUMN(E98)-1)="","",OFFSET('2. Teams'!$A$1,ROW(E98)-1,COLUMN(E98)-1))</f>
        <v/>
      </c>
      <c r="F98" s="4" t="str">
        <f ca="1">IF(OFFSET('2. Teams'!$A$1,ROW(F98)-1,COLUMN(F98)-1)="","",OFFSET('2. Teams'!$A$1,ROW(F98)-1,COLUMN(F98)-1))</f>
        <v/>
      </c>
      <c r="T98" s="3" t="str">
        <f ca="1">IF(A98&lt;&gt;"",MAX('Work Indirect'!$T:$T)+(ROW(A98)-1),"")</f>
        <v/>
      </c>
      <c r="U98" s="3" t="str">
        <f ca="1">IF(A98&lt;&gt;"",SUMIF('Work Indirect'!C:C,A98,'Work Indirect'!AC:AC),"")</f>
        <v/>
      </c>
      <c r="V98" s="149"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D99" s="4" t="str">
        <f ca="1">IF(OFFSET('2. Teams'!$A$1,ROW(D99)-1,COLUMN(D99)-1)="","",OFFSET('2. Teams'!$A$1,ROW(D99)-1,COLUMN(D99)-1))</f>
        <v/>
      </c>
      <c r="E99" s="4" t="str">
        <f ca="1">IF(OFFSET('2. Teams'!$A$1,ROW(E99)-1,COLUMN(E99)-1)="","",OFFSET('2. Teams'!$A$1,ROW(E99)-1,COLUMN(E99)-1))</f>
        <v/>
      </c>
      <c r="F99" s="4" t="str">
        <f ca="1">IF(OFFSET('2. Teams'!$A$1,ROW(F99)-1,COLUMN(F99)-1)="","",OFFSET('2. Teams'!$A$1,ROW(F99)-1,COLUMN(F99)-1))</f>
        <v/>
      </c>
      <c r="T99" s="3" t="str">
        <f ca="1">IF(A99&lt;&gt;"",MAX('Work Indirect'!$T:$T)+(ROW(A99)-1),"")</f>
        <v/>
      </c>
      <c r="U99" s="3" t="str">
        <f ca="1">IF(A99&lt;&gt;"",SUMIF('Work Indirect'!C:C,A99,'Work Indirect'!AC:AC),"")</f>
        <v/>
      </c>
      <c r="V99" s="149"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D100" s="4" t="str">
        <f ca="1">IF(OFFSET('2. Teams'!$A$1,ROW(D100)-1,COLUMN(D100)-1)="","",OFFSET('2. Teams'!$A$1,ROW(D100)-1,COLUMN(D100)-1))</f>
        <v/>
      </c>
      <c r="E100" s="4" t="str">
        <f ca="1">IF(OFFSET('2. Teams'!$A$1,ROW(E100)-1,COLUMN(E100)-1)="","",OFFSET('2. Teams'!$A$1,ROW(E100)-1,COLUMN(E100)-1))</f>
        <v/>
      </c>
      <c r="F100" s="4" t="str">
        <f ca="1">IF(OFFSET('2. Teams'!$A$1,ROW(F100)-1,COLUMN(F100)-1)="","",OFFSET('2. Teams'!$A$1,ROW(F100)-1,COLUMN(F100)-1))</f>
        <v/>
      </c>
      <c r="T100" s="3" t="str">
        <f ca="1">IF(A100&lt;&gt;"",MAX('Work Indirect'!$T:$T)+(ROW(A100)-1),"")</f>
        <v/>
      </c>
      <c r="U100" s="3" t="str">
        <f ca="1">IF(A100&lt;&gt;"",SUMIF('Work Indirect'!C:C,A100,'Work Indirect'!AC:AC),"")</f>
        <v/>
      </c>
      <c r="V100" s="149"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D101" s="4" t="str">
        <f ca="1">IF(OFFSET('2. Teams'!$A$1,ROW(D101)-1,COLUMN(D101)-1)="","",OFFSET('2. Teams'!$A$1,ROW(D101)-1,COLUMN(D101)-1))</f>
        <v/>
      </c>
      <c r="E101" s="4" t="str">
        <f ca="1">IF(OFFSET('2. Teams'!$A$1,ROW(E101)-1,COLUMN(E101)-1)="","",OFFSET('2. Teams'!$A$1,ROW(E101)-1,COLUMN(E101)-1))</f>
        <v/>
      </c>
      <c r="F101" s="4" t="str">
        <f ca="1">IF(OFFSET('2. Teams'!$A$1,ROW(F101)-1,COLUMN(F101)-1)="","",OFFSET('2. Teams'!$A$1,ROW(F101)-1,COLUMN(F101)-1))</f>
        <v/>
      </c>
      <c r="T101" s="3" t="str">
        <f ca="1">IF(A101&lt;&gt;"",MAX('Work Indirect'!$T:$T)+(ROW(A101)-1),"")</f>
        <v/>
      </c>
      <c r="U101" s="3" t="str">
        <f ca="1">IF(A101&lt;&gt;"",SUMIF('Work Indirect'!C:C,A101,'Work Indirect'!AC:AC),"")</f>
        <v/>
      </c>
      <c r="V101" s="149"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AC251"/>
  <sheetViews>
    <sheetView topLeftCell="H1" workbookViewId="0">
      <selection activeCell="I13" sqref="I13"/>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3" max="23" width="11.5703125" customWidth="1"/>
  </cols>
  <sheetData>
    <row r="1" spans="1:29" x14ac:dyDescent="0.25">
      <c r="A1" s="3" t="str">
        <f ca="1">IF(OFFSET('3. MVP or Initiative'!$A$1,ROW(A1)-1,COLUMN(A1)-1)="","",OFFSET('3. MVP or Initiative'!$A$1,ROW(A1)-1,COLUMN(A1)-1))</f>
        <v>Title</v>
      </c>
      <c r="B1" s="3" t="str">
        <f ca="1">IF(OFFSET('3. MVP or Initiative'!$A$1,ROW(B1)-1,COLUMN(B1)-1)="","",OFFSET('3. MVP or Initiative'!$A$1,ROW(B1)-1,COLUMN(B1)-1))</f>
        <v>Strategy (most supported)</v>
      </c>
      <c r="C1" s="3" t="str">
        <f ca="1">IF(OFFSET('3. MVP or Initiative'!$A$1,ROW(C1)-1,COLUMN(C1)-1)="","",OFFSET('3. MVP or Initiative'!$A$1,ROW(C1)-1,COLUMN(C1)-1))</f>
        <v>And Strategy…</v>
      </c>
      <c r="D1" s="3" t="str">
        <f ca="1">IF(OFFSET('3. MVP or Initiative'!$A$1,ROW(D1)-1,COLUMN(D1)-1)="","",OFFSET('3. MVP or Initiative'!$A$1,ROW(D1)-1,COLUMN(D1)-1))</f>
        <v>And Strategy</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v>
      </c>
      <c r="T1" s="1" t="s">
        <v>51</v>
      </c>
      <c r="U1" s="1" t="s">
        <v>276</v>
      </c>
      <c r="V1" s="1" t="s">
        <v>3</v>
      </c>
      <c r="W1" s="1" t="s">
        <v>53</v>
      </c>
      <c r="X1" s="1" t="s">
        <v>271</v>
      </c>
      <c r="Y1" s="1" t="s">
        <v>272</v>
      </c>
      <c r="Z1" s="1" t="s">
        <v>277</v>
      </c>
      <c r="AA1" s="1" t="s">
        <v>273</v>
      </c>
      <c r="AB1" s="1" t="s">
        <v>274</v>
      </c>
      <c r="AC1" s="1" t="s">
        <v>275</v>
      </c>
    </row>
    <row r="2" spans="1:29"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Security and Governance</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 but they are PCI compliant</v>
      </c>
      <c r="H2" s="3" t="str">
        <f ca="1">IF(OFFSET('3. MVP or Initiative'!$A$1,ROW(H2)-1,COLUMN(H2)-1)="","",OFFSET('3. MVP or Initiative'!$A$1,ROW(H2)-1,COLUMN(H2)-1))</f>
        <v/>
      </c>
      <c r="T2" s="3">
        <f ca="1">IF(A2&lt;&gt;"",MAX('Strategy Indirect'!$T:$T)+(ROW(A2)-1),"")</f>
        <v>4</v>
      </c>
      <c r="U2" s="159">
        <f ca="1">IF(B2&lt;&gt;"",SUMIF('Work Indirect'!B:B,'Initiative Indirect'!A2,'Work Indirect'!AC:AC),"")</f>
        <v>5.5833333333333339</v>
      </c>
      <c r="V2" s="3" t="str">
        <f ca="1">IF(A2&lt;&gt;"",IF(F2="",IF(E2="","",INDEX(Priorities[Color],MATCH(E2,Priorities[Priorities],0),0)),F2),"")</f>
        <v>Orange</v>
      </c>
      <c r="W2" s="3">
        <f ca="1">IF(B2&lt;&gt;"",INDEX('Strategy Indirect'!$T:$T,MATCH(B2,'Strategy Indirect'!$A:$A,0)),"")</f>
        <v>0</v>
      </c>
      <c r="X2" s="3">
        <f ca="1">IF(C2&lt;&gt;"",INDEX('Strategy Indirect'!$T:$T,MATCH(C2,'Strategy Indirect'!$A:$A,0)),"")</f>
        <v>1</v>
      </c>
      <c r="Y2" s="3" t="str">
        <f ca="1">IF(D2&lt;&gt;"",INDEX('Strategy Indirect'!$T:$T,MATCH(D2,'Strategy Indirect'!$A:$A,0)),"")</f>
        <v/>
      </c>
      <c r="Z2" s="3">
        <f ca="1">IF(A2&lt;&gt;"",3-COUNTIF($B2:$D2,""),"")</f>
        <v>2</v>
      </c>
      <c r="AA2" s="159">
        <f ca="1">IF($A2&lt;&gt;"", IF(B2&lt;&gt;"",$U2/$Z2,""),"")</f>
        <v>2.791666666666667</v>
      </c>
      <c r="AB2" s="159">
        <f ca="1">IF($A2&lt;&gt;"", IF(C2&lt;&gt;"",$U2/$Z2,""),"")</f>
        <v>2.791666666666667</v>
      </c>
      <c r="AC2" s="159" t="str">
        <f ca="1">IF($A2&lt;&gt;"", IF(D2&lt;&gt;"",$U2/$Z2,""),"")</f>
        <v/>
      </c>
    </row>
    <row r="3" spans="1:29"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159">
        <f ca="1">IF(B3&lt;&gt;"",SUMIF('Work Indirect'!B:B,'Initiative Indirect'!A3,'Work Indirect'!AC:AC),"")</f>
        <v>1.3863636363636362</v>
      </c>
      <c r="V3" s="3" t="str">
        <f ca="1">IF(A3&lt;&gt;"",IF(F3="",IF(E3="","",INDEX(Priorities[Color],MATCH(E3,Priorities[Priorities],0),0)),F3),"")</f>
        <v>Red</v>
      </c>
      <c r="W3" s="3">
        <f ca="1">IF(B3&lt;&gt;"",INDEX('Strategy Indirect'!$T:$T,MATCH(B3,'Strategy Indirect'!$A:$A,0)),"")</f>
        <v>0</v>
      </c>
      <c r="X3" s="3" t="str">
        <f ca="1">IF(C3&lt;&gt;"",INDEX('Strategy Indirect'!$T:$T,MATCH(C3,'Strategy Indirect'!$A:$A,0)),"")</f>
        <v/>
      </c>
      <c r="Y3" s="3" t="str">
        <f ca="1">IF(D3&lt;&gt;"",INDEX('Strategy Indirect'!$T:$T,MATCH(D3,'Strategy Indirect'!$A:$A,0)),"")</f>
        <v/>
      </c>
      <c r="Z3" s="3">
        <f t="shared" ref="Z3:Z66" ca="1" si="0">IF(A3&lt;&gt;"",3-COUNTIF($B3:$D3,""),"")</f>
        <v>1</v>
      </c>
      <c r="AA3" s="159">
        <f ca="1">IF($A3&lt;&gt;"", IF(B3&lt;&gt;"",$U3/$Z3,""),"")</f>
        <v>1.3863636363636362</v>
      </c>
      <c r="AB3" s="159" t="str">
        <f ca="1">IF($A3&lt;&gt;"", IF(C3&lt;&gt;"",$U3/$Z3,""),"")</f>
        <v/>
      </c>
      <c r="AC3" s="159" t="str">
        <f ca="1">IF($A3&lt;&gt;"", IF(D3&lt;&gt;"",$U3/$Z3,""),"")</f>
        <v/>
      </c>
    </row>
    <row r="4" spans="1:29"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159">
        <f ca="1">IF(B4&lt;&gt;"",SUMIF('Work Indirect'!B:B,'Initiative Indirect'!A4,'Work Indirect'!AC:AC),"")</f>
        <v>4.4444444444444446</v>
      </c>
      <c r="V4" s="3" t="str">
        <f ca="1">IF(A4&lt;&gt;"",IF(F4="",IF(E4="","",INDEX(Priorities[Color],MATCH(E4,Priorities[Priorities],0),0)),F4),"")</f>
        <v>Red</v>
      </c>
      <c r="W4" s="3">
        <f ca="1">IF(B4&lt;&gt;"",INDEX('Strategy Indirect'!$T:$T,MATCH(B4,'Strategy Indirect'!$A:$A,0)),"")</f>
        <v>1</v>
      </c>
      <c r="X4" s="3" t="str">
        <f ca="1">IF(C4&lt;&gt;"",INDEX('Strategy Indirect'!$T:$T,MATCH(C4,'Strategy Indirect'!$A:$A,0)),"")</f>
        <v/>
      </c>
      <c r="Y4" s="3" t="str">
        <f ca="1">IF(D4&lt;&gt;"",INDEX('Strategy Indirect'!$T:$T,MATCH(D4,'Strategy Indirect'!$A:$A,0)),"")</f>
        <v/>
      </c>
      <c r="Z4" s="3">
        <f t="shared" ca="1" si="0"/>
        <v>1</v>
      </c>
      <c r="AA4" s="159">
        <f ca="1">IF($A4&lt;&gt;"", IF(B4&lt;&gt;"",$U4/$Z4,""),"")</f>
        <v>4.4444444444444446</v>
      </c>
      <c r="AB4" s="159" t="str">
        <f ca="1">IF($A4&lt;&gt;"", IF(C4&lt;&gt;"",$U4/$Z4,""),"")</f>
        <v/>
      </c>
      <c r="AC4" s="159" t="str">
        <f ca="1">IF($A4&lt;&gt;"", IF(D4&lt;&gt;"",$U4/$Z4,""),"")</f>
        <v/>
      </c>
    </row>
    <row r="5" spans="1:29"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159">
        <f ca="1">IF(B5&lt;&gt;"",SUMIF('Work Indirect'!B:B,'Initiative Indirect'!A5,'Work Indirect'!AC:AC),"")</f>
        <v>2.4444444444444442</v>
      </c>
      <c r="V5" s="3" t="str">
        <f ca="1">IF(A5&lt;&gt;"",IF(F5="",IF(E5="","",INDEX(Priorities[Color],MATCH(E5,Priorities[Priorities],0),0)),F5),"")</f>
        <v>Orange</v>
      </c>
      <c r="W5" s="3">
        <f ca="1">IF(B5&lt;&gt;"",INDEX('Strategy Indirect'!$T:$T,MATCH(B5,'Strategy Indirect'!$A:$A,0)),"")</f>
        <v>1</v>
      </c>
      <c r="X5" s="3" t="str">
        <f ca="1">IF(C5&lt;&gt;"",INDEX('Strategy Indirect'!$T:$T,MATCH(C5,'Strategy Indirect'!$A:$A,0)),"")</f>
        <v/>
      </c>
      <c r="Y5" s="3" t="str">
        <f ca="1">IF(D5&lt;&gt;"",INDEX('Strategy Indirect'!$T:$T,MATCH(D5,'Strategy Indirect'!$A:$A,0)),"")</f>
        <v/>
      </c>
      <c r="Z5" s="3">
        <f t="shared" ca="1" si="0"/>
        <v>1</v>
      </c>
      <c r="AA5" s="159">
        <f ca="1">IF($A5&lt;&gt;"", IF(B5&lt;&gt;"",$U5/$Z5,""),"")</f>
        <v>2.4444444444444442</v>
      </c>
      <c r="AB5" s="159" t="str">
        <f ca="1">IF($A5&lt;&gt;"", IF(C5&lt;&gt;"",$U5/$Z5,""),"")</f>
        <v/>
      </c>
      <c r="AC5" s="159" t="str">
        <f ca="1">IF($A5&lt;&gt;"", IF(D5&lt;&gt;"",$U5/$Z5,""),"")</f>
        <v/>
      </c>
    </row>
    <row r="6" spans="1:29"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159">
        <f ca="1">IF(B6&lt;&gt;"",SUMIF('Work Indirect'!B:B,'Initiative Indirect'!A6,'Work Indirect'!AC:AC),"")</f>
        <v>2.689393939393939</v>
      </c>
      <c r="V6" s="3" t="str">
        <f ca="1">IF(A6&lt;&gt;"",IF(F6="",IF(E6="","",INDEX(Priorities[Color],MATCH(E6,Priorities[Priorities],0),0)),F6),"")</f>
        <v>Orange</v>
      </c>
      <c r="W6" s="3">
        <f ca="1">IF(B6&lt;&gt;"",INDEX('Strategy Indirect'!$T:$T,MATCH(B6,'Strategy Indirect'!$A:$A,0)),"")</f>
        <v>1</v>
      </c>
      <c r="X6" s="3" t="str">
        <f ca="1">IF(C6&lt;&gt;"",INDEX('Strategy Indirect'!$T:$T,MATCH(C6,'Strategy Indirect'!$A:$A,0)),"")</f>
        <v/>
      </c>
      <c r="Y6" s="3" t="str">
        <f ca="1">IF(D6&lt;&gt;"",INDEX('Strategy Indirect'!$T:$T,MATCH(D6,'Strategy Indirect'!$A:$A,0)),"")</f>
        <v/>
      </c>
      <c r="Z6" s="3">
        <f t="shared" ca="1" si="0"/>
        <v>1</v>
      </c>
      <c r="AA6" s="159">
        <f ca="1">IF($A6&lt;&gt;"", IF(B6&lt;&gt;"",$U6/$Z6,""),"")</f>
        <v>2.689393939393939</v>
      </c>
      <c r="AB6" s="159" t="str">
        <f ca="1">IF($A6&lt;&gt;"", IF(C6&lt;&gt;"",$U6/$Z6,""),"")</f>
        <v/>
      </c>
      <c r="AC6" s="159" t="str">
        <f ca="1">IF($A6&lt;&gt;"", IF(D6&lt;&gt;"",$U6/$Z6,""),"")</f>
        <v/>
      </c>
    </row>
    <row r="7" spans="1:29"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159">
        <f ca="1">IF(B7&lt;&gt;"",SUMIF('Work Indirect'!B:B,'Initiative Indirect'!A7,'Work Indirect'!AC:AC),"")</f>
        <v>3</v>
      </c>
      <c r="V7" s="3" t="str">
        <f ca="1">IF(A7&lt;&gt;"",IF(F7="",IF(E7="","",INDEX(Priorities[Color],MATCH(E7,Priorities[Priorities],0),0)),F7),"")</f>
        <v>Orange</v>
      </c>
      <c r="W7" s="3">
        <f ca="1">IF(B7&lt;&gt;"",INDEX('Strategy Indirect'!$T:$T,MATCH(B7,'Strategy Indirect'!$A:$A,0)),"")</f>
        <v>2</v>
      </c>
      <c r="X7" s="3" t="str">
        <f ca="1">IF(C7&lt;&gt;"",INDEX('Strategy Indirect'!$T:$T,MATCH(C7,'Strategy Indirect'!$A:$A,0)),"")</f>
        <v/>
      </c>
      <c r="Y7" s="3" t="str">
        <f ca="1">IF(D7&lt;&gt;"",INDEX('Strategy Indirect'!$T:$T,MATCH(D7,'Strategy Indirect'!$A:$A,0)),"")</f>
        <v/>
      </c>
      <c r="Z7" s="3">
        <f t="shared" ca="1" si="0"/>
        <v>1</v>
      </c>
      <c r="AA7" s="159">
        <f ca="1">IF($A7&lt;&gt;"", IF(B7&lt;&gt;"",$U7/$Z7,""),"")</f>
        <v>3</v>
      </c>
      <c r="AB7" s="159" t="str">
        <f ca="1">IF($A7&lt;&gt;"", IF(C7&lt;&gt;"",$U7/$Z7,""),"")</f>
        <v/>
      </c>
      <c r="AC7" s="159" t="str">
        <f ca="1">IF($A7&lt;&gt;"", IF(D7&lt;&gt;"",$U7/$Z7,""),"")</f>
        <v/>
      </c>
    </row>
    <row r="8" spans="1:29"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159">
        <f ca="1">IF(B8&lt;&gt;"",SUMIF('Work Indirect'!B:B,'Initiative Indirect'!A8,'Work Indirect'!AC:AC),"")</f>
        <v>2.25</v>
      </c>
      <c r="V8" s="3" t="str">
        <f ca="1">IF(A8&lt;&gt;"",IF(F8="",IF(E8="","",INDEX(Priorities[Color],MATCH(E8,Priorities[Priorities],0),0)),F8),"")</f>
        <v>Green</v>
      </c>
      <c r="W8" s="3">
        <f ca="1">IF(B8&lt;&gt;"",INDEX('Strategy Indirect'!$T:$T,MATCH(B8,'Strategy Indirect'!$A:$A,0)),"")</f>
        <v>3</v>
      </c>
      <c r="X8" s="3" t="str">
        <f ca="1">IF(C8&lt;&gt;"",INDEX('Strategy Indirect'!$T:$T,MATCH(C8,'Strategy Indirect'!$A:$A,0)),"")</f>
        <v/>
      </c>
      <c r="Y8" s="3" t="str">
        <f ca="1">IF(D8&lt;&gt;"",INDEX('Strategy Indirect'!$T:$T,MATCH(D8,'Strategy Indirect'!$A:$A,0)),"")</f>
        <v/>
      </c>
      <c r="Z8" s="3">
        <f t="shared" ca="1" si="0"/>
        <v>1</v>
      </c>
      <c r="AA8" s="159">
        <f ca="1">IF($A8&lt;&gt;"", IF(B8&lt;&gt;"",$U8/$Z8,""),"")</f>
        <v>2.25</v>
      </c>
      <c r="AB8" s="159" t="str">
        <f ca="1">IF($A8&lt;&gt;"", IF(C8&lt;&gt;"",$U8/$Z8,""),"")</f>
        <v/>
      </c>
      <c r="AC8" s="159" t="str">
        <f ca="1">IF($A8&lt;&gt;"", IF(D8&lt;&gt;"",$U8/$Z8,""),"")</f>
        <v/>
      </c>
    </row>
    <row r="9" spans="1:29"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Security and Governance</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159">
        <f ca="1">IF(B9&lt;&gt;"",SUMIF('Work Indirect'!B:B,'Initiative Indirect'!A9,'Work Indirect'!AC:AC),"")</f>
        <v>1.4166666666666665</v>
      </c>
      <c r="V9" s="3" t="str">
        <f ca="1">IF(A9&lt;&gt;"",IF(F9="",IF(E9="","",INDEX(Priorities[Color],MATCH(E9,Priorities[Priorities],0),0)),F9),"")</f>
        <v>Yellow</v>
      </c>
      <c r="W9" s="3">
        <f ca="1">IF(B9&lt;&gt;"",INDEX('Strategy Indirect'!$T:$T,MATCH(B9,'Strategy Indirect'!$A:$A,0)),"")</f>
        <v>3</v>
      </c>
      <c r="X9" s="3">
        <f ca="1">IF(C9&lt;&gt;"",INDEX('Strategy Indirect'!$T:$T,MATCH(C9,'Strategy Indirect'!$A:$A,0)),"")</f>
        <v>1</v>
      </c>
      <c r="Y9" s="3" t="str">
        <f ca="1">IF(D9&lt;&gt;"",INDEX('Strategy Indirect'!$T:$T,MATCH(D9,'Strategy Indirect'!$A:$A,0)),"")</f>
        <v/>
      </c>
      <c r="Z9" s="3">
        <f t="shared" ca="1" si="0"/>
        <v>2</v>
      </c>
      <c r="AA9" s="159">
        <f ca="1">IF($A9&lt;&gt;"", IF(B9&lt;&gt;"",$U9/$Z9,""),"")</f>
        <v>0.70833333333333326</v>
      </c>
      <c r="AB9" s="159">
        <f ca="1">IF($A9&lt;&gt;"", IF(C9&lt;&gt;"",$U9/$Z9,""),"")</f>
        <v>0.70833333333333326</v>
      </c>
      <c r="AC9" s="159" t="str">
        <f ca="1">IF($A9&lt;&gt;"", IF(D9&lt;&gt;"",$U9/$Z9,""),"")</f>
        <v/>
      </c>
    </row>
    <row r="10" spans="1:29"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159" t="str">
        <f ca="1">IF(B10&lt;&gt;"",SUMIF('Work Indirect'!B:B,'Initiative Indirect'!A10,'Work Indirect'!AC:AC),"")</f>
        <v/>
      </c>
      <c r="V10" s="3" t="str">
        <f ca="1">IF(A10&lt;&gt;"",IF(F10="",IF(E10="","",INDEX(Priorities[Color],MATCH(E10,Priorities[Priorities],0),0)),F10),"")</f>
        <v/>
      </c>
      <c r="W10" s="3" t="str">
        <f ca="1">IF(B10&lt;&gt;"",INDEX('Strategy Indirect'!$T:$T,MATCH(B10,'Strategy Indirect'!$A:$A,0)),"")</f>
        <v/>
      </c>
      <c r="X10" s="3" t="str">
        <f ca="1">IF(C10&lt;&gt;"",INDEX('Strategy Indirect'!$T:$T,MATCH(C10,'Strategy Indirect'!$A:$A,0)),"")</f>
        <v/>
      </c>
      <c r="Y10" s="3" t="str">
        <f ca="1">IF(D10&lt;&gt;"",INDEX('Strategy Indirect'!$T:$T,MATCH(D10,'Strategy Indirect'!$A:$A,0)),"")</f>
        <v/>
      </c>
      <c r="Z10" s="3" t="str">
        <f t="shared" ca="1" si="0"/>
        <v/>
      </c>
      <c r="AA10" s="159" t="str">
        <f ca="1">IF($A10&lt;&gt;"", IF(B10&lt;&gt;"",$U10/$Z10,""),"")</f>
        <v/>
      </c>
      <c r="AB10" s="159" t="str">
        <f ca="1">IF($A10&lt;&gt;"", IF(C10&lt;&gt;"",$U10/$Z10,""),"")</f>
        <v/>
      </c>
      <c r="AC10" s="159" t="str">
        <f ca="1">IF($A10&lt;&gt;"", IF(D10&lt;&gt;"",$U10/$Z10,""),"")</f>
        <v/>
      </c>
    </row>
    <row r="11" spans="1:29"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159" t="str">
        <f ca="1">IF(B11&lt;&gt;"",SUMIF('Work Indirect'!B:B,'Initiative Indirect'!A11,'Work Indirect'!AC:AC),"")</f>
        <v/>
      </c>
      <c r="V11" s="3" t="str">
        <f ca="1">IF(A11&lt;&gt;"",IF(F11="",IF(E11="","",INDEX(Priorities[Color],MATCH(E11,Priorities[Priorities],0),0)),F11),"")</f>
        <v/>
      </c>
      <c r="W11" s="3" t="str">
        <f ca="1">IF(B11&lt;&gt;"",INDEX('Strategy Indirect'!$T:$T,MATCH(B11,'Strategy Indirect'!$A:$A,0)),"")</f>
        <v/>
      </c>
      <c r="X11" s="3" t="str">
        <f ca="1">IF(C11&lt;&gt;"",INDEX('Strategy Indirect'!$T:$T,MATCH(C11,'Strategy Indirect'!$A:$A,0)),"")</f>
        <v/>
      </c>
      <c r="Y11" s="3" t="str">
        <f ca="1">IF(D11&lt;&gt;"",INDEX('Strategy Indirect'!$T:$T,MATCH(D11,'Strategy Indirect'!$A:$A,0)),"")</f>
        <v/>
      </c>
      <c r="Z11" s="3" t="str">
        <f t="shared" ca="1" si="0"/>
        <v/>
      </c>
      <c r="AA11" s="159" t="str">
        <f ca="1">IF($A11&lt;&gt;"", IF(B11&lt;&gt;"",$U11/$Z11,""),"")</f>
        <v/>
      </c>
      <c r="AB11" s="159" t="str">
        <f ca="1">IF($A11&lt;&gt;"", IF(C11&lt;&gt;"",$U11/$Z11,""),"")</f>
        <v/>
      </c>
      <c r="AC11" s="159" t="str">
        <f ca="1">IF($A11&lt;&gt;"", IF(D11&lt;&gt;"",$U11/$Z11,""),"")</f>
        <v/>
      </c>
    </row>
    <row r="12" spans="1:29"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159" t="str">
        <f ca="1">IF(B12&lt;&gt;"",SUMIF('Work Indirect'!B:B,'Initiative Indirect'!A12,'Work Indirect'!AC:AC),"")</f>
        <v/>
      </c>
      <c r="V12" s="3" t="str">
        <f ca="1">IF(A12&lt;&gt;"",IF(F12="",IF(E12="","",INDEX(Priorities[Color],MATCH(E12,Priorities[Priorities],0),0)),F12),"")</f>
        <v/>
      </c>
      <c r="W12" s="3" t="str">
        <f ca="1">IF(B12&lt;&gt;"",INDEX('Strategy Indirect'!$T:$T,MATCH(B12,'Strategy Indirect'!$A:$A,0)),"")</f>
        <v/>
      </c>
      <c r="X12" s="3" t="str">
        <f ca="1">IF(C12&lt;&gt;"",INDEX('Strategy Indirect'!$T:$T,MATCH(C12,'Strategy Indirect'!$A:$A,0)),"")</f>
        <v/>
      </c>
      <c r="Y12" s="3" t="str">
        <f ca="1">IF(D12&lt;&gt;"",INDEX('Strategy Indirect'!$T:$T,MATCH(D12,'Strategy Indirect'!$A:$A,0)),"")</f>
        <v/>
      </c>
      <c r="Z12" s="3" t="str">
        <f t="shared" ca="1" si="0"/>
        <v/>
      </c>
      <c r="AA12" s="159" t="str">
        <f ca="1">IF($A12&lt;&gt;"", IF(B12&lt;&gt;"",$U12/$Z12,""),"")</f>
        <v/>
      </c>
      <c r="AB12" s="159" t="str">
        <f ca="1">IF($A12&lt;&gt;"", IF(C12&lt;&gt;"",$U12/$Z12,""),"")</f>
        <v/>
      </c>
      <c r="AC12" s="159" t="str">
        <f ca="1">IF($A12&lt;&gt;"", IF(D12&lt;&gt;"",$U12/$Z12,""),"")</f>
        <v/>
      </c>
    </row>
    <row r="13" spans="1:29"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159" t="str">
        <f ca="1">IF(B13&lt;&gt;"",SUMIF('Work Indirect'!B:B,'Initiative Indirect'!A13,'Work Indirect'!AC:AC),"")</f>
        <v/>
      </c>
      <c r="V13" s="3" t="str">
        <f ca="1">IF(A13&lt;&gt;"",IF(F13="",IF(E13="","",INDEX(Priorities[Color],MATCH(E13,Priorities[Priorities],0),0)),F13),"")</f>
        <v/>
      </c>
      <c r="W13" s="3" t="str">
        <f ca="1">IF(B13&lt;&gt;"",INDEX('Strategy Indirect'!$T:$T,MATCH(B13,'Strategy Indirect'!$A:$A,0)),"")</f>
        <v/>
      </c>
      <c r="X13" s="3" t="str">
        <f ca="1">IF(C13&lt;&gt;"",INDEX('Strategy Indirect'!$T:$T,MATCH(C13,'Strategy Indirect'!$A:$A,0)),"")</f>
        <v/>
      </c>
      <c r="Y13" s="3" t="str">
        <f ca="1">IF(D13&lt;&gt;"",INDEX('Strategy Indirect'!$T:$T,MATCH(D13,'Strategy Indirect'!$A:$A,0)),"")</f>
        <v/>
      </c>
      <c r="Z13" s="3" t="str">
        <f t="shared" ca="1" si="0"/>
        <v/>
      </c>
      <c r="AA13" s="159" t="str">
        <f ca="1">IF($A13&lt;&gt;"", IF(B13&lt;&gt;"",$U13/$Z13,""),"")</f>
        <v/>
      </c>
      <c r="AB13" s="159" t="str">
        <f ca="1">IF($A13&lt;&gt;"", IF(C13&lt;&gt;"",$U13/$Z13,""),"")</f>
        <v/>
      </c>
      <c r="AC13" s="159" t="str">
        <f ca="1">IF($A13&lt;&gt;"", IF(D13&lt;&gt;"",$U13/$Z13,""),"")</f>
        <v/>
      </c>
    </row>
    <row r="14" spans="1:29"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159" t="str">
        <f ca="1">IF(B14&lt;&gt;"",SUMIF('Work Indirect'!B:B,'Initiative Indirect'!A14,'Work Indirect'!AC:AC),"")</f>
        <v/>
      </c>
      <c r="V14" s="3" t="str">
        <f ca="1">IF(A14&lt;&gt;"",IF(F14="",IF(E14="","",INDEX(Priorities[Color],MATCH(E14,Priorities[Priorities],0),0)),F14),"")</f>
        <v/>
      </c>
      <c r="W14" s="3" t="str">
        <f ca="1">IF(B14&lt;&gt;"",INDEX('Strategy Indirect'!$T:$T,MATCH(B14,'Strategy Indirect'!$A:$A,0)),"")</f>
        <v/>
      </c>
      <c r="X14" s="3" t="str">
        <f ca="1">IF(C14&lt;&gt;"",INDEX('Strategy Indirect'!$T:$T,MATCH(C14,'Strategy Indirect'!$A:$A,0)),"")</f>
        <v/>
      </c>
      <c r="Y14" s="3" t="str">
        <f ca="1">IF(D14&lt;&gt;"",INDEX('Strategy Indirect'!$T:$T,MATCH(D14,'Strategy Indirect'!$A:$A,0)),"")</f>
        <v/>
      </c>
      <c r="Z14" s="3" t="str">
        <f t="shared" ca="1" si="0"/>
        <v/>
      </c>
      <c r="AA14" s="159" t="str">
        <f ca="1">IF($A14&lt;&gt;"", IF(B14&lt;&gt;"",$U14/$Z14,""),"")</f>
        <v/>
      </c>
      <c r="AB14" s="159" t="str">
        <f ca="1">IF($A14&lt;&gt;"", IF(C14&lt;&gt;"",$U14/$Z14,""),"")</f>
        <v/>
      </c>
      <c r="AC14" s="159" t="str">
        <f ca="1">IF($A14&lt;&gt;"", IF(D14&lt;&gt;"",$U14/$Z14,""),"")</f>
        <v/>
      </c>
    </row>
    <row r="15" spans="1:29"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159" t="str">
        <f ca="1">IF(B15&lt;&gt;"",SUMIF('Work Indirect'!B:B,'Initiative Indirect'!A15,'Work Indirect'!AC:AC),"")</f>
        <v/>
      </c>
      <c r="V15" s="3" t="str">
        <f ca="1">IF(A15&lt;&gt;"",IF(F15="",IF(E15="","",INDEX(Priorities[Color],MATCH(E15,Priorities[Priorities],0),0)),F15),"")</f>
        <v/>
      </c>
      <c r="W15" s="3" t="str">
        <f ca="1">IF(B15&lt;&gt;"",INDEX('Strategy Indirect'!$T:$T,MATCH(B15,'Strategy Indirect'!$A:$A,0)),"")</f>
        <v/>
      </c>
      <c r="X15" s="3" t="str">
        <f ca="1">IF(C15&lt;&gt;"",INDEX('Strategy Indirect'!$T:$T,MATCH(C15,'Strategy Indirect'!$A:$A,0)),"")</f>
        <v/>
      </c>
      <c r="Y15" s="3" t="str">
        <f ca="1">IF(D15&lt;&gt;"",INDEX('Strategy Indirect'!$T:$T,MATCH(D15,'Strategy Indirect'!$A:$A,0)),"")</f>
        <v/>
      </c>
      <c r="Z15" s="3" t="str">
        <f t="shared" ca="1" si="0"/>
        <v/>
      </c>
      <c r="AA15" s="159" t="str">
        <f ca="1">IF($A15&lt;&gt;"", IF(B15&lt;&gt;"",$U15/$Z15,""),"")</f>
        <v/>
      </c>
      <c r="AB15" s="159" t="str">
        <f ca="1">IF($A15&lt;&gt;"", IF(C15&lt;&gt;"",$U15/$Z15,""),"")</f>
        <v/>
      </c>
      <c r="AC15" s="159" t="str">
        <f ca="1">IF($A15&lt;&gt;"", IF(D15&lt;&gt;"",$U15/$Z15,""),"")</f>
        <v/>
      </c>
    </row>
    <row r="16" spans="1:29"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159" t="str">
        <f ca="1">IF(B16&lt;&gt;"",SUMIF('Work Indirect'!B:B,'Initiative Indirect'!A16,'Work Indirect'!AC:AC),"")</f>
        <v/>
      </c>
      <c r="V16" s="3" t="str">
        <f ca="1">IF(A16&lt;&gt;"",IF(F16="",IF(E16="","",INDEX(Priorities[Color],MATCH(E16,Priorities[Priorities],0),0)),F16),"")</f>
        <v/>
      </c>
      <c r="W16" s="3" t="str">
        <f ca="1">IF(B16&lt;&gt;"",INDEX('Strategy Indirect'!$T:$T,MATCH(B16,'Strategy Indirect'!$A:$A,0)),"")</f>
        <v/>
      </c>
      <c r="X16" s="3" t="str">
        <f ca="1">IF(C16&lt;&gt;"",INDEX('Strategy Indirect'!$T:$T,MATCH(C16,'Strategy Indirect'!$A:$A,0)),"")</f>
        <v/>
      </c>
      <c r="Y16" s="3" t="str">
        <f ca="1">IF(D16&lt;&gt;"",INDEX('Strategy Indirect'!$T:$T,MATCH(D16,'Strategy Indirect'!$A:$A,0)),"")</f>
        <v/>
      </c>
      <c r="Z16" s="3" t="str">
        <f t="shared" ca="1" si="0"/>
        <v/>
      </c>
      <c r="AA16" s="159" t="str">
        <f ca="1">IF($A16&lt;&gt;"", IF(B16&lt;&gt;"",$U16/$Z16,""),"")</f>
        <v/>
      </c>
      <c r="AB16" s="159" t="str">
        <f ca="1">IF($A16&lt;&gt;"", IF(C16&lt;&gt;"",$U16/$Z16,""),"")</f>
        <v/>
      </c>
      <c r="AC16" s="159" t="str">
        <f ca="1">IF($A16&lt;&gt;"", IF(D16&lt;&gt;"",$U16/$Z16,""),"")</f>
        <v/>
      </c>
    </row>
    <row r="17" spans="1:29"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159" t="str">
        <f ca="1">IF(B17&lt;&gt;"",SUMIF('Work Indirect'!B:B,'Initiative Indirect'!A17,'Work Indirect'!AC:AC),"")</f>
        <v/>
      </c>
      <c r="V17" s="3" t="str">
        <f ca="1">IF(A17&lt;&gt;"",IF(F17="",IF(E17="","",INDEX(Priorities[Color],MATCH(E17,Priorities[Priorities],0),0)),F17),"")</f>
        <v/>
      </c>
      <c r="W17" s="3" t="str">
        <f ca="1">IF(B17&lt;&gt;"",INDEX('Strategy Indirect'!$T:$T,MATCH(B17,'Strategy Indirect'!$A:$A,0)),"")</f>
        <v/>
      </c>
      <c r="X17" s="3" t="str">
        <f ca="1">IF(C17&lt;&gt;"",INDEX('Strategy Indirect'!$T:$T,MATCH(C17,'Strategy Indirect'!$A:$A,0)),"")</f>
        <v/>
      </c>
      <c r="Y17" s="3" t="str">
        <f ca="1">IF(D17&lt;&gt;"",INDEX('Strategy Indirect'!$T:$T,MATCH(D17,'Strategy Indirect'!$A:$A,0)),"")</f>
        <v/>
      </c>
      <c r="Z17" s="3" t="str">
        <f t="shared" ca="1" si="0"/>
        <v/>
      </c>
      <c r="AA17" s="159" t="str">
        <f ca="1">IF($A17&lt;&gt;"", IF(B17&lt;&gt;"",$U17/$Z17,""),"")</f>
        <v/>
      </c>
      <c r="AB17" s="159" t="str">
        <f ca="1">IF($A17&lt;&gt;"", IF(C17&lt;&gt;"",$U17/$Z17,""),"")</f>
        <v/>
      </c>
      <c r="AC17" s="159" t="str">
        <f ca="1">IF($A17&lt;&gt;"", IF(D17&lt;&gt;"",$U17/$Z17,""),"")</f>
        <v/>
      </c>
    </row>
    <row r="18" spans="1:29"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159" t="str">
        <f ca="1">IF(B18&lt;&gt;"",SUMIF('Work Indirect'!B:B,'Initiative Indirect'!A18,'Work Indirect'!AC:AC),"")</f>
        <v/>
      </c>
      <c r="V18" s="3" t="str">
        <f ca="1">IF(A18&lt;&gt;"",IF(F18="",IF(E18="","",INDEX(Priorities[Color],MATCH(E18,Priorities[Priorities],0),0)),F18),"")</f>
        <v/>
      </c>
      <c r="W18" s="3" t="str">
        <f ca="1">IF(B18&lt;&gt;"",INDEX('Strategy Indirect'!$T:$T,MATCH(B18,'Strategy Indirect'!$A:$A,0)),"")</f>
        <v/>
      </c>
      <c r="X18" s="3" t="str">
        <f ca="1">IF(C18&lt;&gt;"",INDEX('Strategy Indirect'!$T:$T,MATCH(C18,'Strategy Indirect'!$A:$A,0)),"")</f>
        <v/>
      </c>
      <c r="Y18" s="3" t="str">
        <f ca="1">IF(D18&lt;&gt;"",INDEX('Strategy Indirect'!$T:$T,MATCH(D18,'Strategy Indirect'!$A:$A,0)),"")</f>
        <v/>
      </c>
      <c r="Z18" s="3" t="str">
        <f t="shared" ca="1" si="0"/>
        <v/>
      </c>
      <c r="AA18" s="159" t="str">
        <f ca="1">IF($A18&lt;&gt;"", IF(B18&lt;&gt;"",$U18/$Z18,""),"")</f>
        <v/>
      </c>
      <c r="AB18" s="159" t="str">
        <f ca="1">IF($A18&lt;&gt;"", IF(C18&lt;&gt;"",$U18/$Z18,""),"")</f>
        <v/>
      </c>
      <c r="AC18" s="159" t="str">
        <f ca="1">IF($A18&lt;&gt;"", IF(D18&lt;&gt;"",$U18/$Z18,""),"")</f>
        <v/>
      </c>
    </row>
    <row r="19" spans="1:29"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159" t="str">
        <f ca="1">IF(B19&lt;&gt;"",SUMIF('Work Indirect'!B:B,'Initiative Indirect'!A19,'Work Indirect'!AC:AC),"")</f>
        <v/>
      </c>
      <c r="V19" s="3" t="str">
        <f ca="1">IF(A19&lt;&gt;"",IF(F19="",IF(E19="","",INDEX(Priorities[Color],MATCH(E19,Priorities[Priorities],0),0)),F19),"")</f>
        <v/>
      </c>
      <c r="W19" s="3" t="str">
        <f ca="1">IF(B19&lt;&gt;"",INDEX('Strategy Indirect'!$T:$T,MATCH(B19,'Strategy Indirect'!$A:$A,0)),"")</f>
        <v/>
      </c>
      <c r="X19" s="3" t="str">
        <f ca="1">IF(C19&lt;&gt;"",INDEX('Strategy Indirect'!$T:$T,MATCH(C19,'Strategy Indirect'!$A:$A,0)),"")</f>
        <v/>
      </c>
      <c r="Y19" s="3" t="str">
        <f ca="1">IF(D19&lt;&gt;"",INDEX('Strategy Indirect'!$T:$T,MATCH(D19,'Strategy Indirect'!$A:$A,0)),"")</f>
        <v/>
      </c>
      <c r="Z19" s="3" t="str">
        <f t="shared" ca="1" si="0"/>
        <v/>
      </c>
      <c r="AA19" s="159" t="str">
        <f ca="1">IF($A19&lt;&gt;"", IF(B19&lt;&gt;"",$U19/$Z19,""),"")</f>
        <v/>
      </c>
      <c r="AB19" s="159" t="str">
        <f ca="1">IF($A19&lt;&gt;"", IF(C19&lt;&gt;"",$U19/$Z19,""),"")</f>
        <v/>
      </c>
      <c r="AC19" s="159" t="str">
        <f ca="1">IF($A19&lt;&gt;"", IF(D19&lt;&gt;"",$U19/$Z19,""),"")</f>
        <v/>
      </c>
    </row>
    <row r="20" spans="1:29"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159" t="str">
        <f ca="1">IF(B20&lt;&gt;"",SUMIF('Work Indirect'!B:B,'Initiative Indirect'!A20,'Work Indirect'!AC:AC),"")</f>
        <v/>
      </c>
      <c r="V20" s="3" t="str">
        <f ca="1">IF(A20&lt;&gt;"",IF(F20="",IF(E20="","",INDEX(Priorities[Color],MATCH(E20,Priorities[Priorities],0),0)),F20),"")</f>
        <v/>
      </c>
      <c r="W20" s="3" t="str">
        <f ca="1">IF(B20&lt;&gt;"",INDEX('Strategy Indirect'!$T:$T,MATCH(B20,'Strategy Indirect'!$A:$A,0)),"")</f>
        <v/>
      </c>
      <c r="X20" s="3" t="str">
        <f ca="1">IF(C20&lt;&gt;"",INDEX('Strategy Indirect'!$T:$T,MATCH(C20,'Strategy Indirect'!$A:$A,0)),"")</f>
        <v/>
      </c>
      <c r="Y20" s="3" t="str">
        <f ca="1">IF(D20&lt;&gt;"",INDEX('Strategy Indirect'!$T:$T,MATCH(D20,'Strategy Indirect'!$A:$A,0)),"")</f>
        <v/>
      </c>
      <c r="Z20" s="3" t="str">
        <f t="shared" ca="1" si="0"/>
        <v/>
      </c>
      <c r="AA20" s="159" t="str">
        <f ca="1">IF($A20&lt;&gt;"", IF(B20&lt;&gt;"",$U20/$Z20,""),"")</f>
        <v/>
      </c>
      <c r="AB20" s="159" t="str">
        <f ca="1">IF($A20&lt;&gt;"", IF(C20&lt;&gt;"",$U20/$Z20,""),"")</f>
        <v/>
      </c>
      <c r="AC20" s="159" t="str">
        <f ca="1">IF($A20&lt;&gt;"", IF(D20&lt;&gt;"",$U20/$Z20,""),"")</f>
        <v/>
      </c>
    </row>
    <row r="21" spans="1:29"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159" t="str">
        <f ca="1">IF(B21&lt;&gt;"",SUMIF('Work Indirect'!B:B,'Initiative Indirect'!A21,'Work Indirect'!AC:AC),"")</f>
        <v/>
      </c>
      <c r="V21" s="3" t="str">
        <f ca="1">IF(A21&lt;&gt;"",IF(F21="",IF(E21="","",INDEX(Priorities[Color],MATCH(E21,Priorities[Priorities],0),0)),F21),"")</f>
        <v/>
      </c>
      <c r="W21" s="3" t="str">
        <f ca="1">IF(B21&lt;&gt;"",INDEX('Strategy Indirect'!$T:$T,MATCH(B21,'Strategy Indirect'!$A:$A,0)),"")</f>
        <v/>
      </c>
      <c r="X21" s="3" t="str">
        <f ca="1">IF(C21&lt;&gt;"",INDEX('Strategy Indirect'!$T:$T,MATCH(C21,'Strategy Indirect'!$A:$A,0)),"")</f>
        <v/>
      </c>
      <c r="Y21" s="3" t="str">
        <f ca="1">IF(D21&lt;&gt;"",INDEX('Strategy Indirect'!$T:$T,MATCH(D21,'Strategy Indirect'!$A:$A,0)),"")</f>
        <v/>
      </c>
      <c r="Z21" s="3" t="str">
        <f t="shared" ca="1" si="0"/>
        <v/>
      </c>
      <c r="AA21" s="159" t="str">
        <f ca="1">IF($A21&lt;&gt;"", IF(B21&lt;&gt;"",$U21/$Z21,""),"")</f>
        <v/>
      </c>
      <c r="AB21" s="159" t="str">
        <f ca="1">IF($A21&lt;&gt;"", IF(C21&lt;&gt;"",$U21/$Z21,""),"")</f>
        <v/>
      </c>
      <c r="AC21" s="159" t="str">
        <f ca="1">IF($A21&lt;&gt;"", IF(D21&lt;&gt;"",$U21/$Z21,""),"")</f>
        <v/>
      </c>
    </row>
    <row r="22" spans="1:29"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159" t="str">
        <f ca="1">IF(B22&lt;&gt;"",SUMIF('Work Indirect'!B:B,'Initiative Indirect'!A22,'Work Indirect'!AC:AC),"")</f>
        <v/>
      </c>
      <c r="V22" s="3" t="str">
        <f ca="1">IF(A22&lt;&gt;"",IF(F22="",IF(E22="","",INDEX(Priorities[Color],MATCH(E22,Priorities[Priorities],0),0)),F22),"")</f>
        <v/>
      </c>
      <c r="W22" s="3" t="str">
        <f ca="1">IF(B22&lt;&gt;"",INDEX('Strategy Indirect'!$T:$T,MATCH(B22,'Strategy Indirect'!$A:$A,0)),"")</f>
        <v/>
      </c>
      <c r="X22" s="3" t="str">
        <f ca="1">IF(C22&lt;&gt;"",INDEX('Strategy Indirect'!$T:$T,MATCH(C22,'Strategy Indirect'!$A:$A,0)),"")</f>
        <v/>
      </c>
      <c r="Y22" s="3" t="str">
        <f ca="1">IF(D22&lt;&gt;"",INDEX('Strategy Indirect'!$T:$T,MATCH(D22,'Strategy Indirect'!$A:$A,0)),"")</f>
        <v/>
      </c>
      <c r="Z22" s="3" t="str">
        <f t="shared" ca="1" si="0"/>
        <v/>
      </c>
      <c r="AA22" s="159" t="str">
        <f ca="1">IF($A22&lt;&gt;"", IF(B22&lt;&gt;"",$U22/$Z22,""),"")</f>
        <v/>
      </c>
      <c r="AB22" s="159" t="str">
        <f ca="1">IF($A22&lt;&gt;"", IF(C22&lt;&gt;"",$U22/$Z22,""),"")</f>
        <v/>
      </c>
      <c r="AC22" s="159" t="str">
        <f ca="1">IF($A22&lt;&gt;"", IF(D22&lt;&gt;"",$U22/$Z22,""),"")</f>
        <v/>
      </c>
    </row>
    <row r="23" spans="1:29"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159" t="str">
        <f ca="1">IF(B23&lt;&gt;"",SUMIF('Work Indirect'!B:B,'Initiative Indirect'!A23,'Work Indirect'!AC:AC),"")</f>
        <v/>
      </c>
      <c r="V23" s="3" t="str">
        <f ca="1">IF(A23&lt;&gt;"",IF(F23="",IF(E23="","",INDEX(Priorities[Color],MATCH(E23,Priorities[Priorities],0),0)),F23),"")</f>
        <v/>
      </c>
      <c r="W23" s="3" t="str">
        <f ca="1">IF(B23&lt;&gt;"",INDEX('Strategy Indirect'!$T:$T,MATCH(B23,'Strategy Indirect'!$A:$A,0)),"")</f>
        <v/>
      </c>
      <c r="X23" s="3" t="str">
        <f ca="1">IF(C23&lt;&gt;"",INDEX('Strategy Indirect'!$T:$T,MATCH(C23,'Strategy Indirect'!$A:$A,0)),"")</f>
        <v/>
      </c>
      <c r="Y23" s="3" t="str">
        <f ca="1">IF(D23&lt;&gt;"",INDEX('Strategy Indirect'!$T:$T,MATCH(D23,'Strategy Indirect'!$A:$A,0)),"")</f>
        <v/>
      </c>
      <c r="Z23" s="3" t="str">
        <f t="shared" ca="1" si="0"/>
        <v/>
      </c>
      <c r="AA23" s="159" t="str">
        <f ca="1">IF($A23&lt;&gt;"", IF(B23&lt;&gt;"",$U23/$Z23,""),"")</f>
        <v/>
      </c>
      <c r="AB23" s="159" t="str">
        <f ca="1">IF($A23&lt;&gt;"", IF(C23&lt;&gt;"",$U23/$Z23,""),"")</f>
        <v/>
      </c>
      <c r="AC23" s="159" t="str">
        <f ca="1">IF($A23&lt;&gt;"", IF(D23&lt;&gt;"",$U23/$Z23,""),"")</f>
        <v/>
      </c>
    </row>
    <row r="24" spans="1:29"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159" t="str">
        <f ca="1">IF(B24&lt;&gt;"",SUMIF('Work Indirect'!B:B,'Initiative Indirect'!A24,'Work Indirect'!AC:AC),"")</f>
        <v/>
      </c>
      <c r="V24" s="3" t="str">
        <f ca="1">IF(A24&lt;&gt;"",IF(F24="",IF(E24="","",INDEX(Priorities[Color],MATCH(E24,Priorities[Priorities],0),0)),F24),"")</f>
        <v/>
      </c>
      <c r="W24" s="3" t="str">
        <f ca="1">IF(B24&lt;&gt;"",INDEX('Strategy Indirect'!$T:$T,MATCH(B24,'Strategy Indirect'!$A:$A,0)),"")</f>
        <v/>
      </c>
      <c r="X24" s="3" t="str">
        <f ca="1">IF(C24&lt;&gt;"",INDEX('Strategy Indirect'!$T:$T,MATCH(C24,'Strategy Indirect'!$A:$A,0)),"")</f>
        <v/>
      </c>
      <c r="Y24" s="3" t="str">
        <f ca="1">IF(D24&lt;&gt;"",INDEX('Strategy Indirect'!$T:$T,MATCH(D24,'Strategy Indirect'!$A:$A,0)),"")</f>
        <v/>
      </c>
      <c r="Z24" s="3" t="str">
        <f t="shared" ca="1" si="0"/>
        <v/>
      </c>
      <c r="AA24" s="159" t="str">
        <f ca="1">IF($A24&lt;&gt;"", IF(B24&lt;&gt;"",$U24/$Z24,""),"")</f>
        <v/>
      </c>
      <c r="AB24" s="159" t="str">
        <f ca="1">IF($A24&lt;&gt;"", IF(C24&lt;&gt;"",$U24/$Z24,""),"")</f>
        <v/>
      </c>
      <c r="AC24" s="159" t="str">
        <f ca="1">IF($A24&lt;&gt;"", IF(D24&lt;&gt;"",$U24/$Z24,""),"")</f>
        <v/>
      </c>
    </row>
    <row r="25" spans="1:29"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159" t="str">
        <f ca="1">IF(B25&lt;&gt;"",SUMIF('Work Indirect'!B:B,'Initiative Indirect'!A25,'Work Indirect'!AC:AC),"")</f>
        <v/>
      </c>
      <c r="V25" s="3" t="str">
        <f ca="1">IF(A25&lt;&gt;"",IF(F25="",IF(E25="","",INDEX(Priorities[Color],MATCH(E25,Priorities[Priorities],0),0)),F25),"")</f>
        <v/>
      </c>
      <c r="W25" s="3" t="str">
        <f ca="1">IF(B25&lt;&gt;"",INDEX('Strategy Indirect'!$T:$T,MATCH(B25,'Strategy Indirect'!$A:$A,0)),"")</f>
        <v/>
      </c>
      <c r="X25" s="3" t="str">
        <f ca="1">IF(C25&lt;&gt;"",INDEX('Strategy Indirect'!$T:$T,MATCH(C25,'Strategy Indirect'!$A:$A,0)),"")</f>
        <v/>
      </c>
      <c r="Y25" s="3" t="str">
        <f ca="1">IF(D25&lt;&gt;"",INDEX('Strategy Indirect'!$T:$T,MATCH(D25,'Strategy Indirect'!$A:$A,0)),"")</f>
        <v/>
      </c>
      <c r="Z25" s="3" t="str">
        <f t="shared" ca="1" si="0"/>
        <v/>
      </c>
      <c r="AA25" s="159" t="str">
        <f ca="1">IF($A25&lt;&gt;"", IF(B25&lt;&gt;"",$U25/$Z25,""),"")</f>
        <v/>
      </c>
      <c r="AB25" s="159" t="str">
        <f ca="1">IF($A25&lt;&gt;"", IF(C25&lt;&gt;"",$U25/$Z25,""),"")</f>
        <v/>
      </c>
      <c r="AC25" s="159" t="str">
        <f ca="1">IF($A25&lt;&gt;"", IF(D25&lt;&gt;"",$U25/$Z25,""),"")</f>
        <v/>
      </c>
    </row>
    <row r="26" spans="1:29"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159" t="str">
        <f ca="1">IF(B26&lt;&gt;"",SUMIF('Work Indirect'!B:B,'Initiative Indirect'!A26,'Work Indirect'!AC:AC),"")</f>
        <v/>
      </c>
      <c r="V26" s="3" t="str">
        <f ca="1">IF(A26&lt;&gt;"",IF(F26="",IF(E26="","",INDEX(Priorities[Color],MATCH(E26,Priorities[Priorities],0),0)),F26),"")</f>
        <v/>
      </c>
      <c r="W26" s="3" t="str">
        <f ca="1">IF(B26&lt;&gt;"",INDEX('Strategy Indirect'!$T:$T,MATCH(B26,'Strategy Indirect'!$A:$A,0)),"")</f>
        <v/>
      </c>
      <c r="X26" s="3" t="str">
        <f ca="1">IF(C26&lt;&gt;"",INDEX('Strategy Indirect'!$T:$T,MATCH(C26,'Strategy Indirect'!$A:$A,0)),"")</f>
        <v/>
      </c>
      <c r="Y26" s="3" t="str">
        <f ca="1">IF(D26&lt;&gt;"",INDEX('Strategy Indirect'!$T:$T,MATCH(D26,'Strategy Indirect'!$A:$A,0)),"")</f>
        <v/>
      </c>
      <c r="Z26" s="3" t="str">
        <f t="shared" ca="1" si="0"/>
        <v/>
      </c>
      <c r="AA26" s="159" t="str">
        <f ca="1">IF($A26&lt;&gt;"", IF(B26&lt;&gt;"",$U26/$Z26,""),"")</f>
        <v/>
      </c>
      <c r="AB26" s="159" t="str">
        <f ca="1">IF($A26&lt;&gt;"", IF(C26&lt;&gt;"",$U26/$Z26,""),"")</f>
        <v/>
      </c>
      <c r="AC26" s="159" t="str">
        <f ca="1">IF($A26&lt;&gt;"", IF(D26&lt;&gt;"",$U26/$Z26,""),"")</f>
        <v/>
      </c>
    </row>
    <row r="27" spans="1:29"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159" t="str">
        <f ca="1">IF(B27&lt;&gt;"",SUMIF('Work Indirect'!B:B,'Initiative Indirect'!A27,'Work Indirect'!AC:AC),"")</f>
        <v/>
      </c>
      <c r="V27" s="3" t="str">
        <f ca="1">IF(A27&lt;&gt;"",IF(F27="",IF(E27="","",INDEX(Priorities[Color],MATCH(E27,Priorities[Priorities],0),0)),F27),"")</f>
        <v/>
      </c>
      <c r="W27" s="3" t="str">
        <f ca="1">IF(B27&lt;&gt;"",INDEX('Strategy Indirect'!$T:$T,MATCH(B27,'Strategy Indirect'!$A:$A,0)),"")</f>
        <v/>
      </c>
      <c r="X27" s="3" t="str">
        <f ca="1">IF(C27&lt;&gt;"",INDEX('Strategy Indirect'!$T:$T,MATCH(C27,'Strategy Indirect'!$A:$A,0)),"")</f>
        <v/>
      </c>
      <c r="Y27" s="3" t="str">
        <f ca="1">IF(D27&lt;&gt;"",INDEX('Strategy Indirect'!$T:$T,MATCH(D27,'Strategy Indirect'!$A:$A,0)),"")</f>
        <v/>
      </c>
      <c r="Z27" s="3" t="str">
        <f t="shared" ca="1" si="0"/>
        <v/>
      </c>
      <c r="AA27" s="159" t="str">
        <f ca="1">IF($A27&lt;&gt;"", IF(B27&lt;&gt;"",$U27/$Z27,""),"")</f>
        <v/>
      </c>
      <c r="AB27" s="159" t="str">
        <f ca="1">IF($A27&lt;&gt;"", IF(C27&lt;&gt;"",$U27/$Z27,""),"")</f>
        <v/>
      </c>
      <c r="AC27" s="159" t="str">
        <f ca="1">IF($A27&lt;&gt;"", IF(D27&lt;&gt;"",$U27/$Z27,""),"")</f>
        <v/>
      </c>
    </row>
    <row r="28" spans="1:29"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159" t="str">
        <f ca="1">IF(B28&lt;&gt;"",SUMIF('Work Indirect'!B:B,'Initiative Indirect'!A28,'Work Indirect'!AC:AC),"")</f>
        <v/>
      </c>
      <c r="V28" s="3" t="str">
        <f ca="1">IF(A28&lt;&gt;"",IF(F28="",IF(E28="","",INDEX(Priorities[Color],MATCH(E28,Priorities[Priorities],0),0)),F28),"")</f>
        <v/>
      </c>
      <c r="W28" s="3" t="str">
        <f ca="1">IF(B28&lt;&gt;"",INDEX('Strategy Indirect'!$T:$T,MATCH(B28,'Strategy Indirect'!$A:$A,0)),"")</f>
        <v/>
      </c>
      <c r="X28" s="3" t="str">
        <f ca="1">IF(C28&lt;&gt;"",INDEX('Strategy Indirect'!$T:$T,MATCH(C28,'Strategy Indirect'!$A:$A,0)),"")</f>
        <v/>
      </c>
      <c r="Y28" s="3" t="str">
        <f ca="1">IF(D28&lt;&gt;"",INDEX('Strategy Indirect'!$T:$T,MATCH(D28,'Strategy Indirect'!$A:$A,0)),"")</f>
        <v/>
      </c>
      <c r="Z28" s="3" t="str">
        <f t="shared" ca="1" si="0"/>
        <v/>
      </c>
      <c r="AA28" s="159" t="str">
        <f ca="1">IF($A28&lt;&gt;"", IF(B28&lt;&gt;"",$U28/$Z28,""),"")</f>
        <v/>
      </c>
      <c r="AB28" s="159" t="str">
        <f ca="1">IF($A28&lt;&gt;"", IF(C28&lt;&gt;"",$U28/$Z28,""),"")</f>
        <v/>
      </c>
      <c r="AC28" s="159" t="str">
        <f ca="1">IF($A28&lt;&gt;"", IF(D28&lt;&gt;"",$U28/$Z28,""),"")</f>
        <v/>
      </c>
    </row>
    <row r="29" spans="1:29"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159" t="str">
        <f ca="1">IF(B29&lt;&gt;"",SUMIF('Work Indirect'!B:B,'Initiative Indirect'!A29,'Work Indirect'!AC:AC),"")</f>
        <v/>
      </c>
      <c r="V29" s="3" t="str">
        <f ca="1">IF(A29&lt;&gt;"",IF(F29="",IF(E29="","",INDEX(Priorities[Color],MATCH(E29,Priorities[Priorities],0),0)),F29),"")</f>
        <v/>
      </c>
      <c r="W29" s="3" t="str">
        <f ca="1">IF(B29&lt;&gt;"",INDEX('Strategy Indirect'!$T:$T,MATCH(B29,'Strategy Indirect'!$A:$A,0)),"")</f>
        <v/>
      </c>
      <c r="X29" s="3" t="str">
        <f ca="1">IF(C29&lt;&gt;"",INDEX('Strategy Indirect'!$T:$T,MATCH(C29,'Strategy Indirect'!$A:$A,0)),"")</f>
        <v/>
      </c>
      <c r="Y29" s="3" t="str">
        <f ca="1">IF(D29&lt;&gt;"",INDEX('Strategy Indirect'!$T:$T,MATCH(D29,'Strategy Indirect'!$A:$A,0)),"")</f>
        <v/>
      </c>
      <c r="Z29" s="3" t="str">
        <f t="shared" ca="1" si="0"/>
        <v/>
      </c>
      <c r="AA29" s="159" t="str">
        <f ca="1">IF($A29&lt;&gt;"", IF(B29&lt;&gt;"",$U29/$Z29,""),"")</f>
        <v/>
      </c>
      <c r="AB29" s="159" t="str">
        <f ca="1">IF($A29&lt;&gt;"", IF(C29&lt;&gt;"",$U29/$Z29,""),"")</f>
        <v/>
      </c>
      <c r="AC29" s="159" t="str">
        <f ca="1">IF($A29&lt;&gt;"", IF(D29&lt;&gt;"",$U29/$Z29,""),"")</f>
        <v/>
      </c>
    </row>
    <row r="30" spans="1:29"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159" t="str">
        <f ca="1">IF(B30&lt;&gt;"",SUMIF('Work Indirect'!B:B,'Initiative Indirect'!A30,'Work Indirect'!AC:AC),"")</f>
        <v/>
      </c>
      <c r="V30" s="3" t="str">
        <f ca="1">IF(A30&lt;&gt;"",IF(F30="",IF(E30="","",INDEX(Priorities[Color],MATCH(E30,Priorities[Priorities],0),0)),F30),"")</f>
        <v/>
      </c>
      <c r="W30" s="3" t="str">
        <f ca="1">IF(B30&lt;&gt;"",INDEX('Strategy Indirect'!$T:$T,MATCH(B30,'Strategy Indirect'!$A:$A,0)),"")</f>
        <v/>
      </c>
      <c r="X30" s="3" t="str">
        <f ca="1">IF(C30&lt;&gt;"",INDEX('Strategy Indirect'!$T:$T,MATCH(C30,'Strategy Indirect'!$A:$A,0)),"")</f>
        <v/>
      </c>
      <c r="Y30" s="3" t="str">
        <f ca="1">IF(D30&lt;&gt;"",INDEX('Strategy Indirect'!$T:$T,MATCH(D30,'Strategy Indirect'!$A:$A,0)),"")</f>
        <v/>
      </c>
      <c r="Z30" s="3" t="str">
        <f t="shared" ca="1" si="0"/>
        <v/>
      </c>
      <c r="AA30" s="159" t="str">
        <f ca="1">IF($A30&lt;&gt;"", IF(B30&lt;&gt;"",$U30/$Z30,""),"")</f>
        <v/>
      </c>
      <c r="AB30" s="159" t="str">
        <f ca="1">IF($A30&lt;&gt;"", IF(C30&lt;&gt;"",$U30/$Z30,""),"")</f>
        <v/>
      </c>
      <c r="AC30" s="159" t="str">
        <f ca="1">IF($A30&lt;&gt;"", IF(D30&lt;&gt;"",$U30/$Z30,""),"")</f>
        <v/>
      </c>
    </row>
    <row r="31" spans="1:29"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159" t="str">
        <f ca="1">IF(B31&lt;&gt;"",SUMIF('Work Indirect'!B:B,'Initiative Indirect'!A31,'Work Indirect'!AC:AC),"")</f>
        <v/>
      </c>
      <c r="V31" s="3" t="str">
        <f ca="1">IF(A31&lt;&gt;"",IF(F31="",IF(E31="","",INDEX(Priorities[Color],MATCH(E31,Priorities[Priorities],0),0)),F31),"")</f>
        <v/>
      </c>
      <c r="W31" s="3" t="str">
        <f ca="1">IF(B31&lt;&gt;"",INDEX('Strategy Indirect'!$T:$T,MATCH(B31,'Strategy Indirect'!$A:$A,0)),"")</f>
        <v/>
      </c>
      <c r="X31" s="3" t="str">
        <f ca="1">IF(C31&lt;&gt;"",INDEX('Strategy Indirect'!$T:$T,MATCH(C31,'Strategy Indirect'!$A:$A,0)),"")</f>
        <v/>
      </c>
      <c r="Y31" s="3" t="str">
        <f ca="1">IF(D31&lt;&gt;"",INDEX('Strategy Indirect'!$T:$T,MATCH(D31,'Strategy Indirect'!$A:$A,0)),"")</f>
        <v/>
      </c>
      <c r="Z31" s="3" t="str">
        <f t="shared" ca="1" si="0"/>
        <v/>
      </c>
      <c r="AA31" s="159" t="str">
        <f ca="1">IF($A31&lt;&gt;"", IF(B31&lt;&gt;"",$U31/$Z31,""),"")</f>
        <v/>
      </c>
      <c r="AB31" s="159" t="str">
        <f ca="1">IF($A31&lt;&gt;"", IF(C31&lt;&gt;"",$U31/$Z31,""),"")</f>
        <v/>
      </c>
      <c r="AC31" s="159" t="str">
        <f ca="1">IF($A31&lt;&gt;"", IF(D31&lt;&gt;"",$U31/$Z31,""),"")</f>
        <v/>
      </c>
    </row>
    <row r="32" spans="1:29"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159" t="str">
        <f ca="1">IF(B32&lt;&gt;"",SUMIF('Work Indirect'!B:B,'Initiative Indirect'!A32,'Work Indirect'!AC:AC),"")</f>
        <v/>
      </c>
      <c r="V32" s="3" t="str">
        <f ca="1">IF(A32&lt;&gt;"",IF(F32="",IF(E32="","",INDEX(Priorities[Color],MATCH(E32,Priorities[Priorities],0),0)),F32),"")</f>
        <v/>
      </c>
      <c r="W32" s="3" t="str">
        <f ca="1">IF(B32&lt;&gt;"",INDEX('Strategy Indirect'!$T:$T,MATCH(B32,'Strategy Indirect'!$A:$A,0)),"")</f>
        <v/>
      </c>
      <c r="X32" s="3" t="str">
        <f ca="1">IF(C32&lt;&gt;"",INDEX('Strategy Indirect'!$T:$T,MATCH(C32,'Strategy Indirect'!$A:$A,0)),"")</f>
        <v/>
      </c>
      <c r="Y32" s="3" t="str">
        <f ca="1">IF(D32&lt;&gt;"",INDEX('Strategy Indirect'!$T:$T,MATCH(D32,'Strategy Indirect'!$A:$A,0)),"")</f>
        <v/>
      </c>
      <c r="Z32" s="3" t="str">
        <f t="shared" ca="1" si="0"/>
        <v/>
      </c>
      <c r="AA32" s="159" t="str">
        <f ca="1">IF($A32&lt;&gt;"", IF(B32&lt;&gt;"",$U32/$Z32,""),"")</f>
        <v/>
      </c>
      <c r="AB32" s="159" t="str">
        <f ca="1">IF($A32&lt;&gt;"", IF(C32&lt;&gt;"",$U32/$Z32,""),"")</f>
        <v/>
      </c>
      <c r="AC32" s="159" t="str">
        <f ca="1">IF($A32&lt;&gt;"", IF(D32&lt;&gt;"",$U32/$Z32,""),"")</f>
        <v/>
      </c>
    </row>
    <row r="33" spans="1:29"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159" t="str">
        <f ca="1">IF(B33&lt;&gt;"",SUMIF('Work Indirect'!B:B,'Initiative Indirect'!A33,'Work Indirect'!AC:AC),"")</f>
        <v/>
      </c>
      <c r="V33" s="3" t="str">
        <f ca="1">IF(A33&lt;&gt;"",IF(F33="",IF(E33="","",INDEX(Priorities[Color],MATCH(E33,Priorities[Priorities],0),0)),F33),"")</f>
        <v/>
      </c>
      <c r="W33" s="3" t="str">
        <f ca="1">IF(B33&lt;&gt;"",INDEX('Strategy Indirect'!$T:$T,MATCH(B33,'Strategy Indirect'!$A:$A,0)),"")</f>
        <v/>
      </c>
      <c r="X33" s="3" t="str">
        <f ca="1">IF(C33&lt;&gt;"",INDEX('Strategy Indirect'!$T:$T,MATCH(C33,'Strategy Indirect'!$A:$A,0)),"")</f>
        <v/>
      </c>
      <c r="Y33" s="3" t="str">
        <f ca="1">IF(D33&lt;&gt;"",INDEX('Strategy Indirect'!$T:$T,MATCH(D33,'Strategy Indirect'!$A:$A,0)),"")</f>
        <v/>
      </c>
      <c r="Z33" s="3" t="str">
        <f t="shared" ca="1" si="0"/>
        <v/>
      </c>
      <c r="AA33" s="159" t="str">
        <f ca="1">IF($A33&lt;&gt;"", IF(B33&lt;&gt;"",$U33/$Z33,""),"")</f>
        <v/>
      </c>
      <c r="AB33" s="159" t="str">
        <f ca="1">IF($A33&lt;&gt;"", IF(C33&lt;&gt;"",$U33/$Z33,""),"")</f>
        <v/>
      </c>
      <c r="AC33" s="159" t="str">
        <f ca="1">IF($A33&lt;&gt;"", IF(D33&lt;&gt;"",$U33/$Z33,""),"")</f>
        <v/>
      </c>
    </row>
    <row r="34" spans="1:29"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159" t="str">
        <f ca="1">IF(B34&lt;&gt;"",SUMIF('Work Indirect'!B:B,'Initiative Indirect'!A34,'Work Indirect'!AC:AC),"")</f>
        <v/>
      </c>
      <c r="V34" s="3" t="str">
        <f ca="1">IF(A34&lt;&gt;"",IF(F34="",IF(E34="","",INDEX(Priorities[Color],MATCH(E34,Priorities[Priorities],0),0)),F34),"")</f>
        <v/>
      </c>
      <c r="W34" s="3" t="str">
        <f ca="1">IF(B34&lt;&gt;"",INDEX('Strategy Indirect'!$T:$T,MATCH(B34,'Strategy Indirect'!$A:$A,0)),"")</f>
        <v/>
      </c>
      <c r="X34" s="3" t="str">
        <f ca="1">IF(C34&lt;&gt;"",INDEX('Strategy Indirect'!$T:$T,MATCH(C34,'Strategy Indirect'!$A:$A,0)),"")</f>
        <v/>
      </c>
      <c r="Y34" s="3" t="str">
        <f ca="1">IF(D34&lt;&gt;"",INDEX('Strategy Indirect'!$T:$T,MATCH(D34,'Strategy Indirect'!$A:$A,0)),"")</f>
        <v/>
      </c>
      <c r="Z34" s="3" t="str">
        <f t="shared" ca="1" si="0"/>
        <v/>
      </c>
      <c r="AA34" s="159" t="str">
        <f ca="1">IF($A34&lt;&gt;"", IF(B34&lt;&gt;"",$U34/$Z34,""),"")</f>
        <v/>
      </c>
      <c r="AB34" s="159" t="str">
        <f ca="1">IF($A34&lt;&gt;"", IF(C34&lt;&gt;"",$U34/$Z34,""),"")</f>
        <v/>
      </c>
      <c r="AC34" s="159" t="str">
        <f ca="1">IF($A34&lt;&gt;"", IF(D34&lt;&gt;"",$U34/$Z34,""),"")</f>
        <v/>
      </c>
    </row>
    <row r="35" spans="1:29"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159" t="str">
        <f ca="1">IF(B35&lt;&gt;"",SUMIF('Work Indirect'!B:B,'Initiative Indirect'!A35,'Work Indirect'!AC:AC),"")</f>
        <v/>
      </c>
      <c r="V35" s="3" t="str">
        <f ca="1">IF(A35&lt;&gt;"",IF(F35="",IF(E35="","",INDEX(Priorities[Color],MATCH(E35,Priorities[Priorities],0),0)),F35),"")</f>
        <v/>
      </c>
      <c r="W35" s="3" t="str">
        <f ca="1">IF(B35&lt;&gt;"",INDEX('Strategy Indirect'!$T:$T,MATCH(B35,'Strategy Indirect'!$A:$A,0)),"")</f>
        <v/>
      </c>
      <c r="X35" s="3" t="str">
        <f ca="1">IF(C35&lt;&gt;"",INDEX('Strategy Indirect'!$T:$T,MATCH(C35,'Strategy Indirect'!$A:$A,0)),"")</f>
        <v/>
      </c>
      <c r="Y35" s="3" t="str">
        <f ca="1">IF(D35&lt;&gt;"",INDEX('Strategy Indirect'!$T:$T,MATCH(D35,'Strategy Indirect'!$A:$A,0)),"")</f>
        <v/>
      </c>
      <c r="Z35" s="3" t="str">
        <f t="shared" ca="1" si="0"/>
        <v/>
      </c>
      <c r="AA35" s="159" t="str">
        <f ca="1">IF($A35&lt;&gt;"", IF(B35&lt;&gt;"",$U35/$Z35,""),"")</f>
        <v/>
      </c>
      <c r="AB35" s="159" t="str">
        <f ca="1">IF($A35&lt;&gt;"", IF(C35&lt;&gt;"",$U35/$Z35,""),"")</f>
        <v/>
      </c>
      <c r="AC35" s="159" t="str">
        <f ca="1">IF($A35&lt;&gt;"", IF(D35&lt;&gt;"",$U35/$Z35,""),"")</f>
        <v/>
      </c>
    </row>
    <row r="36" spans="1:29"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159" t="str">
        <f ca="1">IF(B36&lt;&gt;"",SUMIF('Work Indirect'!B:B,'Initiative Indirect'!A36,'Work Indirect'!AC:AC),"")</f>
        <v/>
      </c>
      <c r="V36" s="3" t="str">
        <f ca="1">IF(A36&lt;&gt;"",IF(F36="",IF(E36="","",INDEX(Priorities[Color],MATCH(E36,Priorities[Priorities],0),0)),F36),"")</f>
        <v/>
      </c>
      <c r="W36" s="3" t="str">
        <f ca="1">IF(B36&lt;&gt;"",INDEX('Strategy Indirect'!$T:$T,MATCH(B36,'Strategy Indirect'!$A:$A,0)),"")</f>
        <v/>
      </c>
      <c r="X36" s="3" t="str">
        <f ca="1">IF(C36&lt;&gt;"",INDEX('Strategy Indirect'!$T:$T,MATCH(C36,'Strategy Indirect'!$A:$A,0)),"")</f>
        <v/>
      </c>
      <c r="Y36" s="3" t="str">
        <f ca="1">IF(D36&lt;&gt;"",INDEX('Strategy Indirect'!$T:$T,MATCH(D36,'Strategy Indirect'!$A:$A,0)),"")</f>
        <v/>
      </c>
      <c r="Z36" s="3" t="str">
        <f t="shared" ca="1" si="0"/>
        <v/>
      </c>
      <c r="AA36" s="159" t="str">
        <f ca="1">IF($A36&lt;&gt;"", IF(B36&lt;&gt;"",$U36/$Z36,""),"")</f>
        <v/>
      </c>
      <c r="AB36" s="159" t="str">
        <f ca="1">IF($A36&lt;&gt;"", IF(C36&lt;&gt;"",$U36/$Z36,""),"")</f>
        <v/>
      </c>
      <c r="AC36" s="159" t="str">
        <f ca="1">IF($A36&lt;&gt;"", IF(D36&lt;&gt;"",$U36/$Z36,""),"")</f>
        <v/>
      </c>
    </row>
    <row r="37" spans="1:29"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159" t="str">
        <f ca="1">IF(B37&lt;&gt;"",SUMIF('Work Indirect'!B:B,'Initiative Indirect'!A37,'Work Indirect'!AC:AC),"")</f>
        <v/>
      </c>
      <c r="V37" s="3" t="str">
        <f ca="1">IF(A37&lt;&gt;"",IF(F37="",IF(E37="","",INDEX(Priorities[Color],MATCH(E37,Priorities[Priorities],0),0)),F37),"")</f>
        <v/>
      </c>
      <c r="W37" s="3" t="str">
        <f ca="1">IF(B37&lt;&gt;"",INDEX('Strategy Indirect'!$T:$T,MATCH(B37,'Strategy Indirect'!$A:$A,0)),"")</f>
        <v/>
      </c>
      <c r="X37" s="3" t="str">
        <f ca="1">IF(C37&lt;&gt;"",INDEX('Strategy Indirect'!$T:$T,MATCH(C37,'Strategy Indirect'!$A:$A,0)),"")</f>
        <v/>
      </c>
      <c r="Y37" s="3" t="str">
        <f ca="1">IF(D37&lt;&gt;"",INDEX('Strategy Indirect'!$T:$T,MATCH(D37,'Strategy Indirect'!$A:$A,0)),"")</f>
        <v/>
      </c>
      <c r="Z37" s="3" t="str">
        <f t="shared" ca="1" si="0"/>
        <v/>
      </c>
      <c r="AA37" s="159" t="str">
        <f ca="1">IF($A37&lt;&gt;"", IF(B37&lt;&gt;"",$U37/$Z37,""),"")</f>
        <v/>
      </c>
      <c r="AB37" s="159" t="str">
        <f ca="1">IF($A37&lt;&gt;"", IF(C37&lt;&gt;"",$U37/$Z37,""),"")</f>
        <v/>
      </c>
      <c r="AC37" s="159" t="str">
        <f ca="1">IF($A37&lt;&gt;"", IF(D37&lt;&gt;"",$U37/$Z37,""),"")</f>
        <v/>
      </c>
    </row>
    <row r="38" spans="1:29"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159" t="str">
        <f ca="1">IF(B38&lt;&gt;"",SUMIF('Work Indirect'!B:B,'Initiative Indirect'!A38,'Work Indirect'!AC:AC),"")</f>
        <v/>
      </c>
      <c r="V38" s="3" t="str">
        <f ca="1">IF(A38&lt;&gt;"",IF(F38="",IF(E38="","",INDEX(Priorities[Color],MATCH(E38,Priorities[Priorities],0),0)),F38),"")</f>
        <v/>
      </c>
      <c r="W38" s="3" t="str">
        <f ca="1">IF(B38&lt;&gt;"",INDEX('Strategy Indirect'!$T:$T,MATCH(B38,'Strategy Indirect'!$A:$A,0)),"")</f>
        <v/>
      </c>
      <c r="X38" s="3" t="str">
        <f ca="1">IF(C38&lt;&gt;"",INDEX('Strategy Indirect'!$T:$T,MATCH(C38,'Strategy Indirect'!$A:$A,0)),"")</f>
        <v/>
      </c>
      <c r="Y38" s="3" t="str">
        <f ca="1">IF(D38&lt;&gt;"",INDEX('Strategy Indirect'!$T:$T,MATCH(D38,'Strategy Indirect'!$A:$A,0)),"")</f>
        <v/>
      </c>
      <c r="Z38" s="3" t="str">
        <f t="shared" ca="1" si="0"/>
        <v/>
      </c>
      <c r="AA38" s="159" t="str">
        <f ca="1">IF($A38&lt;&gt;"", IF(B38&lt;&gt;"",$U38/$Z38,""),"")</f>
        <v/>
      </c>
      <c r="AB38" s="159" t="str">
        <f ca="1">IF($A38&lt;&gt;"", IF(C38&lt;&gt;"",$U38/$Z38,""),"")</f>
        <v/>
      </c>
      <c r="AC38" s="159" t="str">
        <f ca="1">IF($A38&lt;&gt;"", IF(D38&lt;&gt;"",$U38/$Z38,""),"")</f>
        <v/>
      </c>
    </row>
    <row r="39" spans="1:29"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159" t="str">
        <f ca="1">IF(B39&lt;&gt;"",SUMIF('Work Indirect'!B:B,'Initiative Indirect'!A39,'Work Indirect'!AC:AC),"")</f>
        <v/>
      </c>
      <c r="V39" s="3" t="str">
        <f ca="1">IF(A39&lt;&gt;"",IF(F39="",IF(E39="","",INDEX(Priorities[Color],MATCH(E39,Priorities[Priorities],0),0)),F39),"")</f>
        <v/>
      </c>
      <c r="W39" s="3" t="str">
        <f ca="1">IF(B39&lt;&gt;"",INDEX('Strategy Indirect'!$T:$T,MATCH(B39,'Strategy Indirect'!$A:$A,0)),"")</f>
        <v/>
      </c>
      <c r="X39" s="3" t="str">
        <f ca="1">IF(C39&lt;&gt;"",INDEX('Strategy Indirect'!$T:$T,MATCH(C39,'Strategy Indirect'!$A:$A,0)),"")</f>
        <v/>
      </c>
      <c r="Y39" s="3" t="str">
        <f ca="1">IF(D39&lt;&gt;"",INDEX('Strategy Indirect'!$T:$T,MATCH(D39,'Strategy Indirect'!$A:$A,0)),"")</f>
        <v/>
      </c>
      <c r="Z39" s="3" t="str">
        <f t="shared" ca="1" si="0"/>
        <v/>
      </c>
      <c r="AA39" s="159" t="str">
        <f ca="1">IF($A39&lt;&gt;"", IF(B39&lt;&gt;"",$U39/$Z39,""),"")</f>
        <v/>
      </c>
      <c r="AB39" s="159" t="str">
        <f ca="1">IF($A39&lt;&gt;"", IF(C39&lt;&gt;"",$U39/$Z39,""),"")</f>
        <v/>
      </c>
      <c r="AC39" s="159" t="str">
        <f ca="1">IF($A39&lt;&gt;"", IF(D39&lt;&gt;"",$U39/$Z39,""),"")</f>
        <v/>
      </c>
    </row>
    <row r="40" spans="1:29"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159" t="str">
        <f ca="1">IF(B40&lt;&gt;"",SUMIF('Work Indirect'!B:B,'Initiative Indirect'!A40,'Work Indirect'!AC:AC),"")</f>
        <v/>
      </c>
      <c r="V40" s="3" t="str">
        <f ca="1">IF(A40&lt;&gt;"",IF(F40="",IF(E40="","",INDEX(Priorities[Color],MATCH(E40,Priorities[Priorities],0),0)),F40),"")</f>
        <v/>
      </c>
      <c r="W40" s="3" t="str">
        <f ca="1">IF(B40&lt;&gt;"",INDEX('Strategy Indirect'!$T:$T,MATCH(B40,'Strategy Indirect'!$A:$A,0)),"")</f>
        <v/>
      </c>
      <c r="X40" s="3" t="str">
        <f ca="1">IF(C40&lt;&gt;"",INDEX('Strategy Indirect'!$T:$T,MATCH(C40,'Strategy Indirect'!$A:$A,0)),"")</f>
        <v/>
      </c>
      <c r="Y40" s="3" t="str">
        <f ca="1">IF(D40&lt;&gt;"",INDEX('Strategy Indirect'!$T:$T,MATCH(D40,'Strategy Indirect'!$A:$A,0)),"")</f>
        <v/>
      </c>
      <c r="Z40" s="3" t="str">
        <f t="shared" ca="1" si="0"/>
        <v/>
      </c>
      <c r="AA40" s="159" t="str">
        <f ca="1">IF($A40&lt;&gt;"", IF(B40&lt;&gt;"",$U40/$Z40,""),"")</f>
        <v/>
      </c>
      <c r="AB40" s="159" t="str">
        <f ca="1">IF($A40&lt;&gt;"", IF(C40&lt;&gt;"",$U40/$Z40,""),"")</f>
        <v/>
      </c>
      <c r="AC40" s="159" t="str">
        <f ca="1">IF($A40&lt;&gt;"", IF(D40&lt;&gt;"",$U40/$Z40,""),"")</f>
        <v/>
      </c>
    </row>
    <row r="41" spans="1:29"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159" t="str">
        <f ca="1">IF(B41&lt;&gt;"",SUMIF('Work Indirect'!B:B,'Initiative Indirect'!A41,'Work Indirect'!AC:AC),"")</f>
        <v/>
      </c>
      <c r="V41" s="3" t="str">
        <f ca="1">IF(A41&lt;&gt;"",IF(F41="",IF(E41="","",INDEX(Priorities[Color],MATCH(E41,Priorities[Priorities],0),0)),F41),"")</f>
        <v/>
      </c>
      <c r="W41" s="3" t="str">
        <f ca="1">IF(B41&lt;&gt;"",INDEX('Strategy Indirect'!$T:$T,MATCH(B41,'Strategy Indirect'!$A:$A,0)),"")</f>
        <v/>
      </c>
      <c r="X41" s="3" t="str">
        <f ca="1">IF(C41&lt;&gt;"",INDEX('Strategy Indirect'!$T:$T,MATCH(C41,'Strategy Indirect'!$A:$A,0)),"")</f>
        <v/>
      </c>
      <c r="Y41" s="3" t="str">
        <f ca="1">IF(D41&lt;&gt;"",INDEX('Strategy Indirect'!$T:$T,MATCH(D41,'Strategy Indirect'!$A:$A,0)),"")</f>
        <v/>
      </c>
      <c r="Z41" s="3" t="str">
        <f t="shared" ca="1" si="0"/>
        <v/>
      </c>
      <c r="AA41" s="159" t="str">
        <f ca="1">IF($A41&lt;&gt;"", IF(B41&lt;&gt;"",$U41/$Z41,""),"")</f>
        <v/>
      </c>
      <c r="AB41" s="159" t="str">
        <f ca="1">IF($A41&lt;&gt;"", IF(C41&lt;&gt;"",$U41/$Z41,""),"")</f>
        <v/>
      </c>
      <c r="AC41" s="159" t="str">
        <f ca="1">IF($A41&lt;&gt;"", IF(D41&lt;&gt;"",$U41/$Z41,""),"")</f>
        <v/>
      </c>
    </row>
    <row r="42" spans="1:29"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159" t="str">
        <f ca="1">IF(B42&lt;&gt;"",SUMIF('Work Indirect'!B:B,'Initiative Indirect'!A42,'Work Indirect'!AC:AC),"")</f>
        <v/>
      </c>
      <c r="V42" s="3" t="str">
        <f ca="1">IF(A42&lt;&gt;"",IF(F42="",IF(E42="","",INDEX(Priorities[Color],MATCH(E42,Priorities[Priorities],0),0)),F42),"")</f>
        <v/>
      </c>
      <c r="W42" s="3" t="str">
        <f ca="1">IF(B42&lt;&gt;"",INDEX('Strategy Indirect'!$T:$T,MATCH(B42,'Strategy Indirect'!$A:$A,0)),"")</f>
        <v/>
      </c>
      <c r="X42" s="3" t="str">
        <f ca="1">IF(C42&lt;&gt;"",INDEX('Strategy Indirect'!$T:$T,MATCH(C42,'Strategy Indirect'!$A:$A,0)),"")</f>
        <v/>
      </c>
      <c r="Y42" s="3" t="str">
        <f ca="1">IF(D42&lt;&gt;"",INDEX('Strategy Indirect'!$T:$T,MATCH(D42,'Strategy Indirect'!$A:$A,0)),"")</f>
        <v/>
      </c>
      <c r="Z42" s="3" t="str">
        <f t="shared" ca="1" si="0"/>
        <v/>
      </c>
      <c r="AA42" s="159" t="str">
        <f ca="1">IF($A42&lt;&gt;"", IF(B42&lt;&gt;"",$U42/$Z42,""),"")</f>
        <v/>
      </c>
      <c r="AB42" s="159" t="str">
        <f ca="1">IF($A42&lt;&gt;"", IF(C42&lt;&gt;"",$U42/$Z42,""),"")</f>
        <v/>
      </c>
      <c r="AC42" s="159" t="str">
        <f ca="1">IF($A42&lt;&gt;"", IF(D42&lt;&gt;"",$U42/$Z42,""),"")</f>
        <v/>
      </c>
    </row>
    <row r="43" spans="1:29"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159" t="str">
        <f ca="1">IF(B43&lt;&gt;"",SUMIF('Work Indirect'!B:B,'Initiative Indirect'!A43,'Work Indirect'!AC:AC),"")</f>
        <v/>
      </c>
      <c r="V43" s="3" t="str">
        <f ca="1">IF(A43&lt;&gt;"",IF(F43="",IF(E43="","",INDEX(Priorities[Color],MATCH(E43,Priorities[Priorities],0),0)),F43),"")</f>
        <v/>
      </c>
      <c r="W43" s="3" t="str">
        <f ca="1">IF(B43&lt;&gt;"",INDEX('Strategy Indirect'!$T:$T,MATCH(B43,'Strategy Indirect'!$A:$A,0)),"")</f>
        <v/>
      </c>
      <c r="X43" s="3" t="str">
        <f ca="1">IF(C43&lt;&gt;"",INDEX('Strategy Indirect'!$T:$T,MATCH(C43,'Strategy Indirect'!$A:$A,0)),"")</f>
        <v/>
      </c>
      <c r="Y43" s="3" t="str">
        <f ca="1">IF(D43&lt;&gt;"",INDEX('Strategy Indirect'!$T:$T,MATCH(D43,'Strategy Indirect'!$A:$A,0)),"")</f>
        <v/>
      </c>
      <c r="Z43" s="3" t="str">
        <f t="shared" ca="1" si="0"/>
        <v/>
      </c>
      <c r="AA43" s="159" t="str">
        <f ca="1">IF($A43&lt;&gt;"", IF(B43&lt;&gt;"",$U43/$Z43,""),"")</f>
        <v/>
      </c>
      <c r="AB43" s="159" t="str">
        <f ca="1">IF($A43&lt;&gt;"", IF(C43&lt;&gt;"",$U43/$Z43,""),"")</f>
        <v/>
      </c>
      <c r="AC43" s="159" t="str">
        <f ca="1">IF($A43&lt;&gt;"", IF(D43&lt;&gt;"",$U43/$Z43,""),"")</f>
        <v/>
      </c>
    </row>
    <row r="44" spans="1:29"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159" t="str">
        <f ca="1">IF(B44&lt;&gt;"",SUMIF('Work Indirect'!B:B,'Initiative Indirect'!A44,'Work Indirect'!AC:AC),"")</f>
        <v/>
      </c>
      <c r="V44" s="3" t="str">
        <f ca="1">IF(A44&lt;&gt;"",IF(F44="",IF(E44="","",INDEX(Priorities[Color],MATCH(E44,Priorities[Priorities],0),0)),F44),"")</f>
        <v/>
      </c>
      <c r="W44" s="3" t="str">
        <f ca="1">IF(B44&lt;&gt;"",INDEX('Strategy Indirect'!$T:$T,MATCH(B44,'Strategy Indirect'!$A:$A,0)),"")</f>
        <v/>
      </c>
      <c r="X44" s="3" t="str">
        <f ca="1">IF(C44&lt;&gt;"",INDEX('Strategy Indirect'!$T:$T,MATCH(C44,'Strategy Indirect'!$A:$A,0)),"")</f>
        <v/>
      </c>
      <c r="Y44" s="3" t="str">
        <f ca="1">IF(D44&lt;&gt;"",INDEX('Strategy Indirect'!$T:$T,MATCH(D44,'Strategy Indirect'!$A:$A,0)),"")</f>
        <v/>
      </c>
      <c r="Z44" s="3" t="str">
        <f t="shared" ca="1" si="0"/>
        <v/>
      </c>
      <c r="AA44" s="159" t="str">
        <f ca="1">IF($A44&lt;&gt;"", IF(B44&lt;&gt;"",$U44/$Z44,""),"")</f>
        <v/>
      </c>
      <c r="AB44" s="159" t="str">
        <f ca="1">IF($A44&lt;&gt;"", IF(C44&lt;&gt;"",$U44/$Z44,""),"")</f>
        <v/>
      </c>
      <c r="AC44" s="159" t="str">
        <f ca="1">IF($A44&lt;&gt;"", IF(D44&lt;&gt;"",$U44/$Z44,""),"")</f>
        <v/>
      </c>
    </row>
    <row r="45" spans="1:29"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159" t="str">
        <f ca="1">IF(B45&lt;&gt;"",SUMIF('Work Indirect'!B:B,'Initiative Indirect'!A45,'Work Indirect'!AC:AC),"")</f>
        <v/>
      </c>
      <c r="V45" s="3" t="str">
        <f ca="1">IF(A45&lt;&gt;"",IF(F45="",IF(E45="","",INDEX(Priorities[Color],MATCH(E45,Priorities[Priorities],0),0)),F45),"")</f>
        <v/>
      </c>
      <c r="W45" s="3" t="str">
        <f ca="1">IF(B45&lt;&gt;"",INDEX('Strategy Indirect'!$T:$T,MATCH(B45,'Strategy Indirect'!$A:$A,0)),"")</f>
        <v/>
      </c>
      <c r="X45" s="3" t="str">
        <f ca="1">IF(C45&lt;&gt;"",INDEX('Strategy Indirect'!$T:$T,MATCH(C45,'Strategy Indirect'!$A:$A,0)),"")</f>
        <v/>
      </c>
      <c r="Y45" s="3" t="str">
        <f ca="1">IF(D45&lt;&gt;"",INDEX('Strategy Indirect'!$T:$T,MATCH(D45,'Strategy Indirect'!$A:$A,0)),"")</f>
        <v/>
      </c>
      <c r="Z45" s="3" t="str">
        <f t="shared" ca="1" si="0"/>
        <v/>
      </c>
      <c r="AA45" s="159" t="str">
        <f ca="1">IF($A45&lt;&gt;"", IF(B45&lt;&gt;"",$U45/$Z45,""),"")</f>
        <v/>
      </c>
      <c r="AB45" s="159" t="str">
        <f ca="1">IF($A45&lt;&gt;"", IF(C45&lt;&gt;"",$U45/$Z45,""),"")</f>
        <v/>
      </c>
      <c r="AC45" s="159" t="str">
        <f ca="1">IF($A45&lt;&gt;"", IF(D45&lt;&gt;"",$U45/$Z45,""),"")</f>
        <v/>
      </c>
    </row>
    <row r="46" spans="1:29"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159" t="str">
        <f ca="1">IF(B46&lt;&gt;"",SUMIF('Work Indirect'!B:B,'Initiative Indirect'!A46,'Work Indirect'!AC:AC),"")</f>
        <v/>
      </c>
      <c r="V46" s="3" t="str">
        <f ca="1">IF(A46&lt;&gt;"",IF(F46="",IF(E46="","",INDEX(Priorities[Color],MATCH(E46,Priorities[Priorities],0),0)),F46),"")</f>
        <v/>
      </c>
      <c r="W46" s="3" t="str">
        <f ca="1">IF(B46&lt;&gt;"",INDEX('Strategy Indirect'!$T:$T,MATCH(B46,'Strategy Indirect'!$A:$A,0)),"")</f>
        <v/>
      </c>
      <c r="X46" s="3" t="str">
        <f ca="1">IF(C46&lt;&gt;"",INDEX('Strategy Indirect'!$T:$T,MATCH(C46,'Strategy Indirect'!$A:$A,0)),"")</f>
        <v/>
      </c>
      <c r="Y46" s="3" t="str">
        <f ca="1">IF(D46&lt;&gt;"",INDEX('Strategy Indirect'!$T:$T,MATCH(D46,'Strategy Indirect'!$A:$A,0)),"")</f>
        <v/>
      </c>
      <c r="Z46" s="3" t="str">
        <f t="shared" ca="1" si="0"/>
        <v/>
      </c>
      <c r="AA46" s="159" t="str">
        <f ca="1">IF($A46&lt;&gt;"", IF(B46&lt;&gt;"",$U46/$Z46,""),"")</f>
        <v/>
      </c>
      <c r="AB46" s="159" t="str">
        <f ca="1">IF($A46&lt;&gt;"", IF(C46&lt;&gt;"",$U46/$Z46,""),"")</f>
        <v/>
      </c>
      <c r="AC46" s="159" t="str">
        <f ca="1">IF($A46&lt;&gt;"", IF(D46&lt;&gt;"",$U46/$Z46,""),"")</f>
        <v/>
      </c>
    </row>
    <row r="47" spans="1:29"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159" t="str">
        <f ca="1">IF(B47&lt;&gt;"",SUMIF('Work Indirect'!B:B,'Initiative Indirect'!A47,'Work Indirect'!AC:AC),"")</f>
        <v/>
      </c>
      <c r="V47" s="3" t="str">
        <f ca="1">IF(A47&lt;&gt;"",IF(F47="",IF(E47="","",INDEX(Priorities[Color],MATCH(E47,Priorities[Priorities],0),0)),F47),"")</f>
        <v/>
      </c>
      <c r="W47" s="3" t="str">
        <f ca="1">IF(B47&lt;&gt;"",INDEX('Strategy Indirect'!$T:$T,MATCH(B47,'Strategy Indirect'!$A:$A,0)),"")</f>
        <v/>
      </c>
      <c r="X47" s="3" t="str">
        <f ca="1">IF(C47&lt;&gt;"",INDEX('Strategy Indirect'!$T:$T,MATCH(C47,'Strategy Indirect'!$A:$A,0)),"")</f>
        <v/>
      </c>
      <c r="Y47" s="3" t="str">
        <f ca="1">IF(D47&lt;&gt;"",INDEX('Strategy Indirect'!$T:$T,MATCH(D47,'Strategy Indirect'!$A:$A,0)),"")</f>
        <v/>
      </c>
      <c r="Z47" s="3" t="str">
        <f t="shared" ca="1" si="0"/>
        <v/>
      </c>
      <c r="AA47" s="159" t="str">
        <f ca="1">IF($A47&lt;&gt;"", IF(B47&lt;&gt;"",$U47/$Z47,""),"")</f>
        <v/>
      </c>
      <c r="AB47" s="159" t="str">
        <f ca="1">IF($A47&lt;&gt;"", IF(C47&lt;&gt;"",$U47/$Z47,""),"")</f>
        <v/>
      </c>
      <c r="AC47" s="159" t="str">
        <f ca="1">IF($A47&lt;&gt;"", IF(D47&lt;&gt;"",$U47/$Z47,""),"")</f>
        <v/>
      </c>
    </row>
    <row r="48" spans="1:29"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159" t="str">
        <f ca="1">IF(B48&lt;&gt;"",SUMIF('Work Indirect'!B:B,'Initiative Indirect'!A48,'Work Indirect'!AC:AC),"")</f>
        <v/>
      </c>
      <c r="V48" s="3" t="str">
        <f ca="1">IF(A48&lt;&gt;"",IF(F48="",IF(E48="","",INDEX(Priorities[Color],MATCH(E48,Priorities[Priorities],0),0)),F48),"")</f>
        <v/>
      </c>
      <c r="W48" s="3" t="str">
        <f ca="1">IF(B48&lt;&gt;"",INDEX('Strategy Indirect'!$T:$T,MATCH(B48,'Strategy Indirect'!$A:$A,0)),"")</f>
        <v/>
      </c>
      <c r="X48" s="3" t="str">
        <f ca="1">IF(C48&lt;&gt;"",INDEX('Strategy Indirect'!$T:$T,MATCH(C48,'Strategy Indirect'!$A:$A,0)),"")</f>
        <v/>
      </c>
      <c r="Y48" s="3" t="str">
        <f ca="1">IF(D48&lt;&gt;"",INDEX('Strategy Indirect'!$T:$T,MATCH(D48,'Strategy Indirect'!$A:$A,0)),"")</f>
        <v/>
      </c>
      <c r="Z48" s="3" t="str">
        <f t="shared" ca="1" si="0"/>
        <v/>
      </c>
      <c r="AA48" s="159" t="str">
        <f ca="1">IF($A48&lt;&gt;"", IF(B48&lt;&gt;"",$U48/$Z48,""),"")</f>
        <v/>
      </c>
      <c r="AB48" s="159" t="str">
        <f ca="1">IF($A48&lt;&gt;"", IF(C48&lt;&gt;"",$U48/$Z48,""),"")</f>
        <v/>
      </c>
      <c r="AC48" s="159" t="str">
        <f ca="1">IF($A48&lt;&gt;"", IF(D48&lt;&gt;"",$U48/$Z48,""),"")</f>
        <v/>
      </c>
    </row>
    <row r="49" spans="1:29"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159" t="str">
        <f ca="1">IF(B49&lt;&gt;"",SUMIF('Work Indirect'!B:B,'Initiative Indirect'!A49,'Work Indirect'!AC:AC),"")</f>
        <v/>
      </c>
      <c r="V49" s="3" t="str">
        <f ca="1">IF(A49&lt;&gt;"",IF(F49="",IF(E49="","",INDEX(Priorities[Color],MATCH(E49,Priorities[Priorities],0),0)),F49),"")</f>
        <v/>
      </c>
      <c r="W49" s="3" t="str">
        <f ca="1">IF(B49&lt;&gt;"",INDEX('Strategy Indirect'!$T:$T,MATCH(B49,'Strategy Indirect'!$A:$A,0)),"")</f>
        <v/>
      </c>
      <c r="X49" s="3" t="str">
        <f ca="1">IF(C49&lt;&gt;"",INDEX('Strategy Indirect'!$T:$T,MATCH(C49,'Strategy Indirect'!$A:$A,0)),"")</f>
        <v/>
      </c>
      <c r="Y49" s="3" t="str">
        <f ca="1">IF(D49&lt;&gt;"",INDEX('Strategy Indirect'!$T:$T,MATCH(D49,'Strategy Indirect'!$A:$A,0)),"")</f>
        <v/>
      </c>
      <c r="Z49" s="3" t="str">
        <f t="shared" ca="1" si="0"/>
        <v/>
      </c>
      <c r="AA49" s="159" t="str">
        <f ca="1">IF($A49&lt;&gt;"", IF(B49&lt;&gt;"",$U49/$Z49,""),"")</f>
        <v/>
      </c>
      <c r="AB49" s="159" t="str">
        <f ca="1">IF($A49&lt;&gt;"", IF(C49&lt;&gt;"",$U49/$Z49,""),"")</f>
        <v/>
      </c>
      <c r="AC49" s="159" t="str">
        <f ca="1">IF($A49&lt;&gt;"", IF(D49&lt;&gt;"",$U49/$Z49,""),"")</f>
        <v/>
      </c>
    </row>
    <row r="50" spans="1:29"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159" t="str">
        <f ca="1">IF(B50&lt;&gt;"",SUMIF('Work Indirect'!B:B,'Initiative Indirect'!A50,'Work Indirect'!AC:AC),"")</f>
        <v/>
      </c>
      <c r="V50" s="3" t="str">
        <f ca="1">IF(A50&lt;&gt;"",IF(F50="",IF(E50="","",INDEX(Priorities[Color],MATCH(E50,Priorities[Priorities],0),0)),F50),"")</f>
        <v/>
      </c>
      <c r="W50" s="3" t="str">
        <f ca="1">IF(B50&lt;&gt;"",INDEX('Strategy Indirect'!$T:$T,MATCH(B50,'Strategy Indirect'!$A:$A,0)),"")</f>
        <v/>
      </c>
      <c r="X50" s="3" t="str">
        <f ca="1">IF(C50&lt;&gt;"",INDEX('Strategy Indirect'!$T:$T,MATCH(C50,'Strategy Indirect'!$A:$A,0)),"")</f>
        <v/>
      </c>
      <c r="Y50" s="3" t="str">
        <f ca="1">IF(D50&lt;&gt;"",INDEX('Strategy Indirect'!$T:$T,MATCH(D50,'Strategy Indirect'!$A:$A,0)),"")</f>
        <v/>
      </c>
      <c r="Z50" s="3" t="str">
        <f t="shared" ca="1" si="0"/>
        <v/>
      </c>
      <c r="AA50" s="159" t="str">
        <f ca="1">IF($A50&lt;&gt;"", IF(B50&lt;&gt;"",$U50/$Z50,""),"")</f>
        <v/>
      </c>
      <c r="AB50" s="159" t="str">
        <f ca="1">IF($A50&lt;&gt;"", IF(C50&lt;&gt;"",$U50/$Z50,""),"")</f>
        <v/>
      </c>
      <c r="AC50" s="159" t="str">
        <f ca="1">IF($A50&lt;&gt;"", IF(D50&lt;&gt;"",$U50/$Z50,""),"")</f>
        <v/>
      </c>
    </row>
    <row r="51" spans="1:29"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159" t="str">
        <f ca="1">IF(B51&lt;&gt;"",SUMIF('Work Indirect'!B:B,'Initiative Indirect'!A51,'Work Indirect'!AC:AC),"")</f>
        <v/>
      </c>
      <c r="V51" s="3" t="str">
        <f ca="1">IF(A51&lt;&gt;"",IF(F51="",IF(E51="","",INDEX(Priorities[Color],MATCH(E51,Priorities[Priorities],0),0)),F51),"")</f>
        <v/>
      </c>
      <c r="W51" s="3" t="str">
        <f ca="1">IF(B51&lt;&gt;"",INDEX('Strategy Indirect'!$T:$T,MATCH(B51,'Strategy Indirect'!$A:$A,0)),"")</f>
        <v/>
      </c>
      <c r="X51" s="3" t="str">
        <f ca="1">IF(C51&lt;&gt;"",INDEX('Strategy Indirect'!$T:$T,MATCH(C51,'Strategy Indirect'!$A:$A,0)),"")</f>
        <v/>
      </c>
      <c r="Y51" s="3" t="str">
        <f ca="1">IF(D51&lt;&gt;"",INDEX('Strategy Indirect'!$T:$T,MATCH(D51,'Strategy Indirect'!$A:$A,0)),"")</f>
        <v/>
      </c>
      <c r="Z51" s="3" t="str">
        <f t="shared" ca="1" si="0"/>
        <v/>
      </c>
      <c r="AA51" s="159" t="str">
        <f ca="1">IF($A51&lt;&gt;"", IF(B51&lt;&gt;"",$U51/$Z51,""),"")</f>
        <v/>
      </c>
      <c r="AB51" s="159" t="str">
        <f ca="1">IF($A51&lt;&gt;"", IF(C51&lt;&gt;"",$U51/$Z51,""),"")</f>
        <v/>
      </c>
      <c r="AC51" s="159" t="str">
        <f ca="1">IF($A51&lt;&gt;"", IF(D51&lt;&gt;"",$U51/$Z51,""),"")</f>
        <v/>
      </c>
    </row>
    <row r="52" spans="1:29"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159" t="str">
        <f ca="1">IF(B52&lt;&gt;"",SUMIF('Work Indirect'!B:B,'Initiative Indirect'!A52,'Work Indirect'!AC:AC),"")</f>
        <v/>
      </c>
      <c r="V52" s="3" t="str">
        <f ca="1">IF(A52&lt;&gt;"",IF(F52="",IF(E52="","",INDEX(Priorities[Color],MATCH(E52,Priorities[Priorities],0),0)),F52),"")</f>
        <v/>
      </c>
      <c r="W52" s="3" t="str">
        <f ca="1">IF(B52&lt;&gt;"",INDEX('Strategy Indirect'!$T:$T,MATCH(B52,'Strategy Indirect'!$A:$A,0)),"")</f>
        <v/>
      </c>
      <c r="X52" s="3" t="str">
        <f ca="1">IF(C52&lt;&gt;"",INDEX('Strategy Indirect'!$T:$T,MATCH(C52,'Strategy Indirect'!$A:$A,0)),"")</f>
        <v/>
      </c>
      <c r="Y52" s="3" t="str">
        <f ca="1">IF(D52&lt;&gt;"",INDEX('Strategy Indirect'!$T:$T,MATCH(D52,'Strategy Indirect'!$A:$A,0)),"")</f>
        <v/>
      </c>
      <c r="Z52" s="3" t="str">
        <f t="shared" ca="1" si="0"/>
        <v/>
      </c>
      <c r="AA52" s="159" t="str">
        <f ca="1">IF($A52&lt;&gt;"", IF(B52&lt;&gt;"",$U52/$Z52,""),"")</f>
        <v/>
      </c>
      <c r="AB52" s="159" t="str">
        <f ca="1">IF($A52&lt;&gt;"", IF(C52&lt;&gt;"",$U52/$Z52,""),"")</f>
        <v/>
      </c>
      <c r="AC52" s="159" t="str">
        <f ca="1">IF($A52&lt;&gt;"", IF(D52&lt;&gt;"",$U52/$Z52,""),"")</f>
        <v/>
      </c>
    </row>
    <row r="53" spans="1:29"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159" t="str">
        <f ca="1">IF(B53&lt;&gt;"",SUMIF('Work Indirect'!B:B,'Initiative Indirect'!A53,'Work Indirect'!AC:AC),"")</f>
        <v/>
      </c>
      <c r="V53" s="3" t="str">
        <f ca="1">IF(A53&lt;&gt;"",IF(F53="",IF(E53="","",INDEX(Priorities[Color],MATCH(E53,Priorities[Priorities],0),0)),F53),"")</f>
        <v/>
      </c>
      <c r="W53" s="3" t="str">
        <f ca="1">IF(B53&lt;&gt;"",INDEX('Strategy Indirect'!$T:$T,MATCH(B53,'Strategy Indirect'!$A:$A,0)),"")</f>
        <v/>
      </c>
      <c r="X53" s="3" t="str">
        <f ca="1">IF(C53&lt;&gt;"",INDEX('Strategy Indirect'!$T:$T,MATCH(C53,'Strategy Indirect'!$A:$A,0)),"")</f>
        <v/>
      </c>
      <c r="Y53" s="3" t="str">
        <f ca="1">IF(D53&lt;&gt;"",INDEX('Strategy Indirect'!$T:$T,MATCH(D53,'Strategy Indirect'!$A:$A,0)),"")</f>
        <v/>
      </c>
      <c r="Z53" s="3" t="str">
        <f t="shared" ca="1" si="0"/>
        <v/>
      </c>
      <c r="AA53" s="159" t="str">
        <f ca="1">IF($A53&lt;&gt;"", IF(B53&lt;&gt;"",$U53/$Z53,""),"")</f>
        <v/>
      </c>
      <c r="AB53" s="159" t="str">
        <f ca="1">IF($A53&lt;&gt;"", IF(C53&lt;&gt;"",$U53/$Z53,""),"")</f>
        <v/>
      </c>
      <c r="AC53" s="159" t="str">
        <f ca="1">IF($A53&lt;&gt;"", IF(D53&lt;&gt;"",$U53/$Z53,""),"")</f>
        <v/>
      </c>
    </row>
    <row r="54" spans="1:29"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159" t="str">
        <f ca="1">IF(B54&lt;&gt;"",SUMIF('Work Indirect'!B:B,'Initiative Indirect'!A54,'Work Indirect'!AC:AC),"")</f>
        <v/>
      </c>
      <c r="V54" s="3" t="str">
        <f ca="1">IF(A54&lt;&gt;"",IF(F54="",IF(E54="","",INDEX(Priorities[Color],MATCH(E54,Priorities[Priorities],0),0)),F54),"")</f>
        <v/>
      </c>
      <c r="W54" s="3" t="str">
        <f ca="1">IF(B54&lt;&gt;"",INDEX('Strategy Indirect'!$T:$T,MATCH(B54,'Strategy Indirect'!$A:$A,0)),"")</f>
        <v/>
      </c>
      <c r="X54" s="3" t="str">
        <f ca="1">IF(C54&lt;&gt;"",INDEX('Strategy Indirect'!$T:$T,MATCH(C54,'Strategy Indirect'!$A:$A,0)),"")</f>
        <v/>
      </c>
      <c r="Y54" s="3" t="str">
        <f ca="1">IF(D54&lt;&gt;"",INDEX('Strategy Indirect'!$T:$T,MATCH(D54,'Strategy Indirect'!$A:$A,0)),"")</f>
        <v/>
      </c>
      <c r="Z54" s="3" t="str">
        <f t="shared" ca="1" si="0"/>
        <v/>
      </c>
      <c r="AA54" s="159" t="str">
        <f ca="1">IF($A54&lt;&gt;"", IF(B54&lt;&gt;"",$U54/$Z54,""),"")</f>
        <v/>
      </c>
      <c r="AB54" s="159" t="str">
        <f ca="1">IF($A54&lt;&gt;"", IF(C54&lt;&gt;"",$U54/$Z54,""),"")</f>
        <v/>
      </c>
      <c r="AC54" s="159" t="str">
        <f ca="1">IF($A54&lt;&gt;"", IF(D54&lt;&gt;"",$U54/$Z54,""),"")</f>
        <v/>
      </c>
    </row>
    <row r="55" spans="1:29"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159" t="str">
        <f ca="1">IF(B55&lt;&gt;"",SUMIF('Work Indirect'!B:B,'Initiative Indirect'!A55,'Work Indirect'!AC:AC),"")</f>
        <v/>
      </c>
      <c r="V55" s="3" t="str">
        <f ca="1">IF(A55&lt;&gt;"",IF(F55="",IF(E55="","",INDEX(Priorities[Color],MATCH(E55,Priorities[Priorities],0),0)),F55),"")</f>
        <v/>
      </c>
      <c r="W55" s="3" t="str">
        <f ca="1">IF(B55&lt;&gt;"",INDEX('Strategy Indirect'!$T:$T,MATCH(B55,'Strategy Indirect'!$A:$A,0)),"")</f>
        <v/>
      </c>
      <c r="X55" s="3" t="str">
        <f ca="1">IF(C55&lt;&gt;"",INDEX('Strategy Indirect'!$T:$T,MATCH(C55,'Strategy Indirect'!$A:$A,0)),"")</f>
        <v/>
      </c>
      <c r="Y55" s="3" t="str">
        <f ca="1">IF(D55&lt;&gt;"",INDEX('Strategy Indirect'!$T:$T,MATCH(D55,'Strategy Indirect'!$A:$A,0)),"")</f>
        <v/>
      </c>
      <c r="Z55" s="3" t="str">
        <f t="shared" ca="1" si="0"/>
        <v/>
      </c>
      <c r="AA55" s="159" t="str">
        <f ca="1">IF($A55&lt;&gt;"", IF(B55&lt;&gt;"",$U55/$Z55,""),"")</f>
        <v/>
      </c>
      <c r="AB55" s="159" t="str">
        <f ca="1">IF($A55&lt;&gt;"", IF(C55&lt;&gt;"",$U55/$Z55,""),"")</f>
        <v/>
      </c>
      <c r="AC55" s="159" t="str">
        <f ca="1">IF($A55&lt;&gt;"", IF(D55&lt;&gt;"",$U55/$Z55,""),"")</f>
        <v/>
      </c>
    </row>
    <row r="56" spans="1:29"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159" t="str">
        <f ca="1">IF(B56&lt;&gt;"",SUMIF('Work Indirect'!B:B,'Initiative Indirect'!A56,'Work Indirect'!AC:AC),"")</f>
        <v/>
      </c>
      <c r="V56" s="3" t="str">
        <f ca="1">IF(A56&lt;&gt;"",IF(F56="",IF(E56="","",INDEX(Priorities[Color],MATCH(E56,Priorities[Priorities],0),0)),F56),"")</f>
        <v/>
      </c>
      <c r="W56" s="3" t="str">
        <f ca="1">IF(B56&lt;&gt;"",INDEX('Strategy Indirect'!$T:$T,MATCH(B56,'Strategy Indirect'!$A:$A,0)),"")</f>
        <v/>
      </c>
      <c r="X56" s="3" t="str">
        <f ca="1">IF(C56&lt;&gt;"",INDEX('Strategy Indirect'!$T:$T,MATCH(C56,'Strategy Indirect'!$A:$A,0)),"")</f>
        <v/>
      </c>
      <c r="Y56" s="3" t="str">
        <f ca="1">IF(D56&lt;&gt;"",INDEX('Strategy Indirect'!$T:$T,MATCH(D56,'Strategy Indirect'!$A:$A,0)),"")</f>
        <v/>
      </c>
      <c r="Z56" s="3" t="str">
        <f t="shared" ca="1" si="0"/>
        <v/>
      </c>
      <c r="AA56" s="159" t="str">
        <f ca="1">IF($A56&lt;&gt;"", IF(B56&lt;&gt;"",$U56/$Z56,""),"")</f>
        <v/>
      </c>
      <c r="AB56" s="159" t="str">
        <f ca="1">IF($A56&lt;&gt;"", IF(C56&lt;&gt;"",$U56/$Z56,""),"")</f>
        <v/>
      </c>
      <c r="AC56" s="159" t="str">
        <f ca="1">IF($A56&lt;&gt;"", IF(D56&lt;&gt;"",$U56/$Z56,""),"")</f>
        <v/>
      </c>
    </row>
    <row r="57" spans="1:29"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159" t="str">
        <f ca="1">IF(B57&lt;&gt;"",SUMIF('Work Indirect'!B:B,'Initiative Indirect'!A57,'Work Indirect'!AC:AC),"")</f>
        <v/>
      </c>
      <c r="V57" s="3" t="str">
        <f ca="1">IF(A57&lt;&gt;"",IF(F57="",IF(E57="","",INDEX(Priorities[Color],MATCH(E57,Priorities[Priorities],0),0)),F57),"")</f>
        <v/>
      </c>
      <c r="W57" s="3" t="str">
        <f ca="1">IF(B57&lt;&gt;"",INDEX('Strategy Indirect'!$T:$T,MATCH(B57,'Strategy Indirect'!$A:$A,0)),"")</f>
        <v/>
      </c>
      <c r="X57" s="3" t="str">
        <f ca="1">IF(C57&lt;&gt;"",INDEX('Strategy Indirect'!$T:$T,MATCH(C57,'Strategy Indirect'!$A:$A,0)),"")</f>
        <v/>
      </c>
      <c r="Y57" s="3" t="str">
        <f ca="1">IF(D57&lt;&gt;"",INDEX('Strategy Indirect'!$T:$T,MATCH(D57,'Strategy Indirect'!$A:$A,0)),"")</f>
        <v/>
      </c>
      <c r="Z57" s="3" t="str">
        <f t="shared" ca="1" si="0"/>
        <v/>
      </c>
      <c r="AA57" s="159" t="str">
        <f ca="1">IF($A57&lt;&gt;"", IF(B57&lt;&gt;"",$U57/$Z57,""),"")</f>
        <v/>
      </c>
      <c r="AB57" s="159" t="str">
        <f ca="1">IF($A57&lt;&gt;"", IF(C57&lt;&gt;"",$U57/$Z57,""),"")</f>
        <v/>
      </c>
      <c r="AC57" s="159" t="str">
        <f ca="1">IF($A57&lt;&gt;"", IF(D57&lt;&gt;"",$U57/$Z57,""),"")</f>
        <v/>
      </c>
    </row>
    <row r="58" spans="1:29"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159" t="str">
        <f ca="1">IF(B58&lt;&gt;"",SUMIF('Work Indirect'!B:B,'Initiative Indirect'!A58,'Work Indirect'!AC:AC),"")</f>
        <v/>
      </c>
      <c r="V58" s="3" t="str">
        <f ca="1">IF(A58&lt;&gt;"",IF(F58="",IF(E58="","",INDEX(Priorities[Color],MATCH(E58,Priorities[Priorities],0),0)),F58),"")</f>
        <v/>
      </c>
      <c r="W58" s="3" t="str">
        <f ca="1">IF(B58&lt;&gt;"",INDEX('Strategy Indirect'!$T:$T,MATCH(B58,'Strategy Indirect'!$A:$A,0)),"")</f>
        <v/>
      </c>
      <c r="X58" s="3" t="str">
        <f ca="1">IF(C58&lt;&gt;"",INDEX('Strategy Indirect'!$T:$T,MATCH(C58,'Strategy Indirect'!$A:$A,0)),"")</f>
        <v/>
      </c>
      <c r="Y58" s="3" t="str">
        <f ca="1">IF(D58&lt;&gt;"",INDEX('Strategy Indirect'!$T:$T,MATCH(D58,'Strategy Indirect'!$A:$A,0)),"")</f>
        <v/>
      </c>
      <c r="Z58" s="3" t="str">
        <f t="shared" ca="1" si="0"/>
        <v/>
      </c>
      <c r="AA58" s="159" t="str">
        <f ca="1">IF($A58&lt;&gt;"", IF(B58&lt;&gt;"",$U58/$Z58,""),"")</f>
        <v/>
      </c>
      <c r="AB58" s="159" t="str">
        <f ca="1">IF($A58&lt;&gt;"", IF(C58&lt;&gt;"",$U58/$Z58,""),"")</f>
        <v/>
      </c>
      <c r="AC58" s="159" t="str">
        <f ca="1">IF($A58&lt;&gt;"", IF(D58&lt;&gt;"",$U58/$Z58,""),"")</f>
        <v/>
      </c>
    </row>
    <row r="59" spans="1:29"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159" t="str">
        <f ca="1">IF(B59&lt;&gt;"",SUMIF('Work Indirect'!B:B,'Initiative Indirect'!A59,'Work Indirect'!AC:AC),"")</f>
        <v/>
      </c>
      <c r="V59" s="3" t="str">
        <f ca="1">IF(A59&lt;&gt;"",IF(F59="",IF(E59="","",INDEX(Priorities[Color],MATCH(E59,Priorities[Priorities],0),0)),F59),"")</f>
        <v/>
      </c>
      <c r="W59" s="3" t="str">
        <f ca="1">IF(B59&lt;&gt;"",INDEX('Strategy Indirect'!$T:$T,MATCH(B59,'Strategy Indirect'!$A:$A,0)),"")</f>
        <v/>
      </c>
      <c r="X59" s="3" t="str">
        <f ca="1">IF(C59&lt;&gt;"",INDEX('Strategy Indirect'!$T:$T,MATCH(C59,'Strategy Indirect'!$A:$A,0)),"")</f>
        <v/>
      </c>
      <c r="Y59" s="3" t="str">
        <f ca="1">IF(D59&lt;&gt;"",INDEX('Strategy Indirect'!$T:$T,MATCH(D59,'Strategy Indirect'!$A:$A,0)),"")</f>
        <v/>
      </c>
      <c r="Z59" s="3" t="str">
        <f t="shared" ca="1" si="0"/>
        <v/>
      </c>
      <c r="AA59" s="159" t="str">
        <f ca="1">IF($A59&lt;&gt;"", IF(B59&lt;&gt;"",$U59/$Z59,""),"")</f>
        <v/>
      </c>
      <c r="AB59" s="159" t="str">
        <f ca="1">IF($A59&lt;&gt;"", IF(C59&lt;&gt;"",$U59/$Z59,""),"")</f>
        <v/>
      </c>
      <c r="AC59" s="159" t="str">
        <f ca="1">IF($A59&lt;&gt;"", IF(D59&lt;&gt;"",$U59/$Z59,""),"")</f>
        <v/>
      </c>
    </row>
    <row r="60" spans="1:29"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159" t="str">
        <f ca="1">IF(B60&lt;&gt;"",SUMIF('Work Indirect'!B:B,'Initiative Indirect'!A60,'Work Indirect'!AC:AC),"")</f>
        <v/>
      </c>
      <c r="V60" s="3" t="str">
        <f ca="1">IF(A60&lt;&gt;"",IF(F60="",IF(E60="","",INDEX(Priorities[Color],MATCH(E60,Priorities[Priorities],0),0)),F60),"")</f>
        <v/>
      </c>
      <c r="W60" s="3" t="str">
        <f ca="1">IF(B60&lt;&gt;"",INDEX('Strategy Indirect'!$T:$T,MATCH(B60,'Strategy Indirect'!$A:$A,0)),"")</f>
        <v/>
      </c>
      <c r="X60" s="3" t="str">
        <f ca="1">IF(C60&lt;&gt;"",INDEX('Strategy Indirect'!$T:$T,MATCH(C60,'Strategy Indirect'!$A:$A,0)),"")</f>
        <v/>
      </c>
      <c r="Y60" s="3" t="str">
        <f ca="1">IF(D60&lt;&gt;"",INDEX('Strategy Indirect'!$T:$T,MATCH(D60,'Strategy Indirect'!$A:$A,0)),"")</f>
        <v/>
      </c>
      <c r="Z60" s="3" t="str">
        <f t="shared" ca="1" si="0"/>
        <v/>
      </c>
      <c r="AA60" s="159" t="str">
        <f ca="1">IF($A60&lt;&gt;"", IF(B60&lt;&gt;"",$U60/$Z60,""),"")</f>
        <v/>
      </c>
      <c r="AB60" s="159" t="str">
        <f ca="1">IF($A60&lt;&gt;"", IF(C60&lt;&gt;"",$U60/$Z60,""),"")</f>
        <v/>
      </c>
      <c r="AC60" s="159" t="str">
        <f ca="1">IF($A60&lt;&gt;"", IF(D60&lt;&gt;"",$U60/$Z60,""),"")</f>
        <v/>
      </c>
    </row>
    <row r="61" spans="1:29"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159" t="str">
        <f ca="1">IF(B61&lt;&gt;"",SUMIF('Work Indirect'!B:B,'Initiative Indirect'!A61,'Work Indirect'!AC:AC),"")</f>
        <v/>
      </c>
      <c r="V61" s="3" t="str">
        <f ca="1">IF(A61&lt;&gt;"",IF(F61="",IF(E61="","",INDEX(Priorities[Color],MATCH(E61,Priorities[Priorities],0),0)),F61),"")</f>
        <v/>
      </c>
      <c r="W61" s="3" t="str">
        <f ca="1">IF(B61&lt;&gt;"",INDEX('Strategy Indirect'!$T:$T,MATCH(B61,'Strategy Indirect'!$A:$A,0)),"")</f>
        <v/>
      </c>
      <c r="X61" s="3" t="str">
        <f ca="1">IF(C61&lt;&gt;"",INDEX('Strategy Indirect'!$T:$T,MATCH(C61,'Strategy Indirect'!$A:$A,0)),"")</f>
        <v/>
      </c>
      <c r="Y61" s="3" t="str">
        <f ca="1">IF(D61&lt;&gt;"",INDEX('Strategy Indirect'!$T:$T,MATCH(D61,'Strategy Indirect'!$A:$A,0)),"")</f>
        <v/>
      </c>
      <c r="Z61" s="3" t="str">
        <f t="shared" ca="1" si="0"/>
        <v/>
      </c>
      <c r="AA61" s="159" t="str">
        <f ca="1">IF($A61&lt;&gt;"", IF(B61&lt;&gt;"",$U61/$Z61,""),"")</f>
        <v/>
      </c>
      <c r="AB61" s="159" t="str">
        <f ca="1">IF($A61&lt;&gt;"", IF(C61&lt;&gt;"",$U61/$Z61,""),"")</f>
        <v/>
      </c>
      <c r="AC61" s="159" t="str">
        <f ca="1">IF($A61&lt;&gt;"", IF(D61&lt;&gt;"",$U61/$Z61,""),"")</f>
        <v/>
      </c>
    </row>
    <row r="62" spans="1:29"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159" t="str">
        <f ca="1">IF(B62&lt;&gt;"",SUMIF('Work Indirect'!B:B,'Initiative Indirect'!A62,'Work Indirect'!AC:AC),"")</f>
        <v/>
      </c>
      <c r="V62" s="3" t="str">
        <f ca="1">IF(A62&lt;&gt;"",IF(F62="",IF(E62="","",INDEX(Priorities[Color],MATCH(E62,Priorities[Priorities],0),0)),F62),"")</f>
        <v/>
      </c>
      <c r="W62" s="3" t="str">
        <f ca="1">IF(B62&lt;&gt;"",INDEX('Strategy Indirect'!$T:$T,MATCH(B62,'Strategy Indirect'!$A:$A,0)),"")</f>
        <v/>
      </c>
      <c r="X62" s="3" t="str">
        <f ca="1">IF(C62&lt;&gt;"",INDEX('Strategy Indirect'!$T:$T,MATCH(C62,'Strategy Indirect'!$A:$A,0)),"")</f>
        <v/>
      </c>
      <c r="Y62" s="3" t="str">
        <f ca="1">IF(D62&lt;&gt;"",INDEX('Strategy Indirect'!$T:$T,MATCH(D62,'Strategy Indirect'!$A:$A,0)),"")</f>
        <v/>
      </c>
      <c r="Z62" s="3" t="str">
        <f t="shared" ca="1" si="0"/>
        <v/>
      </c>
      <c r="AA62" s="159" t="str">
        <f ca="1">IF($A62&lt;&gt;"", IF(B62&lt;&gt;"",$U62/$Z62,""),"")</f>
        <v/>
      </c>
      <c r="AB62" s="159" t="str">
        <f ca="1">IF($A62&lt;&gt;"", IF(C62&lt;&gt;"",$U62/$Z62,""),"")</f>
        <v/>
      </c>
      <c r="AC62" s="159" t="str">
        <f ca="1">IF($A62&lt;&gt;"", IF(D62&lt;&gt;"",$U62/$Z62,""),"")</f>
        <v/>
      </c>
    </row>
    <row r="63" spans="1:29"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159" t="str">
        <f ca="1">IF(B63&lt;&gt;"",SUMIF('Work Indirect'!B:B,'Initiative Indirect'!A63,'Work Indirect'!AC:AC),"")</f>
        <v/>
      </c>
      <c r="V63" s="3" t="str">
        <f ca="1">IF(A63&lt;&gt;"",IF(F63="",IF(E63="","",INDEX(Priorities[Color],MATCH(E63,Priorities[Priorities],0),0)),F63),"")</f>
        <v/>
      </c>
      <c r="W63" s="3" t="str">
        <f ca="1">IF(B63&lt;&gt;"",INDEX('Strategy Indirect'!$T:$T,MATCH(B63,'Strategy Indirect'!$A:$A,0)),"")</f>
        <v/>
      </c>
      <c r="X63" s="3" t="str">
        <f ca="1">IF(C63&lt;&gt;"",INDEX('Strategy Indirect'!$T:$T,MATCH(C63,'Strategy Indirect'!$A:$A,0)),"")</f>
        <v/>
      </c>
      <c r="Y63" s="3" t="str">
        <f ca="1">IF(D63&lt;&gt;"",INDEX('Strategy Indirect'!$T:$T,MATCH(D63,'Strategy Indirect'!$A:$A,0)),"")</f>
        <v/>
      </c>
      <c r="Z63" s="3" t="str">
        <f t="shared" ca="1" si="0"/>
        <v/>
      </c>
      <c r="AA63" s="159" t="str">
        <f ca="1">IF($A63&lt;&gt;"", IF(B63&lt;&gt;"",$U63/$Z63,""),"")</f>
        <v/>
      </c>
      <c r="AB63" s="159" t="str">
        <f ca="1">IF($A63&lt;&gt;"", IF(C63&lt;&gt;"",$U63/$Z63,""),"")</f>
        <v/>
      </c>
      <c r="AC63" s="159" t="str">
        <f ca="1">IF($A63&lt;&gt;"", IF(D63&lt;&gt;"",$U63/$Z63,""),"")</f>
        <v/>
      </c>
    </row>
    <row r="64" spans="1:29"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159" t="str">
        <f ca="1">IF(B64&lt;&gt;"",SUMIF('Work Indirect'!B:B,'Initiative Indirect'!A64,'Work Indirect'!AC:AC),"")</f>
        <v/>
      </c>
      <c r="V64" s="3" t="str">
        <f ca="1">IF(A64&lt;&gt;"",IF(F64="",IF(E64="","",INDEX(Priorities[Color],MATCH(E64,Priorities[Priorities],0),0)),F64),"")</f>
        <v/>
      </c>
      <c r="W64" s="3" t="str">
        <f ca="1">IF(B64&lt;&gt;"",INDEX('Strategy Indirect'!$T:$T,MATCH(B64,'Strategy Indirect'!$A:$A,0)),"")</f>
        <v/>
      </c>
      <c r="X64" s="3" t="str">
        <f ca="1">IF(C64&lt;&gt;"",INDEX('Strategy Indirect'!$T:$T,MATCH(C64,'Strategy Indirect'!$A:$A,0)),"")</f>
        <v/>
      </c>
      <c r="Y64" s="3" t="str">
        <f ca="1">IF(D64&lt;&gt;"",INDEX('Strategy Indirect'!$T:$T,MATCH(D64,'Strategy Indirect'!$A:$A,0)),"")</f>
        <v/>
      </c>
      <c r="Z64" s="3" t="str">
        <f t="shared" ca="1" si="0"/>
        <v/>
      </c>
      <c r="AA64" s="159" t="str">
        <f ca="1">IF($A64&lt;&gt;"", IF(B64&lt;&gt;"",$U64/$Z64,""),"")</f>
        <v/>
      </c>
      <c r="AB64" s="159" t="str">
        <f ca="1">IF($A64&lt;&gt;"", IF(C64&lt;&gt;"",$U64/$Z64,""),"")</f>
        <v/>
      </c>
      <c r="AC64" s="159" t="str">
        <f ca="1">IF($A64&lt;&gt;"", IF(D64&lt;&gt;"",$U64/$Z64,""),"")</f>
        <v/>
      </c>
    </row>
    <row r="65" spans="1:29"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159" t="str">
        <f ca="1">IF(B65&lt;&gt;"",SUMIF('Work Indirect'!B:B,'Initiative Indirect'!A65,'Work Indirect'!AC:AC),"")</f>
        <v/>
      </c>
      <c r="V65" s="3" t="str">
        <f ca="1">IF(A65&lt;&gt;"",IF(F65="",IF(E65="","",INDEX(Priorities[Color],MATCH(E65,Priorities[Priorities],0),0)),F65),"")</f>
        <v/>
      </c>
      <c r="W65" s="3" t="str">
        <f ca="1">IF(B65&lt;&gt;"",INDEX('Strategy Indirect'!$T:$T,MATCH(B65,'Strategy Indirect'!$A:$A,0)),"")</f>
        <v/>
      </c>
      <c r="X65" s="3" t="str">
        <f ca="1">IF(C65&lt;&gt;"",INDEX('Strategy Indirect'!$T:$T,MATCH(C65,'Strategy Indirect'!$A:$A,0)),"")</f>
        <v/>
      </c>
      <c r="Y65" s="3" t="str">
        <f ca="1">IF(D65&lt;&gt;"",INDEX('Strategy Indirect'!$T:$T,MATCH(D65,'Strategy Indirect'!$A:$A,0)),"")</f>
        <v/>
      </c>
      <c r="Z65" s="3" t="str">
        <f t="shared" ca="1" si="0"/>
        <v/>
      </c>
      <c r="AA65" s="159" t="str">
        <f ca="1">IF($A65&lt;&gt;"", IF(B65&lt;&gt;"",$U65/$Z65,""),"")</f>
        <v/>
      </c>
      <c r="AB65" s="159" t="str">
        <f ca="1">IF($A65&lt;&gt;"", IF(C65&lt;&gt;"",$U65/$Z65,""),"")</f>
        <v/>
      </c>
      <c r="AC65" s="159" t="str">
        <f ca="1">IF($A65&lt;&gt;"", IF(D65&lt;&gt;"",$U65/$Z65,""),"")</f>
        <v/>
      </c>
    </row>
    <row r="66" spans="1:29"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159" t="str">
        <f ca="1">IF(B66&lt;&gt;"",SUMIF('Work Indirect'!B:B,'Initiative Indirect'!A66,'Work Indirect'!AC:AC),"")</f>
        <v/>
      </c>
      <c r="V66" s="3" t="str">
        <f ca="1">IF(A66&lt;&gt;"",IF(F66="",IF(E66="","",INDEX(Priorities[Color],MATCH(E66,Priorities[Priorities],0),0)),F66),"")</f>
        <v/>
      </c>
      <c r="W66" s="3" t="str">
        <f ca="1">IF(B66&lt;&gt;"",INDEX('Strategy Indirect'!$T:$T,MATCH(B66,'Strategy Indirect'!$A:$A,0)),"")</f>
        <v/>
      </c>
      <c r="X66" s="3" t="str">
        <f ca="1">IF(C66&lt;&gt;"",INDEX('Strategy Indirect'!$T:$T,MATCH(C66,'Strategy Indirect'!$A:$A,0)),"")</f>
        <v/>
      </c>
      <c r="Y66" s="3" t="str">
        <f ca="1">IF(D66&lt;&gt;"",INDEX('Strategy Indirect'!$T:$T,MATCH(D66,'Strategy Indirect'!$A:$A,0)),"")</f>
        <v/>
      </c>
      <c r="Z66" s="3" t="str">
        <f t="shared" ca="1" si="0"/>
        <v/>
      </c>
      <c r="AA66" s="159" t="str">
        <f ca="1">IF($A66&lt;&gt;"", IF(B66&lt;&gt;"",$U66/$Z66,""),"")</f>
        <v/>
      </c>
      <c r="AB66" s="159" t="str">
        <f ca="1">IF($A66&lt;&gt;"", IF(C66&lt;&gt;"",$U66/$Z66,""),"")</f>
        <v/>
      </c>
      <c r="AC66" s="159" t="str">
        <f ca="1">IF($A66&lt;&gt;"", IF(D66&lt;&gt;"",$U66/$Z66,""),"")</f>
        <v/>
      </c>
    </row>
    <row r="67" spans="1:29"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159" t="str">
        <f ca="1">IF(B67&lt;&gt;"",SUMIF('Work Indirect'!B:B,'Initiative Indirect'!A67,'Work Indirect'!AC:AC),"")</f>
        <v/>
      </c>
      <c r="V67" s="3" t="str">
        <f ca="1">IF(A67&lt;&gt;"",IF(F67="",IF(E67="","",INDEX(Priorities[Color],MATCH(E67,Priorities[Priorities],0),0)),F67),"")</f>
        <v/>
      </c>
      <c r="W67" s="3" t="str">
        <f ca="1">IF(B67&lt;&gt;"",INDEX('Strategy Indirect'!$T:$T,MATCH(B67,'Strategy Indirect'!$A:$A,0)),"")</f>
        <v/>
      </c>
      <c r="X67" s="3" t="str">
        <f ca="1">IF(C67&lt;&gt;"",INDEX('Strategy Indirect'!$T:$T,MATCH(C67,'Strategy Indirect'!$A:$A,0)),"")</f>
        <v/>
      </c>
      <c r="Y67" s="3" t="str">
        <f ca="1">IF(D67&lt;&gt;"",INDEX('Strategy Indirect'!$T:$T,MATCH(D67,'Strategy Indirect'!$A:$A,0)),"")</f>
        <v/>
      </c>
      <c r="Z67" s="3" t="str">
        <f t="shared" ref="Z67:Z130" ca="1" si="1">IF(A67&lt;&gt;"",3-COUNTIF($B67:$D67,""),"")</f>
        <v/>
      </c>
      <c r="AA67" s="159" t="str">
        <f ca="1">IF($A67&lt;&gt;"", IF(B67&lt;&gt;"",$U67/$Z67,""),"")</f>
        <v/>
      </c>
      <c r="AB67" s="159" t="str">
        <f ca="1">IF($A67&lt;&gt;"", IF(C67&lt;&gt;"",$U67/$Z67,""),"")</f>
        <v/>
      </c>
      <c r="AC67" s="159" t="str">
        <f ca="1">IF($A67&lt;&gt;"", IF(D67&lt;&gt;"",$U67/$Z67,""),"")</f>
        <v/>
      </c>
    </row>
    <row r="68" spans="1:29"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159" t="str">
        <f ca="1">IF(B68&lt;&gt;"",SUMIF('Work Indirect'!B:B,'Initiative Indirect'!A68,'Work Indirect'!AC:AC),"")</f>
        <v/>
      </c>
      <c r="V68" s="3" t="str">
        <f ca="1">IF(A68&lt;&gt;"",IF(F68="",IF(E68="","",INDEX(Priorities[Color],MATCH(E68,Priorities[Priorities],0),0)),F68),"")</f>
        <v/>
      </c>
      <c r="W68" s="3" t="str">
        <f ca="1">IF(B68&lt;&gt;"",INDEX('Strategy Indirect'!$T:$T,MATCH(B68,'Strategy Indirect'!$A:$A,0)),"")</f>
        <v/>
      </c>
      <c r="X68" s="3" t="str">
        <f ca="1">IF(C68&lt;&gt;"",INDEX('Strategy Indirect'!$T:$T,MATCH(C68,'Strategy Indirect'!$A:$A,0)),"")</f>
        <v/>
      </c>
      <c r="Y68" s="3" t="str">
        <f ca="1">IF(D68&lt;&gt;"",INDEX('Strategy Indirect'!$T:$T,MATCH(D68,'Strategy Indirect'!$A:$A,0)),"")</f>
        <v/>
      </c>
      <c r="Z68" s="3" t="str">
        <f t="shared" ca="1" si="1"/>
        <v/>
      </c>
      <c r="AA68" s="159" t="str">
        <f ca="1">IF($A68&lt;&gt;"", IF(B68&lt;&gt;"",$U68/$Z68,""),"")</f>
        <v/>
      </c>
      <c r="AB68" s="159" t="str">
        <f ca="1">IF($A68&lt;&gt;"", IF(C68&lt;&gt;"",$U68/$Z68,""),"")</f>
        <v/>
      </c>
      <c r="AC68" s="159" t="str">
        <f ca="1">IF($A68&lt;&gt;"", IF(D68&lt;&gt;"",$U68/$Z68,""),"")</f>
        <v/>
      </c>
    </row>
    <row r="69" spans="1:29"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159" t="str">
        <f ca="1">IF(B69&lt;&gt;"",SUMIF('Work Indirect'!B:B,'Initiative Indirect'!A69,'Work Indirect'!AC:AC),"")</f>
        <v/>
      </c>
      <c r="V69" s="3" t="str">
        <f ca="1">IF(A69&lt;&gt;"",IF(F69="",IF(E69="","",INDEX(Priorities[Color],MATCH(E69,Priorities[Priorities],0),0)),F69),"")</f>
        <v/>
      </c>
      <c r="W69" s="3" t="str">
        <f ca="1">IF(B69&lt;&gt;"",INDEX('Strategy Indirect'!$T:$T,MATCH(B69,'Strategy Indirect'!$A:$A,0)),"")</f>
        <v/>
      </c>
      <c r="X69" s="3" t="str">
        <f ca="1">IF(C69&lt;&gt;"",INDEX('Strategy Indirect'!$T:$T,MATCH(C69,'Strategy Indirect'!$A:$A,0)),"")</f>
        <v/>
      </c>
      <c r="Y69" s="3" t="str">
        <f ca="1">IF(D69&lt;&gt;"",INDEX('Strategy Indirect'!$T:$T,MATCH(D69,'Strategy Indirect'!$A:$A,0)),"")</f>
        <v/>
      </c>
      <c r="Z69" s="3" t="str">
        <f t="shared" ca="1" si="1"/>
        <v/>
      </c>
      <c r="AA69" s="159" t="str">
        <f ca="1">IF($A69&lt;&gt;"", IF(B69&lt;&gt;"",$U69/$Z69,""),"")</f>
        <v/>
      </c>
      <c r="AB69" s="159" t="str">
        <f ca="1">IF($A69&lt;&gt;"", IF(C69&lt;&gt;"",$U69/$Z69,""),"")</f>
        <v/>
      </c>
      <c r="AC69" s="159" t="str">
        <f ca="1">IF($A69&lt;&gt;"", IF(D69&lt;&gt;"",$U69/$Z69,""),"")</f>
        <v/>
      </c>
    </row>
    <row r="70" spans="1:29"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159" t="str">
        <f ca="1">IF(B70&lt;&gt;"",SUMIF('Work Indirect'!B:B,'Initiative Indirect'!A70,'Work Indirect'!AC:AC),"")</f>
        <v/>
      </c>
      <c r="V70" s="3" t="str">
        <f ca="1">IF(A70&lt;&gt;"",IF(F70="",IF(E70="","",INDEX(Priorities[Color],MATCH(E70,Priorities[Priorities],0),0)),F70),"")</f>
        <v/>
      </c>
      <c r="W70" s="3" t="str">
        <f ca="1">IF(B70&lt;&gt;"",INDEX('Strategy Indirect'!$T:$T,MATCH(B70,'Strategy Indirect'!$A:$A,0)),"")</f>
        <v/>
      </c>
      <c r="X70" s="3" t="str">
        <f ca="1">IF(C70&lt;&gt;"",INDEX('Strategy Indirect'!$T:$T,MATCH(C70,'Strategy Indirect'!$A:$A,0)),"")</f>
        <v/>
      </c>
      <c r="Y70" s="3" t="str">
        <f ca="1">IF(D70&lt;&gt;"",INDEX('Strategy Indirect'!$T:$T,MATCH(D70,'Strategy Indirect'!$A:$A,0)),"")</f>
        <v/>
      </c>
      <c r="Z70" s="3" t="str">
        <f t="shared" ca="1" si="1"/>
        <v/>
      </c>
      <c r="AA70" s="159" t="str">
        <f ca="1">IF($A70&lt;&gt;"", IF(B70&lt;&gt;"",$U70/$Z70,""),"")</f>
        <v/>
      </c>
      <c r="AB70" s="159" t="str">
        <f ca="1">IF($A70&lt;&gt;"", IF(C70&lt;&gt;"",$U70/$Z70,""),"")</f>
        <v/>
      </c>
      <c r="AC70" s="159" t="str">
        <f ca="1">IF($A70&lt;&gt;"", IF(D70&lt;&gt;"",$U70/$Z70,""),"")</f>
        <v/>
      </c>
    </row>
    <row r="71" spans="1:29"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159" t="str">
        <f ca="1">IF(B71&lt;&gt;"",SUMIF('Work Indirect'!B:B,'Initiative Indirect'!A71,'Work Indirect'!AC:AC),"")</f>
        <v/>
      </c>
      <c r="V71" s="3" t="str">
        <f ca="1">IF(A71&lt;&gt;"",IF(F71="",IF(E71="","",INDEX(Priorities[Color],MATCH(E71,Priorities[Priorities],0),0)),F71),"")</f>
        <v/>
      </c>
      <c r="W71" s="3" t="str">
        <f ca="1">IF(B71&lt;&gt;"",INDEX('Strategy Indirect'!$T:$T,MATCH(B71,'Strategy Indirect'!$A:$A,0)),"")</f>
        <v/>
      </c>
      <c r="X71" s="3" t="str">
        <f ca="1">IF(C71&lt;&gt;"",INDEX('Strategy Indirect'!$T:$T,MATCH(C71,'Strategy Indirect'!$A:$A,0)),"")</f>
        <v/>
      </c>
      <c r="Y71" s="3" t="str">
        <f ca="1">IF(D71&lt;&gt;"",INDEX('Strategy Indirect'!$T:$T,MATCH(D71,'Strategy Indirect'!$A:$A,0)),"")</f>
        <v/>
      </c>
      <c r="Z71" s="3" t="str">
        <f t="shared" ca="1" si="1"/>
        <v/>
      </c>
      <c r="AA71" s="159" t="str">
        <f ca="1">IF($A71&lt;&gt;"", IF(B71&lt;&gt;"",$U71/$Z71,""),"")</f>
        <v/>
      </c>
      <c r="AB71" s="159" t="str">
        <f ca="1">IF($A71&lt;&gt;"", IF(C71&lt;&gt;"",$U71/$Z71,""),"")</f>
        <v/>
      </c>
      <c r="AC71" s="159" t="str">
        <f ca="1">IF($A71&lt;&gt;"", IF(D71&lt;&gt;"",$U71/$Z71,""),"")</f>
        <v/>
      </c>
    </row>
    <row r="72" spans="1:29"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159" t="str">
        <f ca="1">IF(B72&lt;&gt;"",SUMIF('Work Indirect'!B:B,'Initiative Indirect'!A72,'Work Indirect'!AC:AC),"")</f>
        <v/>
      </c>
      <c r="V72" s="3" t="str">
        <f ca="1">IF(A72&lt;&gt;"",IF(F72="",IF(E72="","",INDEX(Priorities[Color],MATCH(E72,Priorities[Priorities],0),0)),F72),"")</f>
        <v/>
      </c>
      <c r="W72" s="3" t="str">
        <f ca="1">IF(B72&lt;&gt;"",INDEX('Strategy Indirect'!$T:$T,MATCH(B72,'Strategy Indirect'!$A:$A,0)),"")</f>
        <v/>
      </c>
      <c r="X72" s="3" t="str">
        <f ca="1">IF(C72&lt;&gt;"",INDEX('Strategy Indirect'!$T:$T,MATCH(C72,'Strategy Indirect'!$A:$A,0)),"")</f>
        <v/>
      </c>
      <c r="Y72" s="3" t="str">
        <f ca="1">IF(D72&lt;&gt;"",INDEX('Strategy Indirect'!$T:$T,MATCH(D72,'Strategy Indirect'!$A:$A,0)),"")</f>
        <v/>
      </c>
      <c r="Z72" s="3" t="str">
        <f t="shared" ca="1" si="1"/>
        <v/>
      </c>
      <c r="AA72" s="159" t="str">
        <f ca="1">IF($A72&lt;&gt;"", IF(B72&lt;&gt;"",$U72/$Z72,""),"")</f>
        <v/>
      </c>
      <c r="AB72" s="159" t="str">
        <f ca="1">IF($A72&lt;&gt;"", IF(C72&lt;&gt;"",$U72/$Z72,""),"")</f>
        <v/>
      </c>
      <c r="AC72" s="159" t="str">
        <f ca="1">IF($A72&lt;&gt;"", IF(D72&lt;&gt;"",$U72/$Z72,""),"")</f>
        <v/>
      </c>
    </row>
    <row r="73" spans="1:29"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159" t="str">
        <f ca="1">IF(B73&lt;&gt;"",SUMIF('Work Indirect'!B:B,'Initiative Indirect'!A73,'Work Indirect'!AC:AC),"")</f>
        <v/>
      </c>
      <c r="V73" s="3" t="str">
        <f ca="1">IF(A73&lt;&gt;"",IF(F73="",IF(E73="","",INDEX(Priorities[Color],MATCH(E73,Priorities[Priorities],0),0)),F73),"")</f>
        <v/>
      </c>
      <c r="W73" s="3" t="str">
        <f ca="1">IF(B73&lt;&gt;"",INDEX('Strategy Indirect'!$T:$T,MATCH(B73,'Strategy Indirect'!$A:$A,0)),"")</f>
        <v/>
      </c>
      <c r="X73" s="3" t="str">
        <f ca="1">IF(C73&lt;&gt;"",INDEX('Strategy Indirect'!$T:$T,MATCH(C73,'Strategy Indirect'!$A:$A,0)),"")</f>
        <v/>
      </c>
      <c r="Y73" s="3" t="str">
        <f ca="1">IF(D73&lt;&gt;"",INDEX('Strategy Indirect'!$T:$T,MATCH(D73,'Strategy Indirect'!$A:$A,0)),"")</f>
        <v/>
      </c>
      <c r="Z73" s="3" t="str">
        <f t="shared" ca="1" si="1"/>
        <v/>
      </c>
      <c r="AA73" s="159" t="str">
        <f ca="1">IF($A73&lt;&gt;"", IF(B73&lt;&gt;"",$U73/$Z73,""),"")</f>
        <v/>
      </c>
      <c r="AB73" s="159" t="str">
        <f ca="1">IF($A73&lt;&gt;"", IF(C73&lt;&gt;"",$U73/$Z73,""),"")</f>
        <v/>
      </c>
      <c r="AC73" s="159" t="str">
        <f ca="1">IF($A73&lt;&gt;"", IF(D73&lt;&gt;"",$U73/$Z73,""),"")</f>
        <v/>
      </c>
    </row>
    <row r="74" spans="1:29"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159" t="str">
        <f ca="1">IF(B74&lt;&gt;"",SUMIF('Work Indirect'!B:B,'Initiative Indirect'!A74,'Work Indirect'!AC:AC),"")</f>
        <v/>
      </c>
      <c r="V74" s="3" t="str">
        <f ca="1">IF(A74&lt;&gt;"",IF(F74="",IF(E74="","",INDEX(Priorities[Color],MATCH(E74,Priorities[Priorities],0),0)),F74),"")</f>
        <v/>
      </c>
      <c r="W74" s="3" t="str">
        <f ca="1">IF(B74&lt;&gt;"",INDEX('Strategy Indirect'!$T:$T,MATCH(B74,'Strategy Indirect'!$A:$A,0)),"")</f>
        <v/>
      </c>
      <c r="X74" s="3" t="str">
        <f ca="1">IF(C74&lt;&gt;"",INDEX('Strategy Indirect'!$T:$T,MATCH(C74,'Strategy Indirect'!$A:$A,0)),"")</f>
        <v/>
      </c>
      <c r="Y74" s="3" t="str">
        <f ca="1">IF(D74&lt;&gt;"",INDEX('Strategy Indirect'!$T:$T,MATCH(D74,'Strategy Indirect'!$A:$A,0)),"")</f>
        <v/>
      </c>
      <c r="Z74" s="3" t="str">
        <f t="shared" ca="1" si="1"/>
        <v/>
      </c>
      <c r="AA74" s="159" t="str">
        <f ca="1">IF($A74&lt;&gt;"", IF(B74&lt;&gt;"",$U74/$Z74,""),"")</f>
        <v/>
      </c>
      <c r="AB74" s="159" t="str">
        <f ca="1">IF($A74&lt;&gt;"", IF(C74&lt;&gt;"",$U74/$Z74,""),"")</f>
        <v/>
      </c>
      <c r="AC74" s="159" t="str">
        <f ca="1">IF($A74&lt;&gt;"", IF(D74&lt;&gt;"",$U74/$Z74,""),"")</f>
        <v/>
      </c>
    </row>
    <row r="75" spans="1:29"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159" t="str">
        <f ca="1">IF(B75&lt;&gt;"",SUMIF('Work Indirect'!B:B,'Initiative Indirect'!A75,'Work Indirect'!AC:AC),"")</f>
        <v/>
      </c>
      <c r="V75" s="3" t="str">
        <f ca="1">IF(A75&lt;&gt;"",IF(F75="",IF(E75="","",INDEX(Priorities[Color],MATCH(E75,Priorities[Priorities],0),0)),F75),"")</f>
        <v/>
      </c>
      <c r="W75" s="3" t="str">
        <f ca="1">IF(B75&lt;&gt;"",INDEX('Strategy Indirect'!$T:$T,MATCH(B75,'Strategy Indirect'!$A:$A,0)),"")</f>
        <v/>
      </c>
      <c r="X75" s="3" t="str">
        <f ca="1">IF(C75&lt;&gt;"",INDEX('Strategy Indirect'!$T:$T,MATCH(C75,'Strategy Indirect'!$A:$A,0)),"")</f>
        <v/>
      </c>
      <c r="Y75" s="3" t="str">
        <f ca="1">IF(D75&lt;&gt;"",INDEX('Strategy Indirect'!$T:$T,MATCH(D75,'Strategy Indirect'!$A:$A,0)),"")</f>
        <v/>
      </c>
      <c r="Z75" s="3" t="str">
        <f t="shared" ca="1" si="1"/>
        <v/>
      </c>
      <c r="AA75" s="159" t="str">
        <f ca="1">IF($A75&lt;&gt;"", IF(B75&lt;&gt;"",$U75/$Z75,""),"")</f>
        <v/>
      </c>
      <c r="AB75" s="159" t="str">
        <f ca="1">IF($A75&lt;&gt;"", IF(C75&lt;&gt;"",$U75/$Z75,""),"")</f>
        <v/>
      </c>
      <c r="AC75" s="159" t="str">
        <f ca="1">IF($A75&lt;&gt;"", IF(D75&lt;&gt;"",$U75/$Z75,""),"")</f>
        <v/>
      </c>
    </row>
    <row r="76" spans="1:29"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159" t="str">
        <f ca="1">IF(B76&lt;&gt;"",SUMIF('Work Indirect'!B:B,'Initiative Indirect'!A76,'Work Indirect'!AC:AC),"")</f>
        <v/>
      </c>
      <c r="V76" s="3" t="str">
        <f ca="1">IF(A76&lt;&gt;"",IF(F76="",IF(E76="","",INDEX(Priorities[Color],MATCH(E76,Priorities[Priorities],0),0)),F76),"")</f>
        <v/>
      </c>
      <c r="W76" s="3" t="str">
        <f ca="1">IF(B76&lt;&gt;"",INDEX('Strategy Indirect'!$T:$T,MATCH(B76,'Strategy Indirect'!$A:$A,0)),"")</f>
        <v/>
      </c>
      <c r="X76" s="3" t="str">
        <f ca="1">IF(C76&lt;&gt;"",INDEX('Strategy Indirect'!$T:$T,MATCH(C76,'Strategy Indirect'!$A:$A,0)),"")</f>
        <v/>
      </c>
      <c r="Y76" s="3" t="str">
        <f ca="1">IF(D76&lt;&gt;"",INDEX('Strategy Indirect'!$T:$T,MATCH(D76,'Strategy Indirect'!$A:$A,0)),"")</f>
        <v/>
      </c>
      <c r="Z76" s="3" t="str">
        <f t="shared" ca="1" si="1"/>
        <v/>
      </c>
      <c r="AA76" s="159" t="str">
        <f ca="1">IF($A76&lt;&gt;"", IF(B76&lt;&gt;"",$U76/$Z76,""),"")</f>
        <v/>
      </c>
      <c r="AB76" s="159" t="str">
        <f ca="1">IF($A76&lt;&gt;"", IF(C76&lt;&gt;"",$U76/$Z76,""),"")</f>
        <v/>
      </c>
      <c r="AC76" s="159" t="str">
        <f ca="1">IF($A76&lt;&gt;"", IF(D76&lt;&gt;"",$U76/$Z76,""),"")</f>
        <v/>
      </c>
    </row>
    <row r="77" spans="1:29"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159" t="str">
        <f ca="1">IF(B77&lt;&gt;"",SUMIF('Work Indirect'!B:B,'Initiative Indirect'!A77,'Work Indirect'!AC:AC),"")</f>
        <v/>
      </c>
      <c r="V77" s="3" t="str">
        <f ca="1">IF(A77&lt;&gt;"",IF(F77="",IF(E77="","",INDEX(Priorities[Color],MATCH(E77,Priorities[Priorities],0),0)),F77),"")</f>
        <v/>
      </c>
      <c r="W77" s="3" t="str">
        <f ca="1">IF(B77&lt;&gt;"",INDEX('Strategy Indirect'!$T:$T,MATCH(B77,'Strategy Indirect'!$A:$A,0)),"")</f>
        <v/>
      </c>
      <c r="X77" s="3" t="str">
        <f ca="1">IF(C77&lt;&gt;"",INDEX('Strategy Indirect'!$T:$T,MATCH(C77,'Strategy Indirect'!$A:$A,0)),"")</f>
        <v/>
      </c>
      <c r="Y77" s="3" t="str">
        <f ca="1">IF(D77&lt;&gt;"",INDEX('Strategy Indirect'!$T:$T,MATCH(D77,'Strategy Indirect'!$A:$A,0)),"")</f>
        <v/>
      </c>
      <c r="Z77" s="3" t="str">
        <f t="shared" ca="1" si="1"/>
        <v/>
      </c>
      <c r="AA77" s="159" t="str">
        <f ca="1">IF($A77&lt;&gt;"", IF(B77&lt;&gt;"",$U77/$Z77,""),"")</f>
        <v/>
      </c>
      <c r="AB77" s="159" t="str">
        <f ca="1">IF($A77&lt;&gt;"", IF(C77&lt;&gt;"",$U77/$Z77,""),"")</f>
        <v/>
      </c>
      <c r="AC77" s="159" t="str">
        <f ca="1">IF($A77&lt;&gt;"", IF(D77&lt;&gt;"",$U77/$Z77,""),"")</f>
        <v/>
      </c>
    </row>
    <row r="78" spans="1:29"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159" t="str">
        <f ca="1">IF(B78&lt;&gt;"",SUMIF('Work Indirect'!B:B,'Initiative Indirect'!A78,'Work Indirect'!AC:AC),"")</f>
        <v/>
      </c>
      <c r="V78" s="3" t="str">
        <f ca="1">IF(A78&lt;&gt;"",IF(F78="",IF(E78="","",INDEX(Priorities[Color],MATCH(E78,Priorities[Priorities],0),0)),F78),"")</f>
        <v/>
      </c>
      <c r="W78" s="3" t="str">
        <f ca="1">IF(B78&lt;&gt;"",INDEX('Strategy Indirect'!$T:$T,MATCH(B78,'Strategy Indirect'!$A:$A,0)),"")</f>
        <v/>
      </c>
      <c r="X78" s="3" t="str">
        <f ca="1">IF(C78&lt;&gt;"",INDEX('Strategy Indirect'!$T:$T,MATCH(C78,'Strategy Indirect'!$A:$A,0)),"")</f>
        <v/>
      </c>
      <c r="Y78" s="3" t="str">
        <f ca="1">IF(D78&lt;&gt;"",INDEX('Strategy Indirect'!$T:$T,MATCH(D78,'Strategy Indirect'!$A:$A,0)),"")</f>
        <v/>
      </c>
      <c r="Z78" s="3" t="str">
        <f t="shared" ca="1" si="1"/>
        <v/>
      </c>
      <c r="AA78" s="159" t="str">
        <f ca="1">IF($A78&lt;&gt;"", IF(B78&lt;&gt;"",$U78/$Z78,""),"")</f>
        <v/>
      </c>
      <c r="AB78" s="159" t="str">
        <f ca="1">IF($A78&lt;&gt;"", IF(C78&lt;&gt;"",$U78/$Z78,""),"")</f>
        <v/>
      </c>
      <c r="AC78" s="159" t="str">
        <f ca="1">IF($A78&lt;&gt;"", IF(D78&lt;&gt;"",$U78/$Z78,""),"")</f>
        <v/>
      </c>
    </row>
    <row r="79" spans="1:29"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159" t="str">
        <f ca="1">IF(B79&lt;&gt;"",SUMIF('Work Indirect'!B:B,'Initiative Indirect'!A79,'Work Indirect'!AC:AC),"")</f>
        <v/>
      </c>
      <c r="V79" s="3" t="str">
        <f ca="1">IF(A79&lt;&gt;"",IF(F79="",IF(E79="","",INDEX(Priorities[Color],MATCH(E79,Priorities[Priorities],0),0)),F79),"")</f>
        <v/>
      </c>
      <c r="W79" s="3" t="str">
        <f ca="1">IF(B79&lt;&gt;"",INDEX('Strategy Indirect'!$T:$T,MATCH(B79,'Strategy Indirect'!$A:$A,0)),"")</f>
        <v/>
      </c>
      <c r="X79" s="3" t="str">
        <f ca="1">IF(C79&lt;&gt;"",INDEX('Strategy Indirect'!$T:$T,MATCH(C79,'Strategy Indirect'!$A:$A,0)),"")</f>
        <v/>
      </c>
      <c r="Y79" s="3" t="str">
        <f ca="1">IF(D79&lt;&gt;"",INDEX('Strategy Indirect'!$T:$T,MATCH(D79,'Strategy Indirect'!$A:$A,0)),"")</f>
        <v/>
      </c>
      <c r="Z79" s="3" t="str">
        <f t="shared" ca="1" si="1"/>
        <v/>
      </c>
      <c r="AA79" s="159" t="str">
        <f ca="1">IF($A79&lt;&gt;"", IF(B79&lt;&gt;"",$U79/$Z79,""),"")</f>
        <v/>
      </c>
      <c r="AB79" s="159" t="str">
        <f ca="1">IF($A79&lt;&gt;"", IF(C79&lt;&gt;"",$U79/$Z79,""),"")</f>
        <v/>
      </c>
      <c r="AC79" s="159" t="str">
        <f ca="1">IF($A79&lt;&gt;"", IF(D79&lt;&gt;"",$U79/$Z79,""),"")</f>
        <v/>
      </c>
    </row>
    <row r="80" spans="1:29"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159" t="str">
        <f ca="1">IF(B80&lt;&gt;"",SUMIF('Work Indirect'!B:B,'Initiative Indirect'!A80,'Work Indirect'!AC:AC),"")</f>
        <v/>
      </c>
      <c r="V80" s="3" t="str">
        <f ca="1">IF(A80&lt;&gt;"",IF(F80="",IF(E80="","",INDEX(Priorities[Color],MATCH(E80,Priorities[Priorities],0),0)),F80),"")</f>
        <v/>
      </c>
      <c r="W80" s="3" t="str">
        <f ca="1">IF(B80&lt;&gt;"",INDEX('Strategy Indirect'!$T:$T,MATCH(B80,'Strategy Indirect'!$A:$A,0)),"")</f>
        <v/>
      </c>
      <c r="X80" s="3" t="str">
        <f ca="1">IF(C80&lt;&gt;"",INDEX('Strategy Indirect'!$T:$T,MATCH(C80,'Strategy Indirect'!$A:$A,0)),"")</f>
        <v/>
      </c>
      <c r="Y80" s="3" t="str">
        <f ca="1">IF(D80&lt;&gt;"",INDEX('Strategy Indirect'!$T:$T,MATCH(D80,'Strategy Indirect'!$A:$A,0)),"")</f>
        <v/>
      </c>
      <c r="Z80" s="3" t="str">
        <f t="shared" ca="1" si="1"/>
        <v/>
      </c>
      <c r="AA80" s="159" t="str">
        <f ca="1">IF($A80&lt;&gt;"", IF(B80&lt;&gt;"",$U80/$Z80,""),"")</f>
        <v/>
      </c>
      <c r="AB80" s="159" t="str">
        <f ca="1">IF($A80&lt;&gt;"", IF(C80&lt;&gt;"",$U80/$Z80,""),"")</f>
        <v/>
      </c>
      <c r="AC80" s="159" t="str">
        <f ca="1">IF($A80&lt;&gt;"", IF(D80&lt;&gt;"",$U80/$Z80,""),"")</f>
        <v/>
      </c>
    </row>
    <row r="81" spans="1:29"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159" t="str">
        <f ca="1">IF(B81&lt;&gt;"",SUMIF('Work Indirect'!B:B,'Initiative Indirect'!A81,'Work Indirect'!AC:AC),"")</f>
        <v/>
      </c>
      <c r="V81" s="3" t="str">
        <f ca="1">IF(A81&lt;&gt;"",IF(F81="",IF(E81="","",INDEX(Priorities[Color],MATCH(E81,Priorities[Priorities],0),0)),F81),"")</f>
        <v/>
      </c>
      <c r="W81" s="3" t="str">
        <f ca="1">IF(B81&lt;&gt;"",INDEX('Strategy Indirect'!$T:$T,MATCH(B81,'Strategy Indirect'!$A:$A,0)),"")</f>
        <v/>
      </c>
      <c r="X81" s="3" t="str">
        <f ca="1">IF(C81&lt;&gt;"",INDEX('Strategy Indirect'!$T:$T,MATCH(C81,'Strategy Indirect'!$A:$A,0)),"")</f>
        <v/>
      </c>
      <c r="Y81" s="3" t="str">
        <f ca="1">IF(D81&lt;&gt;"",INDEX('Strategy Indirect'!$T:$T,MATCH(D81,'Strategy Indirect'!$A:$A,0)),"")</f>
        <v/>
      </c>
      <c r="Z81" s="3" t="str">
        <f t="shared" ca="1" si="1"/>
        <v/>
      </c>
      <c r="AA81" s="159" t="str">
        <f ca="1">IF($A81&lt;&gt;"", IF(B81&lt;&gt;"",$U81/$Z81,""),"")</f>
        <v/>
      </c>
      <c r="AB81" s="159" t="str">
        <f ca="1">IF($A81&lt;&gt;"", IF(C81&lt;&gt;"",$U81/$Z81,""),"")</f>
        <v/>
      </c>
      <c r="AC81" s="159" t="str">
        <f ca="1">IF($A81&lt;&gt;"", IF(D81&lt;&gt;"",$U81/$Z81,""),"")</f>
        <v/>
      </c>
    </row>
    <row r="82" spans="1:29"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159" t="str">
        <f ca="1">IF(B82&lt;&gt;"",SUMIF('Work Indirect'!B:B,'Initiative Indirect'!A82,'Work Indirect'!AC:AC),"")</f>
        <v/>
      </c>
      <c r="V82" s="3" t="str">
        <f ca="1">IF(A82&lt;&gt;"",IF(F82="",IF(E82="","",INDEX(Priorities[Color],MATCH(E82,Priorities[Priorities],0),0)),F82),"")</f>
        <v/>
      </c>
      <c r="W82" s="3" t="str">
        <f ca="1">IF(B82&lt;&gt;"",INDEX('Strategy Indirect'!$T:$T,MATCH(B82,'Strategy Indirect'!$A:$A,0)),"")</f>
        <v/>
      </c>
      <c r="X82" s="3" t="str">
        <f ca="1">IF(C82&lt;&gt;"",INDEX('Strategy Indirect'!$T:$T,MATCH(C82,'Strategy Indirect'!$A:$A,0)),"")</f>
        <v/>
      </c>
      <c r="Y82" s="3" t="str">
        <f ca="1">IF(D82&lt;&gt;"",INDEX('Strategy Indirect'!$T:$T,MATCH(D82,'Strategy Indirect'!$A:$A,0)),"")</f>
        <v/>
      </c>
      <c r="Z82" s="3" t="str">
        <f t="shared" ca="1" si="1"/>
        <v/>
      </c>
      <c r="AA82" s="159" t="str">
        <f ca="1">IF($A82&lt;&gt;"", IF(B82&lt;&gt;"",$U82/$Z82,""),"")</f>
        <v/>
      </c>
      <c r="AB82" s="159" t="str">
        <f ca="1">IF($A82&lt;&gt;"", IF(C82&lt;&gt;"",$U82/$Z82,""),"")</f>
        <v/>
      </c>
      <c r="AC82" s="159" t="str">
        <f ca="1">IF($A82&lt;&gt;"", IF(D82&lt;&gt;"",$U82/$Z82,""),"")</f>
        <v/>
      </c>
    </row>
    <row r="83" spans="1:29"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159" t="str">
        <f ca="1">IF(B83&lt;&gt;"",SUMIF('Work Indirect'!B:B,'Initiative Indirect'!A83,'Work Indirect'!AC:AC),"")</f>
        <v/>
      </c>
      <c r="V83" s="3" t="str">
        <f ca="1">IF(A83&lt;&gt;"",IF(F83="",IF(E83="","",INDEX(Priorities[Color],MATCH(E83,Priorities[Priorities],0),0)),F83),"")</f>
        <v/>
      </c>
      <c r="W83" s="3" t="str">
        <f ca="1">IF(B83&lt;&gt;"",INDEX('Strategy Indirect'!$T:$T,MATCH(B83,'Strategy Indirect'!$A:$A,0)),"")</f>
        <v/>
      </c>
      <c r="X83" s="3" t="str">
        <f ca="1">IF(C83&lt;&gt;"",INDEX('Strategy Indirect'!$T:$T,MATCH(C83,'Strategy Indirect'!$A:$A,0)),"")</f>
        <v/>
      </c>
      <c r="Y83" s="3" t="str">
        <f ca="1">IF(D83&lt;&gt;"",INDEX('Strategy Indirect'!$T:$T,MATCH(D83,'Strategy Indirect'!$A:$A,0)),"")</f>
        <v/>
      </c>
      <c r="Z83" s="3" t="str">
        <f t="shared" ca="1" si="1"/>
        <v/>
      </c>
      <c r="AA83" s="159" t="str">
        <f ca="1">IF($A83&lt;&gt;"", IF(B83&lt;&gt;"",$U83/$Z83,""),"")</f>
        <v/>
      </c>
      <c r="AB83" s="159" t="str">
        <f ca="1">IF($A83&lt;&gt;"", IF(C83&lt;&gt;"",$U83/$Z83,""),"")</f>
        <v/>
      </c>
      <c r="AC83" s="159" t="str">
        <f ca="1">IF($A83&lt;&gt;"", IF(D83&lt;&gt;"",$U83/$Z83,""),"")</f>
        <v/>
      </c>
    </row>
    <row r="84" spans="1:29"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159" t="str">
        <f ca="1">IF(B84&lt;&gt;"",SUMIF('Work Indirect'!B:B,'Initiative Indirect'!A84,'Work Indirect'!AC:AC),"")</f>
        <v/>
      </c>
      <c r="V84" s="3" t="str">
        <f ca="1">IF(A84&lt;&gt;"",IF(F84="",IF(E84="","",INDEX(Priorities[Color],MATCH(E84,Priorities[Priorities],0),0)),F84),"")</f>
        <v/>
      </c>
      <c r="W84" s="3" t="str">
        <f ca="1">IF(B84&lt;&gt;"",INDEX('Strategy Indirect'!$T:$T,MATCH(B84,'Strategy Indirect'!$A:$A,0)),"")</f>
        <v/>
      </c>
      <c r="X84" s="3" t="str">
        <f ca="1">IF(C84&lt;&gt;"",INDEX('Strategy Indirect'!$T:$T,MATCH(C84,'Strategy Indirect'!$A:$A,0)),"")</f>
        <v/>
      </c>
      <c r="Y84" s="3" t="str">
        <f ca="1">IF(D84&lt;&gt;"",INDEX('Strategy Indirect'!$T:$T,MATCH(D84,'Strategy Indirect'!$A:$A,0)),"")</f>
        <v/>
      </c>
      <c r="Z84" s="3" t="str">
        <f t="shared" ca="1" si="1"/>
        <v/>
      </c>
      <c r="AA84" s="159" t="str">
        <f ca="1">IF($A84&lt;&gt;"", IF(B84&lt;&gt;"",$U84/$Z84,""),"")</f>
        <v/>
      </c>
      <c r="AB84" s="159" t="str">
        <f ca="1">IF($A84&lt;&gt;"", IF(C84&lt;&gt;"",$U84/$Z84,""),"")</f>
        <v/>
      </c>
      <c r="AC84" s="159" t="str">
        <f ca="1">IF($A84&lt;&gt;"", IF(D84&lt;&gt;"",$U84/$Z84,""),"")</f>
        <v/>
      </c>
    </row>
    <row r="85" spans="1:29"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159" t="str">
        <f ca="1">IF(B85&lt;&gt;"",SUMIF('Work Indirect'!B:B,'Initiative Indirect'!A85,'Work Indirect'!AC:AC),"")</f>
        <v/>
      </c>
      <c r="V85" s="3" t="str">
        <f ca="1">IF(A85&lt;&gt;"",IF(F85="",IF(E85="","",INDEX(Priorities[Color],MATCH(E85,Priorities[Priorities],0),0)),F85),"")</f>
        <v/>
      </c>
      <c r="W85" s="3" t="str">
        <f ca="1">IF(B85&lt;&gt;"",INDEX('Strategy Indirect'!$T:$T,MATCH(B85,'Strategy Indirect'!$A:$A,0)),"")</f>
        <v/>
      </c>
      <c r="X85" s="3" t="str">
        <f ca="1">IF(C85&lt;&gt;"",INDEX('Strategy Indirect'!$T:$T,MATCH(C85,'Strategy Indirect'!$A:$A,0)),"")</f>
        <v/>
      </c>
      <c r="Y85" s="3" t="str">
        <f ca="1">IF(D85&lt;&gt;"",INDEX('Strategy Indirect'!$T:$T,MATCH(D85,'Strategy Indirect'!$A:$A,0)),"")</f>
        <v/>
      </c>
      <c r="Z85" s="3" t="str">
        <f t="shared" ca="1" si="1"/>
        <v/>
      </c>
      <c r="AA85" s="159" t="str">
        <f ca="1">IF($A85&lt;&gt;"", IF(B85&lt;&gt;"",$U85/$Z85,""),"")</f>
        <v/>
      </c>
      <c r="AB85" s="159" t="str">
        <f ca="1">IF($A85&lt;&gt;"", IF(C85&lt;&gt;"",$U85/$Z85,""),"")</f>
        <v/>
      </c>
      <c r="AC85" s="159" t="str">
        <f ca="1">IF($A85&lt;&gt;"", IF(D85&lt;&gt;"",$U85/$Z85,""),"")</f>
        <v/>
      </c>
    </row>
    <row r="86" spans="1:29"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159" t="str">
        <f ca="1">IF(B86&lt;&gt;"",SUMIF('Work Indirect'!B:B,'Initiative Indirect'!A86,'Work Indirect'!AC:AC),"")</f>
        <v/>
      </c>
      <c r="V86" s="3" t="str">
        <f ca="1">IF(A86&lt;&gt;"",IF(F86="",IF(E86="","",INDEX(Priorities[Color],MATCH(E86,Priorities[Priorities],0),0)),F86),"")</f>
        <v/>
      </c>
      <c r="W86" s="3" t="str">
        <f ca="1">IF(B86&lt;&gt;"",INDEX('Strategy Indirect'!$T:$T,MATCH(B86,'Strategy Indirect'!$A:$A,0)),"")</f>
        <v/>
      </c>
      <c r="X86" s="3" t="str">
        <f ca="1">IF(C86&lt;&gt;"",INDEX('Strategy Indirect'!$T:$T,MATCH(C86,'Strategy Indirect'!$A:$A,0)),"")</f>
        <v/>
      </c>
      <c r="Y86" s="3" t="str">
        <f ca="1">IF(D86&lt;&gt;"",INDEX('Strategy Indirect'!$T:$T,MATCH(D86,'Strategy Indirect'!$A:$A,0)),"")</f>
        <v/>
      </c>
      <c r="Z86" s="3" t="str">
        <f t="shared" ca="1" si="1"/>
        <v/>
      </c>
      <c r="AA86" s="159" t="str">
        <f ca="1">IF($A86&lt;&gt;"", IF(B86&lt;&gt;"",$U86/$Z86,""),"")</f>
        <v/>
      </c>
      <c r="AB86" s="159" t="str">
        <f ca="1">IF($A86&lt;&gt;"", IF(C86&lt;&gt;"",$U86/$Z86,""),"")</f>
        <v/>
      </c>
      <c r="AC86" s="159" t="str">
        <f ca="1">IF($A86&lt;&gt;"", IF(D86&lt;&gt;"",$U86/$Z86,""),"")</f>
        <v/>
      </c>
    </row>
    <row r="87" spans="1:29"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159" t="str">
        <f ca="1">IF(B87&lt;&gt;"",SUMIF('Work Indirect'!B:B,'Initiative Indirect'!A87,'Work Indirect'!AC:AC),"")</f>
        <v/>
      </c>
      <c r="V87" s="3" t="str">
        <f ca="1">IF(A87&lt;&gt;"",IF(F87="",IF(E87="","",INDEX(Priorities[Color],MATCH(E87,Priorities[Priorities],0),0)),F87),"")</f>
        <v/>
      </c>
      <c r="W87" s="3" t="str">
        <f ca="1">IF(B87&lt;&gt;"",INDEX('Strategy Indirect'!$T:$T,MATCH(B87,'Strategy Indirect'!$A:$A,0)),"")</f>
        <v/>
      </c>
      <c r="X87" s="3" t="str">
        <f ca="1">IF(C87&lt;&gt;"",INDEX('Strategy Indirect'!$T:$T,MATCH(C87,'Strategy Indirect'!$A:$A,0)),"")</f>
        <v/>
      </c>
      <c r="Y87" s="3" t="str">
        <f ca="1">IF(D87&lt;&gt;"",INDEX('Strategy Indirect'!$T:$T,MATCH(D87,'Strategy Indirect'!$A:$A,0)),"")</f>
        <v/>
      </c>
      <c r="Z87" s="3" t="str">
        <f t="shared" ca="1" si="1"/>
        <v/>
      </c>
      <c r="AA87" s="159" t="str">
        <f ca="1">IF($A87&lt;&gt;"", IF(B87&lt;&gt;"",$U87/$Z87,""),"")</f>
        <v/>
      </c>
      <c r="AB87" s="159" t="str">
        <f ca="1">IF($A87&lt;&gt;"", IF(C87&lt;&gt;"",$U87/$Z87,""),"")</f>
        <v/>
      </c>
      <c r="AC87" s="159" t="str">
        <f ca="1">IF($A87&lt;&gt;"", IF(D87&lt;&gt;"",$U87/$Z87,""),"")</f>
        <v/>
      </c>
    </row>
    <row r="88" spans="1:29"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159" t="str">
        <f ca="1">IF(B88&lt;&gt;"",SUMIF('Work Indirect'!B:B,'Initiative Indirect'!A88,'Work Indirect'!AC:AC),"")</f>
        <v/>
      </c>
      <c r="V88" s="3" t="str">
        <f ca="1">IF(A88&lt;&gt;"",IF(F88="",IF(E88="","",INDEX(Priorities[Color],MATCH(E88,Priorities[Priorities],0),0)),F88),"")</f>
        <v/>
      </c>
      <c r="W88" s="3" t="str">
        <f ca="1">IF(B88&lt;&gt;"",INDEX('Strategy Indirect'!$T:$T,MATCH(B88,'Strategy Indirect'!$A:$A,0)),"")</f>
        <v/>
      </c>
      <c r="X88" s="3" t="str">
        <f ca="1">IF(C88&lt;&gt;"",INDEX('Strategy Indirect'!$T:$T,MATCH(C88,'Strategy Indirect'!$A:$A,0)),"")</f>
        <v/>
      </c>
      <c r="Y88" s="3" t="str">
        <f ca="1">IF(D88&lt;&gt;"",INDEX('Strategy Indirect'!$T:$T,MATCH(D88,'Strategy Indirect'!$A:$A,0)),"")</f>
        <v/>
      </c>
      <c r="Z88" s="3" t="str">
        <f t="shared" ca="1" si="1"/>
        <v/>
      </c>
      <c r="AA88" s="159" t="str">
        <f ca="1">IF($A88&lt;&gt;"", IF(B88&lt;&gt;"",$U88/$Z88,""),"")</f>
        <v/>
      </c>
      <c r="AB88" s="159" t="str">
        <f ca="1">IF($A88&lt;&gt;"", IF(C88&lt;&gt;"",$U88/$Z88,""),"")</f>
        <v/>
      </c>
      <c r="AC88" s="159" t="str">
        <f ca="1">IF($A88&lt;&gt;"", IF(D88&lt;&gt;"",$U88/$Z88,""),"")</f>
        <v/>
      </c>
    </row>
    <row r="89" spans="1:29"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159" t="str">
        <f ca="1">IF(B89&lt;&gt;"",SUMIF('Work Indirect'!B:B,'Initiative Indirect'!A89,'Work Indirect'!AC:AC),"")</f>
        <v/>
      </c>
      <c r="V89" s="3" t="str">
        <f ca="1">IF(A89&lt;&gt;"",IF(F89="",IF(E89="","",INDEX(Priorities[Color],MATCH(E89,Priorities[Priorities],0),0)),F89),"")</f>
        <v/>
      </c>
      <c r="W89" s="3" t="str">
        <f ca="1">IF(B89&lt;&gt;"",INDEX('Strategy Indirect'!$T:$T,MATCH(B89,'Strategy Indirect'!$A:$A,0)),"")</f>
        <v/>
      </c>
      <c r="X89" s="3" t="str">
        <f ca="1">IF(C89&lt;&gt;"",INDEX('Strategy Indirect'!$T:$T,MATCH(C89,'Strategy Indirect'!$A:$A,0)),"")</f>
        <v/>
      </c>
      <c r="Y89" s="3" t="str">
        <f ca="1">IF(D89&lt;&gt;"",INDEX('Strategy Indirect'!$T:$T,MATCH(D89,'Strategy Indirect'!$A:$A,0)),"")</f>
        <v/>
      </c>
      <c r="Z89" s="3" t="str">
        <f t="shared" ca="1" si="1"/>
        <v/>
      </c>
      <c r="AA89" s="159" t="str">
        <f ca="1">IF($A89&lt;&gt;"", IF(B89&lt;&gt;"",$U89/$Z89,""),"")</f>
        <v/>
      </c>
      <c r="AB89" s="159" t="str">
        <f ca="1">IF($A89&lt;&gt;"", IF(C89&lt;&gt;"",$U89/$Z89,""),"")</f>
        <v/>
      </c>
      <c r="AC89" s="159" t="str">
        <f ca="1">IF($A89&lt;&gt;"", IF(D89&lt;&gt;"",$U89/$Z89,""),"")</f>
        <v/>
      </c>
    </row>
    <row r="90" spans="1:29"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159" t="str">
        <f ca="1">IF(B90&lt;&gt;"",SUMIF('Work Indirect'!B:B,'Initiative Indirect'!A90,'Work Indirect'!AC:AC),"")</f>
        <v/>
      </c>
      <c r="V90" s="3" t="str">
        <f ca="1">IF(A90&lt;&gt;"",IF(F90="",IF(E90="","",INDEX(Priorities[Color],MATCH(E90,Priorities[Priorities],0),0)),F90),"")</f>
        <v/>
      </c>
      <c r="W90" s="3" t="str">
        <f ca="1">IF(B90&lt;&gt;"",INDEX('Strategy Indirect'!$T:$T,MATCH(B90,'Strategy Indirect'!$A:$A,0)),"")</f>
        <v/>
      </c>
      <c r="X90" s="3" t="str">
        <f ca="1">IF(C90&lt;&gt;"",INDEX('Strategy Indirect'!$T:$T,MATCH(C90,'Strategy Indirect'!$A:$A,0)),"")</f>
        <v/>
      </c>
      <c r="Y90" s="3" t="str">
        <f ca="1">IF(D90&lt;&gt;"",INDEX('Strategy Indirect'!$T:$T,MATCH(D90,'Strategy Indirect'!$A:$A,0)),"")</f>
        <v/>
      </c>
      <c r="Z90" s="3" t="str">
        <f t="shared" ca="1" si="1"/>
        <v/>
      </c>
      <c r="AA90" s="159" t="str">
        <f ca="1">IF($A90&lt;&gt;"", IF(B90&lt;&gt;"",$U90/$Z90,""),"")</f>
        <v/>
      </c>
      <c r="AB90" s="159" t="str">
        <f ca="1">IF($A90&lt;&gt;"", IF(C90&lt;&gt;"",$U90/$Z90,""),"")</f>
        <v/>
      </c>
      <c r="AC90" s="159" t="str">
        <f ca="1">IF($A90&lt;&gt;"", IF(D90&lt;&gt;"",$U90/$Z90,""),"")</f>
        <v/>
      </c>
    </row>
    <row r="91" spans="1:29"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159" t="str">
        <f ca="1">IF(B91&lt;&gt;"",SUMIF('Work Indirect'!B:B,'Initiative Indirect'!A91,'Work Indirect'!AC:AC),"")</f>
        <v/>
      </c>
      <c r="V91" s="3" t="str">
        <f ca="1">IF(A91&lt;&gt;"",IF(F91="",IF(E91="","",INDEX(Priorities[Color],MATCH(E91,Priorities[Priorities],0),0)),F91),"")</f>
        <v/>
      </c>
      <c r="W91" s="3" t="str">
        <f ca="1">IF(B91&lt;&gt;"",INDEX('Strategy Indirect'!$T:$T,MATCH(B91,'Strategy Indirect'!$A:$A,0)),"")</f>
        <v/>
      </c>
      <c r="X91" s="3" t="str">
        <f ca="1">IF(C91&lt;&gt;"",INDEX('Strategy Indirect'!$T:$T,MATCH(C91,'Strategy Indirect'!$A:$A,0)),"")</f>
        <v/>
      </c>
      <c r="Y91" s="3" t="str">
        <f ca="1">IF(D91&lt;&gt;"",INDEX('Strategy Indirect'!$T:$T,MATCH(D91,'Strategy Indirect'!$A:$A,0)),"")</f>
        <v/>
      </c>
      <c r="Z91" s="3" t="str">
        <f t="shared" ca="1" si="1"/>
        <v/>
      </c>
      <c r="AA91" s="159" t="str">
        <f ca="1">IF($A91&lt;&gt;"", IF(B91&lt;&gt;"",$U91/$Z91,""),"")</f>
        <v/>
      </c>
      <c r="AB91" s="159" t="str">
        <f ca="1">IF($A91&lt;&gt;"", IF(C91&lt;&gt;"",$U91/$Z91,""),"")</f>
        <v/>
      </c>
      <c r="AC91" s="159" t="str">
        <f ca="1">IF($A91&lt;&gt;"", IF(D91&lt;&gt;"",$U91/$Z91,""),"")</f>
        <v/>
      </c>
    </row>
    <row r="92" spans="1:29"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159" t="str">
        <f ca="1">IF(B92&lt;&gt;"",SUMIF('Work Indirect'!B:B,'Initiative Indirect'!A92,'Work Indirect'!AC:AC),"")</f>
        <v/>
      </c>
      <c r="V92" s="3" t="str">
        <f ca="1">IF(A92&lt;&gt;"",IF(F92="",IF(E92="","",INDEX(Priorities[Color],MATCH(E92,Priorities[Priorities],0),0)),F92),"")</f>
        <v/>
      </c>
      <c r="W92" s="3" t="str">
        <f ca="1">IF(B92&lt;&gt;"",INDEX('Strategy Indirect'!$T:$T,MATCH(B92,'Strategy Indirect'!$A:$A,0)),"")</f>
        <v/>
      </c>
      <c r="X92" s="3" t="str">
        <f ca="1">IF(C92&lt;&gt;"",INDEX('Strategy Indirect'!$T:$T,MATCH(C92,'Strategy Indirect'!$A:$A,0)),"")</f>
        <v/>
      </c>
      <c r="Y92" s="3" t="str">
        <f ca="1">IF(D92&lt;&gt;"",INDEX('Strategy Indirect'!$T:$T,MATCH(D92,'Strategy Indirect'!$A:$A,0)),"")</f>
        <v/>
      </c>
      <c r="Z92" s="3" t="str">
        <f t="shared" ca="1" si="1"/>
        <v/>
      </c>
      <c r="AA92" s="159" t="str">
        <f ca="1">IF($A92&lt;&gt;"", IF(B92&lt;&gt;"",$U92/$Z92,""),"")</f>
        <v/>
      </c>
      <c r="AB92" s="159" t="str">
        <f ca="1">IF($A92&lt;&gt;"", IF(C92&lt;&gt;"",$U92/$Z92,""),"")</f>
        <v/>
      </c>
      <c r="AC92" s="159" t="str">
        <f ca="1">IF($A92&lt;&gt;"", IF(D92&lt;&gt;"",$U92/$Z92,""),"")</f>
        <v/>
      </c>
    </row>
    <row r="93" spans="1:29"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159" t="str">
        <f ca="1">IF(B93&lt;&gt;"",SUMIF('Work Indirect'!B:B,'Initiative Indirect'!A93,'Work Indirect'!AC:AC),"")</f>
        <v/>
      </c>
      <c r="V93" s="3" t="str">
        <f ca="1">IF(A93&lt;&gt;"",IF(F93="",IF(E93="","",INDEX(Priorities[Color],MATCH(E93,Priorities[Priorities],0),0)),F93),"")</f>
        <v/>
      </c>
      <c r="W93" s="3" t="str">
        <f ca="1">IF(B93&lt;&gt;"",INDEX('Strategy Indirect'!$T:$T,MATCH(B93,'Strategy Indirect'!$A:$A,0)),"")</f>
        <v/>
      </c>
      <c r="X93" s="3" t="str">
        <f ca="1">IF(C93&lt;&gt;"",INDEX('Strategy Indirect'!$T:$T,MATCH(C93,'Strategy Indirect'!$A:$A,0)),"")</f>
        <v/>
      </c>
      <c r="Y93" s="3" t="str">
        <f ca="1">IF(D93&lt;&gt;"",INDEX('Strategy Indirect'!$T:$T,MATCH(D93,'Strategy Indirect'!$A:$A,0)),"")</f>
        <v/>
      </c>
      <c r="Z93" s="3" t="str">
        <f t="shared" ca="1" si="1"/>
        <v/>
      </c>
      <c r="AA93" s="159" t="str">
        <f ca="1">IF($A93&lt;&gt;"", IF(B93&lt;&gt;"",$U93/$Z93,""),"")</f>
        <v/>
      </c>
      <c r="AB93" s="159" t="str">
        <f ca="1">IF($A93&lt;&gt;"", IF(C93&lt;&gt;"",$U93/$Z93,""),"")</f>
        <v/>
      </c>
      <c r="AC93" s="159" t="str">
        <f ca="1">IF($A93&lt;&gt;"", IF(D93&lt;&gt;"",$U93/$Z93,""),"")</f>
        <v/>
      </c>
    </row>
    <row r="94" spans="1:29"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159" t="str">
        <f ca="1">IF(B94&lt;&gt;"",SUMIF('Work Indirect'!B:B,'Initiative Indirect'!A94,'Work Indirect'!AC:AC),"")</f>
        <v/>
      </c>
      <c r="V94" s="3" t="str">
        <f ca="1">IF(A94&lt;&gt;"",IF(F94="",IF(E94="","",INDEX(Priorities[Color],MATCH(E94,Priorities[Priorities],0),0)),F94),"")</f>
        <v/>
      </c>
      <c r="W94" s="3" t="str">
        <f ca="1">IF(B94&lt;&gt;"",INDEX('Strategy Indirect'!$T:$T,MATCH(B94,'Strategy Indirect'!$A:$A,0)),"")</f>
        <v/>
      </c>
      <c r="X94" s="3" t="str">
        <f ca="1">IF(C94&lt;&gt;"",INDEX('Strategy Indirect'!$T:$T,MATCH(C94,'Strategy Indirect'!$A:$A,0)),"")</f>
        <v/>
      </c>
      <c r="Y94" s="3" t="str">
        <f ca="1">IF(D94&lt;&gt;"",INDEX('Strategy Indirect'!$T:$T,MATCH(D94,'Strategy Indirect'!$A:$A,0)),"")</f>
        <v/>
      </c>
      <c r="Z94" s="3" t="str">
        <f t="shared" ca="1" si="1"/>
        <v/>
      </c>
      <c r="AA94" s="159" t="str">
        <f ca="1">IF($A94&lt;&gt;"", IF(B94&lt;&gt;"",$U94/$Z94,""),"")</f>
        <v/>
      </c>
      <c r="AB94" s="159" t="str">
        <f ca="1">IF($A94&lt;&gt;"", IF(C94&lt;&gt;"",$U94/$Z94,""),"")</f>
        <v/>
      </c>
      <c r="AC94" s="159" t="str">
        <f ca="1">IF($A94&lt;&gt;"", IF(D94&lt;&gt;"",$U94/$Z94,""),"")</f>
        <v/>
      </c>
    </row>
    <row r="95" spans="1:29"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159" t="str">
        <f ca="1">IF(B95&lt;&gt;"",SUMIF('Work Indirect'!B:B,'Initiative Indirect'!A95,'Work Indirect'!AC:AC),"")</f>
        <v/>
      </c>
      <c r="V95" s="3" t="str">
        <f ca="1">IF(A95&lt;&gt;"",IF(F95="",IF(E95="","",INDEX(Priorities[Color],MATCH(E95,Priorities[Priorities],0),0)),F95),"")</f>
        <v/>
      </c>
      <c r="W95" s="3" t="str">
        <f ca="1">IF(B95&lt;&gt;"",INDEX('Strategy Indirect'!$T:$T,MATCH(B95,'Strategy Indirect'!$A:$A,0)),"")</f>
        <v/>
      </c>
      <c r="X95" s="3" t="str">
        <f ca="1">IF(C95&lt;&gt;"",INDEX('Strategy Indirect'!$T:$T,MATCH(C95,'Strategy Indirect'!$A:$A,0)),"")</f>
        <v/>
      </c>
      <c r="Y95" s="3" t="str">
        <f ca="1">IF(D95&lt;&gt;"",INDEX('Strategy Indirect'!$T:$T,MATCH(D95,'Strategy Indirect'!$A:$A,0)),"")</f>
        <v/>
      </c>
      <c r="Z95" s="3" t="str">
        <f t="shared" ca="1" si="1"/>
        <v/>
      </c>
      <c r="AA95" s="159" t="str">
        <f ca="1">IF($A95&lt;&gt;"", IF(B95&lt;&gt;"",$U95/$Z95,""),"")</f>
        <v/>
      </c>
      <c r="AB95" s="159" t="str">
        <f ca="1">IF($A95&lt;&gt;"", IF(C95&lt;&gt;"",$U95/$Z95,""),"")</f>
        <v/>
      </c>
      <c r="AC95" s="159" t="str">
        <f ca="1">IF($A95&lt;&gt;"", IF(D95&lt;&gt;"",$U95/$Z95,""),"")</f>
        <v/>
      </c>
    </row>
    <row r="96" spans="1:29"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159" t="str">
        <f ca="1">IF(B96&lt;&gt;"",SUMIF('Work Indirect'!B:B,'Initiative Indirect'!A96,'Work Indirect'!AC:AC),"")</f>
        <v/>
      </c>
      <c r="V96" s="3" t="str">
        <f ca="1">IF(A96&lt;&gt;"",IF(F96="",IF(E96="","",INDEX(Priorities[Color],MATCH(E96,Priorities[Priorities],0),0)),F96),"")</f>
        <v/>
      </c>
      <c r="W96" s="3" t="str">
        <f ca="1">IF(B96&lt;&gt;"",INDEX('Strategy Indirect'!$T:$T,MATCH(B96,'Strategy Indirect'!$A:$A,0)),"")</f>
        <v/>
      </c>
      <c r="X96" s="3" t="str">
        <f ca="1">IF(C96&lt;&gt;"",INDEX('Strategy Indirect'!$T:$T,MATCH(C96,'Strategy Indirect'!$A:$A,0)),"")</f>
        <v/>
      </c>
      <c r="Y96" s="3" t="str">
        <f ca="1">IF(D96&lt;&gt;"",INDEX('Strategy Indirect'!$T:$T,MATCH(D96,'Strategy Indirect'!$A:$A,0)),"")</f>
        <v/>
      </c>
      <c r="Z96" s="3" t="str">
        <f t="shared" ca="1" si="1"/>
        <v/>
      </c>
      <c r="AA96" s="159" t="str">
        <f ca="1">IF($A96&lt;&gt;"", IF(B96&lt;&gt;"",$U96/$Z96,""),"")</f>
        <v/>
      </c>
      <c r="AB96" s="159" t="str">
        <f ca="1">IF($A96&lt;&gt;"", IF(C96&lt;&gt;"",$U96/$Z96,""),"")</f>
        <v/>
      </c>
      <c r="AC96" s="159" t="str">
        <f ca="1">IF($A96&lt;&gt;"", IF(D96&lt;&gt;"",$U96/$Z96,""),"")</f>
        <v/>
      </c>
    </row>
    <row r="97" spans="1:29"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159" t="str">
        <f ca="1">IF(B97&lt;&gt;"",SUMIF('Work Indirect'!B:B,'Initiative Indirect'!A97,'Work Indirect'!AC:AC),"")</f>
        <v/>
      </c>
      <c r="V97" s="3" t="str">
        <f ca="1">IF(A97&lt;&gt;"",IF(F97="",IF(E97="","",INDEX(Priorities[Color],MATCH(E97,Priorities[Priorities],0),0)),F97),"")</f>
        <v/>
      </c>
      <c r="W97" s="3" t="str">
        <f ca="1">IF(B97&lt;&gt;"",INDEX('Strategy Indirect'!$T:$T,MATCH(B97,'Strategy Indirect'!$A:$A,0)),"")</f>
        <v/>
      </c>
      <c r="X97" s="3" t="str">
        <f ca="1">IF(C97&lt;&gt;"",INDEX('Strategy Indirect'!$T:$T,MATCH(C97,'Strategy Indirect'!$A:$A,0)),"")</f>
        <v/>
      </c>
      <c r="Y97" s="3" t="str">
        <f ca="1">IF(D97&lt;&gt;"",INDEX('Strategy Indirect'!$T:$T,MATCH(D97,'Strategy Indirect'!$A:$A,0)),"")</f>
        <v/>
      </c>
      <c r="Z97" s="3" t="str">
        <f t="shared" ca="1" si="1"/>
        <v/>
      </c>
      <c r="AA97" s="159" t="str">
        <f ca="1">IF($A97&lt;&gt;"", IF(B97&lt;&gt;"",$U97/$Z97,""),"")</f>
        <v/>
      </c>
      <c r="AB97" s="159" t="str">
        <f ca="1">IF($A97&lt;&gt;"", IF(C97&lt;&gt;"",$U97/$Z97,""),"")</f>
        <v/>
      </c>
      <c r="AC97" s="159" t="str">
        <f ca="1">IF($A97&lt;&gt;"", IF(D97&lt;&gt;"",$U97/$Z97,""),"")</f>
        <v/>
      </c>
    </row>
    <row r="98" spans="1:29"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159" t="str">
        <f ca="1">IF(B98&lt;&gt;"",SUMIF('Work Indirect'!B:B,'Initiative Indirect'!A98,'Work Indirect'!AC:AC),"")</f>
        <v/>
      </c>
      <c r="V98" s="3" t="str">
        <f ca="1">IF(A98&lt;&gt;"",IF(F98="",IF(E98="","",INDEX(Priorities[Color],MATCH(E98,Priorities[Priorities],0),0)),F98),"")</f>
        <v/>
      </c>
      <c r="W98" s="3" t="str">
        <f ca="1">IF(B98&lt;&gt;"",INDEX('Strategy Indirect'!$T:$T,MATCH(B98,'Strategy Indirect'!$A:$A,0)),"")</f>
        <v/>
      </c>
      <c r="X98" s="3" t="str">
        <f ca="1">IF(C98&lt;&gt;"",INDEX('Strategy Indirect'!$T:$T,MATCH(C98,'Strategy Indirect'!$A:$A,0)),"")</f>
        <v/>
      </c>
      <c r="Y98" s="3" t="str">
        <f ca="1">IF(D98&lt;&gt;"",INDEX('Strategy Indirect'!$T:$T,MATCH(D98,'Strategy Indirect'!$A:$A,0)),"")</f>
        <v/>
      </c>
      <c r="Z98" s="3" t="str">
        <f t="shared" ca="1" si="1"/>
        <v/>
      </c>
      <c r="AA98" s="159" t="str">
        <f ca="1">IF($A98&lt;&gt;"", IF(B98&lt;&gt;"",$U98/$Z98,""),"")</f>
        <v/>
      </c>
      <c r="AB98" s="159" t="str">
        <f ca="1">IF($A98&lt;&gt;"", IF(C98&lt;&gt;"",$U98/$Z98,""),"")</f>
        <v/>
      </c>
      <c r="AC98" s="159" t="str">
        <f ca="1">IF($A98&lt;&gt;"", IF(D98&lt;&gt;"",$U98/$Z98,""),"")</f>
        <v/>
      </c>
    </row>
    <row r="99" spans="1:29"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159" t="str">
        <f ca="1">IF(B99&lt;&gt;"",SUMIF('Work Indirect'!B:B,'Initiative Indirect'!A99,'Work Indirect'!AC:AC),"")</f>
        <v/>
      </c>
      <c r="V99" s="3" t="str">
        <f ca="1">IF(A99&lt;&gt;"",IF(F99="",IF(E99="","",INDEX(Priorities[Color],MATCH(E99,Priorities[Priorities],0),0)),F99),"")</f>
        <v/>
      </c>
      <c r="W99" s="3" t="str">
        <f ca="1">IF(B99&lt;&gt;"",INDEX('Strategy Indirect'!$T:$T,MATCH(B99,'Strategy Indirect'!$A:$A,0)),"")</f>
        <v/>
      </c>
      <c r="X99" s="3" t="str">
        <f ca="1">IF(C99&lt;&gt;"",INDEX('Strategy Indirect'!$T:$T,MATCH(C99,'Strategy Indirect'!$A:$A,0)),"")</f>
        <v/>
      </c>
      <c r="Y99" s="3" t="str">
        <f ca="1">IF(D99&lt;&gt;"",INDEX('Strategy Indirect'!$T:$T,MATCH(D99,'Strategy Indirect'!$A:$A,0)),"")</f>
        <v/>
      </c>
      <c r="Z99" s="3" t="str">
        <f t="shared" ca="1" si="1"/>
        <v/>
      </c>
      <c r="AA99" s="159" t="str">
        <f ca="1">IF($A99&lt;&gt;"", IF(B99&lt;&gt;"",$U99/$Z99,""),"")</f>
        <v/>
      </c>
      <c r="AB99" s="159" t="str">
        <f ca="1">IF($A99&lt;&gt;"", IF(C99&lt;&gt;"",$U99/$Z99,""),"")</f>
        <v/>
      </c>
      <c r="AC99" s="159" t="str">
        <f ca="1">IF($A99&lt;&gt;"", IF(D99&lt;&gt;"",$U99/$Z99,""),"")</f>
        <v/>
      </c>
    </row>
    <row r="100" spans="1:29"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159" t="str">
        <f ca="1">IF(B100&lt;&gt;"",SUMIF('Work Indirect'!B:B,'Initiative Indirect'!A100,'Work Indirect'!AC:AC),"")</f>
        <v/>
      </c>
      <c r="V100" s="3" t="str">
        <f ca="1">IF(A100&lt;&gt;"",IF(F100="",IF(E100="","",INDEX(Priorities[Color],MATCH(E100,Priorities[Priorities],0),0)),F100),"")</f>
        <v/>
      </c>
      <c r="W100" s="3" t="str">
        <f ca="1">IF(B100&lt;&gt;"",INDEX('Strategy Indirect'!$T:$T,MATCH(B100,'Strategy Indirect'!$A:$A,0)),"")</f>
        <v/>
      </c>
      <c r="X100" s="3" t="str">
        <f ca="1">IF(C100&lt;&gt;"",INDEX('Strategy Indirect'!$T:$T,MATCH(C100,'Strategy Indirect'!$A:$A,0)),"")</f>
        <v/>
      </c>
      <c r="Y100" s="3" t="str">
        <f ca="1">IF(D100&lt;&gt;"",INDEX('Strategy Indirect'!$T:$T,MATCH(D100,'Strategy Indirect'!$A:$A,0)),"")</f>
        <v/>
      </c>
      <c r="Z100" s="3" t="str">
        <f t="shared" ca="1" si="1"/>
        <v/>
      </c>
      <c r="AA100" s="159" t="str">
        <f ca="1">IF($A100&lt;&gt;"", IF(B100&lt;&gt;"",$U100/$Z100,""),"")</f>
        <v/>
      </c>
      <c r="AB100" s="159" t="str">
        <f ca="1">IF($A100&lt;&gt;"", IF(C100&lt;&gt;"",$U100/$Z100,""),"")</f>
        <v/>
      </c>
      <c r="AC100" s="159" t="str">
        <f ca="1">IF($A100&lt;&gt;"", IF(D100&lt;&gt;"",$U100/$Z100,""),"")</f>
        <v/>
      </c>
    </row>
    <row r="101" spans="1:29"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159" t="str">
        <f ca="1">IF(B101&lt;&gt;"",SUMIF('Work Indirect'!B:B,'Initiative Indirect'!A101,'Work Indirect'!AC:AC),"")</f>
        <v/>
      </c>
      <c r="V101" s="3" t="str">
        <f ca="1">IF(A101&lt;&gt;"",IF(F101="",IF(E101="","",INDEX(Priorities[Color],MATCH(E101,Priorities[Priorities],0),0)),F101),"")</f>
        <v/>
      </c>
      <c r="W101" s="3" t="str">
        <f ca="1">IF(B101&lt;&gt;"",INDEX('Strategy Indirect'!$T:$T,MATCH(B101,'Strategy Indirect'!$A:$A,0)),"")</f>
        <v/>
      </c>
      <c r="X101" s="3" t="str">
        <f ca="1">IF(C101&lt;&gt;"",INDEX('Strategy Indirect'!$T:$T,MATCH(C101,'Strategy Indirect'!$A:$A,0)),"")</f>
        <v/>
      </c>
      <c r="Y101" s="3" t="str">
        <f ca="1">IF(D101&lt;&gt;"",INDEX('Strategy Indirect'!$T:$T,MATCH(D101,'Strategy Indirect'!$A:$A,0)),"")</f>
        <v/>
      </c>
      <c r="Z101" s="3" t="str">
        <f t="shared" ca="1" si="1"/>
        <v/>
      </c>
      <c r="AA101" s="159" t="str">
        <f ca="1">IF($A101&lt;&gt;"", IF(B101&lt;&gt;"",$U101/$Z101,""),"")</f>
        <v/>
      </c>
      <c r="AB101" s="159" t="str">
        <f ca="1">IF($A101&lt;&gt;"", IF(C101&lt;&gt;"",$U101/$Z101,""),"")</f>
        <v/>
      </c>
      <c r="AC101" s="159" t="str">
        <f ca="1">IF($A101&lt;&gt;"", IF(D101&lt;&gt;"",$U101/$Z101,""),"")</f>
        <v/>
      </c>
    </row>
    <row r="102" spans="1:29"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159" t="str">
        <f ca="1">IF(B102&lt;&gt;"",SUMIF('Work Indirect'!B:B,'Initiative Indirect'!A102,'Work Indirect'!AC:AC),"")</f>
        <v/>
      </c>
      <c r="V102" s="3" t="str">
        <f ca="1">IF(A102&lt;&gt;"",IF(F102="",IF(E102="","",INDEX(Priorities[Color],MATCH(E102,Priorities[Priorities],0),0)),F102),"")</f>
        <v/>
      </c>
      <c r="W102" s="3" t="str">
        <f ca="1">IF(B102&lt;&gt;"",INDEX('Strategy Indirect'!$T:$T,MATCH(B102,'Strategy Indirect'!$A:$A,0)),"")</f>
        <v/>
      </c>
      <c r="X102" s="3" t="str">
        <f ca="1">IF(C102&lt;&gt;"",INDEX('Strategy Indirect'!$T:$T,MATCH(C102,'Strategy Indirect'!$A:$A,0)),"")</f>
        <v/>
      </c>
      <c r="Y102" s="3" t="str">
        <f ca="1">IF(D102&lt;&gt;"",INDEX('Strategy Indirect'!$T:$T,MATCH(D102,'Strategy Indirect'!$A:$A,0)),"")</f>
        <v/>
      </c>
      <c r="Z102" s="3" t="str">
        <f t="shared" ca="1" si="1"/>
        <v/>
      </c>
      <c r="AA102" s="159" t="str">
        <f ca="1">IF($A102&lt;&gt;"", IF(B102&lt;&gt;"",$U102/$Z102,""),"")</f>
        <v/>
      </c>
      <c r="AB102" s="159" t="str">
        <f ca="1">IF($A102&lt;&gt;"", IF(C102&lt;&gt;"",$U102/$Z102,""),"")</f>
        <v/>
      </c>
      <c r="AC102" s="159" t="str">
        <f ca="1">IF($A102&lt;&gt;"", IF(D102&lt;&gt;"",$U102/$Z102,""),"")</f>
        <v/>
      </c>
    </row>
    <row r="103" spans="1:29"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159" t="str">
        <f ca="1">IF(B103&lt;&gt;"",SUMIF('Work Indirect'!B:B,'Initiative Indirect'!A103,'Work Indirect'!AC:AC),"")</f>
        <v/>
      </c>
      <c r="V103" s="3" t="str">
        <f ca="1">IF(A103&lt;&gt;"",IF(F103="",IF(E103="","",INDEX(Priorities[Color],MATCH(E103,Priorities[Priorities],0),0)),F103),"")</f>
        <v/>
      </c>
      <c r="W103" s="3" t="str">
        <f ca="1">IF(B103&lt;&gt;"",INDEX('Strategy Indirect'!$T:$T,MATCH(B103,'Strategy Indirect'!$A:$A,0)),"")</f>
        <v/>
      </c>
      <c r="X103" s="3" t="str">
        <f ca="1">IF(C103&lt;&gt;"",INDEX('Strategy Indirect'!$T:$T,MATCH(C103,'Strategy Indirect'!$A:$A,0)),"")</f>
        <v/>
      </c>
      <c r="Y103" s="3" t="str">
        <f ca="1">IF(D103&lt;&gt;"",INDEX('Strategy Indirect'!$T:$T,MATCH(D103,'Strategy Indirect'!$A:$A,0)),"")</f>
        <v/>
      </c>
      <c r="Z103" s="3" t="str">
        <f t="shared" ca="1" si="1"/>
        <v/>
      </c>
      <c r="AA103" s="159" t="str">
        <f ca="1">IF($A103&lt;&gt;"", IF(B103&lt;&gt;"",$U103/$Z103,""),"")</f>
        <v/>
      </c>
      <c r="AB103" s="159" t="str">
        <f ca="1">IF($A103&lt;&gt;"", IF(C103&lt;&gt;"",$U103/$Z103,""),"")</f>
        <v/>
      </c>
      <c r="AC103" s="159" t="str">
        <f ca="1">IF($A103&lt;&gt;"", IF(D103&lt;&gt;"",$U103/$Z103,""),"")</f>
        <v/>
      </c>
    </row>
    <row r="104" spans="1:29"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159" t="str">
        <f ca="1">IF(B104&lt;&gt;"",SUMIF('Work Indirect'!B:B,'Initiative Indirect'!A104,'Work Indirect'!AC:AC),"")</f>
        <v/>
      </c>
      <c r="V104" s="3" t="str">
        <f ca="1">IF(A104&lt;&gt;"",IF(F104="",IF(E104="","",INDEX(Priorities[Color],MATCH(E104,Priorities[Priorities],0),0)),F104),"")</f>
        <v/>
      </c>
      <c r="W104" s="3" t="str">
        <f ca="1">IF(B104&lt;&gt;"",INDEX('Strategy Indirect'!$T:$T,MATCH(B104,'Strategy Indirect'!$A:$A,0)),"")</f>
        <v/>
      </c>
      <c r="X104" s="3" t="str">
        <f ca="1">IF(C104&lt;&gt;"",INDEX('Strategy Indirect'!$T:$T,MATCH(C104,'Strategy Indirect'!$A:$A,0)),"")</f>
        <v/>
      </c>
      <c r="Y104" s="3" t="str">
        <f ca="1">IF(D104&lt;&gt;"",INDEX('Strategy Indirect'!$T:$T,MATCH(D104,'Strategy Indirect'!$A:$A,0)),"")</f>
        <v/>
      </c>
      <c r="Z104" s="3" t="str">
        <f t="shared" ca="1" si="1"/>
        <v/>
      </c>
      <c r="AA104" s="159" t="str">
        <f ca="1">IF($A104&lt;&gt;"", IF(B104&lt;&gt;"",$U104/$Z104,""),"")</f>
        <v/>
      </c>
      <c r="AB104" s="159" t="str">
        <f ca="1">IF($A104&lt;&gt;"", IF(C104&lt;&gt;"",$U104/$Z104,""),"")</f>
        <v/>
      </c>
      <c r="AC104" s="159" t="str">
        <f ca="1">IF($A104&lt;&gt;"", IF(D104&lt;&gt;"",$U104/$Z104,""),"")</f>
        <v/>
      </c>
    </row>
    <row r="105" spans="1:29"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159" t="str">
        <f ca="1">IF(B105&lt;&gt;"",SUMIF('Work Indirect'!B:B,'Initiative Indirect'!A105,'Work Indirect'!AC:AC),"")</f>
        <v/>
      </c>
      <c r="V105" s="3" t="str">
        <f ca="1">IF(A105&lt;&gt;"",IF(F105="",IF(E105="","",INDEX(Priorities[Color],MATCH(E105,Priorities[Priorities],0),0)),F105),"")</f>
        <v/>
      </c>
      <c r="W105" s="3" t="str">
        <f ca="1">IF(B105&lt;&gt;"",INDEX('Strategy Indirect'!$T:$T,MATCH(B105,'Strategy Indirect'!$A:$A,0)),"")</f>
        <v/>
      </c>
      <c r="X105" s="3" t="str">
        <f ca="1">IF(C105&lt;&gt;"",INDEX('Strategy Indirect'!$T:$T,MATCH(C105,'Strategy Indirect'!$A:$A,0)),"")</f>
        <v/>
      </c>
      <c r="Y105" s="3" t="str">
        <f ca="1">IF(D105&lt;&gt;"",INDEX('Strategy Indirect'!$T:$T,MATCH(D105,'Strategy Indirect'!$A:$A,0)),"")</f>
        <v/>
      </c>
      <c r="Z105" s="3" t="str">
        <f t="shared" ca="1" si="1"/>
        <v/>
      </c>
      <c r="AA105" s="159" t="str">
        <f ca="1">IF($A105&lt;&gt;"", IF(B105&lt;&gt;"",$U105/$Z105,""),"")</f>
        <v/>
      </c>
      <c r="AB105" s="159" t="str">
        <f ca="1">IF($A105&lt;&gt;"", IF(C105&lt;&gt;"",$U105/$Z105,""),"")</f>
        <v/>
      </c>
      <c r="AC105" s="159" t="str">
        <f ca="1">IF($A105&lt;&gt;"", IF(D105&lt;&gt;"",$U105/$Z105,""),"")</f>
        <v/>
      </c>
    </row>
    <row r="106" spans="1:29"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159" t="str">
        <f ca="1">IF(B106&lt;&gt;"",SUMIF('Work Indirect'!B:B,'Initiative Indirect'!A106,'Work Indirect'!AC:AC),"")</f>
        <v/>
      </c>
      <c r="V106" s="3" t="str">
        <f ca="1">IF(A106&lt;&gt;"",IF(F106="",IF(E106="","",INDEX(Priorities[Color],MATCH(E106,Priorities[Priorities],0),0)),F106),"")</f>
        <v/>
      </c>
      <c r="W106" s="3" t="str">
        <f ca="1">IF(B106&lt;&gt;"",INDEX('Strategy Indirect'!$T:$T,MATCH(B106,'Strategy Indirect'!$A:$A,0)),"")</f>
        <v/>
      </c>
      <c r="X106" s="3" t="str">
        <f ca="1">IF(C106&lt;&gt;"",INDEX('Strategy Indirect'!$T:$T,MATCH(C106,'Strategy Indirect'!$A:$A,0)),"")</f>
        <v/>
      </c>
      <c r="Y106" s="3" t="str">
        <f ca="1">IF(D106&lt;&gt;"",INDEX('Strategy Indirect'!$T:$T,MATCH(D106,'Strategy Indirect'!$A:$A,0)),"")</f>
        <v/>
      </c>
      <c r="Z106" s="3" t="str">
        <f t="shared" ca="1" si="1"/>
        <v/>
      </c>
      <c r="AA106" s="159" t="str">
        <f ca="1">IF($A106&lt;&gt;"", IF(B106&lt;&gt;"",$U106/$Z106,""),"")</f>
        <v/>
      </c>
      <c r="AB106" s="159" t="str">
        <f ca="1">IF($A106&lt;&gt;"", IF(C106&lt;&gt;"",$U106/$Z106,""),"")</f>
        <v/>
      </c>
      <c r="AC106" s="159" t="str">
        <f ca="1">IF($A106&lt;&gt;"", IF(D106&lt;&gt;"",$U106/$Z106,""),"")</f>
        <v/>
      </c>
    </row>
    <row r="107" spans="1:29"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159" t="str">
        <f ca="1">IF(B107&lt;&gt;"",SUMIF('Work Indirect'!B:B,'Initiative Indirect'!A107,'Work Indirect'!AC:AC),"")</f>
        <v/>
      </c>
      <c r="V107" s="3" t="str">
        <f ca="1">IF(A107&lt;&gt;"",IF(F107="",IF(E107="","",INDEX(Priorities[Color],MATCH(E107,Priorities[Priorities],0),0)),F107),"")</f>
        <v/>
      </c>
      <c r="W107" s="3" t="str">
        <f ca="1">IF(B107&lt;&gt;"",INDEX('Strategy Indirect'!$T:$T,MATCH(B107,'Strategy Indirect'!$A:$A,0)),"")</f>
        <v/>
      </c>
      <c r="X107" s="3" t="str">
        <f ca="1">IF(C107&lt;&gt;"",INDEX('Strategy Indirect'!$T:$T,MATCH(C107,'Strategy Indirect'!$A:$A,0)),"")</f>
        <v/>
      </c>
      <c r="Y107" s="3" t="str">
        <f ca="1">IF(D107&lt;&gt;"",INDEX('Strategy Indirect'!$T:$T,MATCH(D107,'Strategy Indirect'!$A:$A,0)),"")</f>
        <v/>
      </c>
      <c r="Z107" s="3" t="str">
        <f t="shared" ca="1" si="1"/>
        <v/>
      </c>
      <c r="AA107" s="159" t="str">
        <f ca="1">IF($A107&lt;&gt;"", IF(B107&lt;&gt;"",$U107/$Z107,""),"")</f>
        <v/>
      </c>
      <c r="AB107" s="159" t="str">
        <f ca="1">IF($A107&lt;&gt;"", IF(C107&lt;&gt;"",$U107/$Z107,""),"")</f>
        <v/>
      </c>
      <c r="AC107" s="159" t="str">
        <f ca="1">IF($A107&lt;&gt;"", IF(D107&lt;&gt;"",$U107/$Z107,""),"")</f>
        <v/>
      </c>
    </row>
    <row r="108" spans="1:29"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159" t="str">
        <f ca="1">IF(B108&lt;&gt;"",SUMIF('Work Indirect'!B:B,'Initiative Indirect'!A108,'Work Indirect'!AC:AC),"")</f>
        <v/>
      </c>
      <c r="V108" s="3" t="str">
        <f ca="1">IF(A108&lt;&gt;"",IF(F108="",IF(E108="","",INDEX(Priorities[Color],MATCH(E108,Priorities[Priorities],0),0)),F108),"")</f>
        <v/>
      </c>
      <c r="W108" s="3" t="str">
        <f ca="1">IF(B108&lt;&gt;"",INDEX('Strategy Indirect'!$T:$T,MATCH(B108,'Strategy Indirect'!$A:$A,0)),"")</f>
        <v/>
      </c>
      <c r="X108" s="3" t="str">
        <f ca="1">IF(C108&lt;&gt;"",INDEX('Strategy Indirect'!$T:$T,MATCH(C108,'Strategy Indirect'!$A:$A,0)),"")</f>
        <v/>
      </c>
      <c r="Y108" s="3" t="str">
        <f ca="1">IF(D108&lt;&gt;"",INDEX('Strategy Indirect'!$T:$T,MATCH(D108,'Strategy Indirect'!$A:$A,0)),"")</f>
        <v/>
      </c>
      <c r="Z108" s="3" t="str">
        <f t="shared" ca="1" si="1"/>
        <v/>
      </c>
      <c r="AA108" s="159" t="str">
        <f ca="1">IF($A108&lt;&gt;"", IF(B108&lt;&gt;"",$U108/$Z108,""),"")</f>
        <v/>
      </c>
      <c r="AB108" s="159" t="str">
        <f ca="1">IF($A108&lt;&gt;"", IF(C108&lt;&gt;"",$U108/$Z108,""),"")</f>
        <v/>
      </c>
      <c r="AC108" s="159" t="str">
        <f ca="1">IF($A108&lt;&gt;"", IF(D108&lt;&gt;"",$U108/$Z108,""),"")</f>
        <v/>
      </c>
    </row>
    <row r="109" spans="1:29"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159" t="str">
        <f ca="1">IF(B109&lt;&gt;"",SUMIF('Work Indirect'!B:B,'Initiative Indirect'!A109,'Work Indirect'!AC:AC),"")</f>
        <v/>
      </c>
      <c r="V109" s="3" t="str">
        <f ca="1">IF(A109&lt;&gt;"",IF(F109="",IF(E109="","",INDEX(Priorities[Color],MATCH(E109,Priorities[Priorities],0),0)),F109),"")</f>
        <v/>
      </c>
      <c r="W109" s="3" t="str">
        <f ca="1">IF(B109&lt;&gt;"",INDEX('Strategy Indirect'!$T:$T,MATCH(B109,'Strategy Indirect'!$A:$A,0)),"")</f>
        <v/>
      </c>
      <c r="X109" s="3" t="str">
        <f ca="1">IF(C109&lt;&gt;"",INDEX('Strategy Indirect'!$T:$T,MATCH(C109,'Strategy Indirect'!$A:$A,0)),"")</f>
        <v/>
      </c>
      <c r="Y109" s="3" t="str">
        <f ca="1">IF(D109&lt;&gt;"",INDEX('Strategy Indirect'!$T:$T,MATCH(D109,'Strategy Indirect'!$A:$A,0)),"")</f>
        <v/>
      </c>
      <c r="Z109" s="3" t="str">
        <f t="shared" ca="1" si="1"/>
        <v/>
      </c>
      <c r="AA109" s="159" t="str">
        <f ca="1">IF($A109&lt;&gt;"", IF(B109&lt;&gt;"",$U109/$Z109,""),"")</f>
        <v/>
      </c>
      <c r="AB109" s="159" t="str">
        <f ca="1">IF($A109&lt;&gt;"", IF(C109&lt;&gt;"",$U109/$Z109,""),"")</f>
        <v/>
      </c>
      <c r="AC109" s="159" t="str">
        <f ca="1">IF($A109&lt;&gt;"", IF(D109&lt;&gt;"",$U109/$Z109,""),"")</f>
        <v/>
      </c>
    </row>
    <row r="110" spans="1:29"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159" t="str">
        <f ca="1">IF(B110&lt;&gt;"",SUMIF('Work Indirect'!B:B,'Initiative Indirect'!A110,'Work Indirect'!AC:AC),"")</f>
        <v/>
      </c>
      <c r="V110" s="3" t="str">
        <f ca="1">IF(A110&lt;&gt;"",IF(F110="",IF(E110="","",INDEX(Priorities[Color],MATCH(E110,Priorities[Priorities],0),0)),F110),"")</f>
        <v/>
      </c>
      <c r="W110" s="3" t="str">
        <f ca="1">IF(B110&lt;&gt;"",INDEX('Strategy Indirect'!$T:$T,MATCH(B110,'Strategy Indirect'!$A:$A,0)),"")</f>
        <v/>
      </c>
      <c r="X110" s="3" t="str">
        <f ca="1">IF(C110&lt;&gt;"",INDEX('Strategy Indirect'!$T:$T,MATCH(C110,'Strategy Indirect'!$A:$A,0)),"")</f>
        <v/>
      </c>
      <c r="Y110" s="3" t="str">
        <f ca="1">IF(D110&lt;&gt;"",INDEX('Strategy Indirect'!$T:$T,MATCH(D110,'Strategy Indirect'!$A:$A,0)),"")</f>
        <v/>
      </c>
      <c r="Z110" s="3" t="str">
        <f t="shared" ca="1" si="1"/>
        <v/>
      </c>
      <c r="AA110" s="159" t="str">
        <f ca="1">IF($A110&lt;&gt;"", IF(B110&lt;&gt;"",$U110/$Z110,""),"")</f>
        <v/>
      </c>
      <c r="AB110" s="159" t="str">
        <f ca="1">IF($A110&lt;&gt;"", IF(C110&lt;&gt;"",$U110/$Z110,""),"")</f>
        <v/>
      </c>
      <c r="AC110" s="159" t="str">
        <f ca="1">IF($A110&lt;&gt;"", IF(D110&lt;&gt;"",$U110/$Z110,""),"")</f>
        <v/>
      </c>
    </row>
    <row r="111" spans="1:29"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159" t="str">
        <f ca="1">IF(B111&lt;&gt;"",SUMIF('Work Indirect'!B:B,'Initiative Indirect'!A111,'Work Indirect'!AC:AC),"")</f>
        <v/>
      </c>
      <c r="V111" s="3" t="str">
        <f ca="1">IF(A111&lt;&gt;"",IF(F111="",IF(E111="","",INDEX(Priorities[Color],MATCH(E111,Priorities[Priorities],0),0)),F111),"")</f>
        <v/>
      </c>
      <c r="W111" s="3" t="str">
        <f ca="1">IF(B111&lt;&gt;"",INDEX('Strategy Indirect'!$T:$T,MATCH(B111,'Strategy Indirect'!$A:$A,0)),"")</f>
        <v/>
      </c>
      <c r="X111" s="3" t="str">
        <f ca="1">IF(C111&lt;&gt;"",INDEX('Strategy Indirect'!$T:$T,MATCH(C111,'Strategy Indirect'!$A:$A,0)),"")</f>
        <v/>
      </c>
      <c r="Y111" s="3" t="str">
        <f ca="1">IF(D111&lt;&gt;"",INDEX('Strategy Indirect'!$T:$T,MATCH(D111,'Strategy Indirect'!$A:$A,0)),"")</f>
        <v/>
      </c>
      <c r="Z111" s="3" t="str">
        <f t="shared" ca="1" si="1"/>
        <v/>
      </c>
      <c r="AA111" s="159" t="str">
        <f ca="1">IF($A111&lt;&gt;"", IF(B111&lt;&gt;"",$U111/$Z111,""),"")</f>
        <v/>
      </c>
      <c r="AB111" s="159" t="str">
        <f ca="1">IF($A111&lt;&gt;"", IF(C111&lt;&gt;"",$U111/$Z111,""),"")</f>
        <v/>
      </c>
      <c r="AC111" s="159" t="str">
        <f ca="1">IF($A111&lt;&gt;"", IF(D111&lt;&gt;"",$U111/$Z111,""),"")</f>
        <v/>
      </c>
    </row>
    <row r="112" spans="1:29"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159" t="str">
        <f ca="1">IF(B112&lt;&gt;"",SUMIF('Work Indirect'!B:B,'Initiative Indirect'!A112,'Work Indirect'!AC:AC),"")</f>
        <v/>
      </c>
      <c r="V112" s="3" t="str">
        <f ca="1">IF(A112&lt;&gt;"",IF(F112="",IF(E112="","",INDEX(Priorities[Color],MATCH(E112,Priorities[Priorities],0),0)),F112),"")</f>
        <v/>
      </c>
      <c r="W112" s="3" t="str">
        <f ca="1">IF(B112&lt;&gt;"",INDEX('Strategy Indirect'!$T:$T,MATCH(B112,'Strategy Indirect'!$A:$A,0)),"")</f>
        <v/>
      </c>
      <c r="X112" s="3" t="str">
        <f ca="1">IF(C112&lt;&gt;"",INDEX('Strategy Indirect'!$T:$T,MATCH(C112,'Strategy Indirect'!$A:$A,0)),"")</f>
        <v/>
      </c>
      <c r="Y112" s="3" t="str">
        <f ca="1">IF(D112&lt;&gt;"",INDEX('Strategy Indirect'!$T:$T,MATCH(D112,'Strategy Indirect'!$A:$A,0)),"")</f>
        <v/>
      </c>
      <c r="Z112" s="3" t="str">
        <f t="shared" ca="1" si="1"/>
        <v/>
      </c>
      <c r="AA112" s="159" t="str">
        <f ca="1">IF($A112&lt;&gt;"", IF(B112&lt;&gt;"",$U112/$Z112,""),"")</f>
        <v/>
      </c>
      <c r="AB112" s="159" t="str">
        <f ca="1">IF($A112&lt;&gt;"", IF(C112&lt;&gt;"",$U112/$Z112,""),"")</f>
        <v/>
      </c>
      <c r="AC112" s="159" t="str">
        <f ca="1">IF($A112&lt;&gt;"", IF(D112&lt;&gt;"",$U112/$Z112,""),"")</f>
        <v/>
      </c>
    </row>
    <row r="113" spans="1:29"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159" t="str">
        <f ca="1">IF(B113&lt;&gt;"",SUMIF('Work Indirect'!B:B,'Initiative Indirect'!A113,'Work Indirect'!AC:AC),"")</f>
        <v/>
      </c>
      <c r="V113" s="3" t="str">
        <f ca="1">IF(A113&lt;&gt;"",IF(F113="",IF(E113="","",INDEX(Priorities[Color],MATCH(E113,Priorities[Priorities],0),0)),F113),"")</f>
        <v/>
      </c>
      <c r="W113" s="3" t="str">
        <f ca="1">IF(B113&lt;&gt;"",INDEX('Strategy Indirect'!$T:$T,MATCH(B113,'Strategy Indirect'!$A:$A,0)),"")</f>
        <v/>
      </c>
      <c r="X113" s="3" t="str">
        <f ca="1">IF(C113&lt;&gt;"",INDEX('Strategy Indirect'!$T:$T,MATCH(C113,'Strategy Indirect'!$A:$A,0)),"")</f>
        <v/>
      </c>
      <c r="Y113" s="3" t="str">
        <f ca="1">IF(D113&lt;&gt;"",INDEX('Strategy Indirect'!$T:$T,MATCH(D113,'Strategy Indirect'!$A:$A,0)),"")</f>
        <v/>
      </c>
      <c r="Z113" s="3" t="str">
        <f t="shared" ca="1" si="1"/>
        <v/>
      </c>
      <c r="AA113" s="159" t="str">
        <f ca="1">IF($A113&lt;&gt;"", IF(B113&lt;&gt;"",$U113/$Z113,""),"")</f>
        <v/>
      </c>
      <c r="AB113" s="159" t="str">
        <f ca="1">IF($A113&lt;&gt;"", IF(C113&lt;&gt;"",$U113/$Z113,""),"")</f>
        <v/>
      </c>
      <c r="AC113" s="159" t="str">
        <f ca="1">IF($A113&lt;&gt;"", IF(D113&lt;&gt;"",$U113/$Z113,""),"")</f>
        <v/>
      </c>
    </row>
    <row r="114" spans="1:29"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159" t="str">
        <f ca="1">IF(B114&lt;&gt;"",SUMIF('Work Indirect'!B:B,'Initiative Indirect'!A114,'Work Indirect'!AC:AC),"")</f>
        <v/>
      </c>
      <c r="V114" s="3" t="str">
        <f ca="1">IF(A114&lt;&gt;"",IF(F114="",IF(E114="","",INDEX(Priorities[Color],MATCH(E114,Priorities[Priorities],0),0)),F114),"")</f>
        <v/>
      </c>
      <c r="W114" s="3" t="str">
        <f ca="1">IF(B114&lt;&gt;"",INDEX('Strategy Indirect'!$T:$T,MATCH(B114,'Strategy Indirect'!$A:$A,0)),"")</f>
        <v/>
      </c>
      <c r="X114" s="3" t="str">
        <f ca="1">IF(C114&lt;&gt;"",INDEX('Strategy Indirect'!$T:$T,MATCH(C114,'Strategy Indirect'!$A:$A,0)),"")</f>
        <v/>
      </c>
      <c r="Y114" s="3" t="str">
        <f ca="1">IF(D114&lt;&gt;"",INDEX('Strategy Indirect'!$T:$T,MATCH(D114,'Strategy Indirect'!$A:$A,0)),"")</f>
        <v/>
      </c>
      <c r="Z114" s="3" t="str">
        <f t="shared" ca="1" si="1"/>
        <v/>
      </c>
      <c r="AA114" s="159" t="str">
        <f ca="1">IF($A114&lt;&gt;"", IF(B114&lt;&gt;"",$U114/$Z114,""),"")</f>
        <v/>
      </c>
      <c r="AB114" s="159" t="str">
        <f ca="1">IF($A114&lt;&gt;"", IF(C114&lt;&gt;"",$U114/$Z114,""),"")</f>
        <v/>
      </c>
      <c r="AC114" s="159" t="str">
        <f ca="1">IF($A114&lt;&gt;"", IF(D114&lt;&gt;"",$U114/$Z114,""),"")</f>
        <v/>
      </c>
    </row>
    <row r="115" spans="1:29"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159" t="str">
        <f ca="1">IF(B115&lt;&gt;"",SUMIF('Work Indirect'!B:B,'Initiative Indirect'!A115,'Work Indirect'!AC:AC),"")</f>
        <v/>
      </c>
      <c r="V115" s="3" t="str">
        <f ca="1">IF(A115&lt;&gt;"",IF(F115="",IF(E115="","",INDEX(Priorities[Color],MATCH(E115,Priorities[Priorities],0),0)),F115),"")</f>
        <v/>
      </c>
      <c r="W115" s="3" t="str">
        <f ca="1">IF(B115&lt;&gt;"",INDEX('Strategy Indirect'!$T:$T,MATCH(B115,'Strategy Indirect'!$A:$A,0)),"")</f>
        <v/>
      </c>
      <c r="X115" s="3" t="str">
        <f ca="1">IF(C115&lt;&gt;"",INDEX('Strategy Indirect'!$T:$T,MATCH(C115,'Strategy Indirect'!$A:$A,0)),"")</f>
        <v/>
      </c>
      <c r="Y115" s="3" t="str">
        <f ca="1">IF(D115&lt;&gt;"",INDEX('Strategy Indirect'!$T:$T,MATCH(D115,'Strategy Indirect'!$A:$A,0)),"")</f>
        <v/>
      </c>
      <c r="Z115" s="3" t="str">
        <f t="shared" ca="1" si="1"/>
        <v/>
      </c>
      <c r="AA115" s="159" t="str">
        <f ca="1">IF($A115&lt;&gt;"", IF(B115&lt;&gt;"",$U115/$Z115,""),"")</f>
        <v/>
      </c>
      <c r="AB115" s="159" t="str">
        <f ca="1">IF($A115&lt;&gt;"", IF(C115&lt;&gt;"",$U115/$Z115,""),"")</f>
        <v/>
      </c>
      <c r="AC115" s="159" t="str">
        <f ca="1">IF($A115&lt;&gt;"", IF(D115&lt;&gt;"",$U115/$Z115,""),"")</f>
        <v/>
      </c>
    </row>
    <row r="116" spans="1:29"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159" t="str">
        <f ca="1">IF(B116&lt;&gt;"",SUMIF('Work Indirect'!B:B,'Initiative Indirect'!A116,'Work Indirect'!AC:AC),"")</f>
        <v/>
      </c>
      <c r="V116" s="3" t="str">
        <f ca="1">IF(A116&lt;&gt;"",IF(F116="",IF(E116="","",INDEX(Priorities[Color],MATCH(E116,Priorities[Priorities],0),0)),F116),"")</f>
        <v/>
      </c>
      <c r="W116" s="3" t="str">
        <f ca="1">IF(B116&lt;&gt;"",INDEX('Strategy Indirect'!$T:$T,MATCH(B116,'Strategy Indirect'!$A:$A,0)),"")</f>
        <v/>
      </c>
      <c r="X116" s="3" t="str">
        <f ca="1">IF(C116&lt;&gt;"",INDEX('Strategy Indirect'!$T:$T,MATCH(C116,'Strategy Indirect'!$A:$A,0)),"")</f>
        <v/>
      </c>
      <c r="Y116" s="3" t="str">
        <f ca="1">IF(D116&lt;&gt;"",INDEX('Strategy Indirect'!$T:$T,MATCH(D116,'Strategy Indirect'!$A:$A,0)),"")</f>
        <v/>
      </c>
      <c r="Z116" s="3" t="str">
        <f t="shared" ca="1" si="1"/>
        <v/>
      </c>
      <c r="AA116" s="159" t="str">
        <f ca="1">IF($A116&lt;&gt;"", IF(B116&lt;&gt;"",$U116/$Z116,""),"")</f>
        <v/>
      </c>
      <c r="AB116" s="159" t="str">
        <f ca="1">IF($A116&lt;&gt;"", IF(C116&lt;&gt;"",$U116/$Z116,""),"")</f>
        <v/>
      </c>
      <c r="AC116" s="159" t="str">
        <f ca="1">IF($A116&lt;&gt;"", IF(D116&lt;&gt;"",$U116/$Z116,""),"")</f>
        <v/>
      </c>
    </row>
    <row r="117" spans="1:29"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159" t="str">
        <f ca="1">IF(B117&lt;&gt;"",SUMIF('Work Indirect'!B:B,'Initiative Indirect'!A117,'Work Indirect'!AC:AC),"")</f>
        <v/>
      </c>
      <c r="V117" s="3" t="str">
        <f ca="1">IF(A117&lt;&gt;"",IF(F117="",IF(E117="","",INDEX(Priorities[Color],MATCH(E117,Priorities[Priorities],0),0)),F117),"")</f>
        <v/>
      </c>
      <c r="W117" s="3" t="str">
        <f ca="1">IF(B117&lt;&gt;"",INDEX('Strategy Indirect'!$T:$T,MATCH(B117,'Strategy Indirect'!$A:$A,0)),"")</f>
        <v/>
      </c>
      <c r="X117" s="3" t="str">
        <f ca="1">IF(C117&lt;&gt;"",INDEX('Strategy Indirect'!$T:$T,MATCH(C117,'Strategy Indirect'!$A:$A,0)),"")</f>
        <v/>
      </c>
      <c r="Y117" s="3" t="str">
        <f ca="1">IF(D117&lt;&gt;"",INDEX('Strategy Indirect'!$T:$T,MATCH(D117,'Strategy Indirect'!$A:$A,0)),"")</f>
        <v/>
      </c>
      <c r="Z117" s="3" t="str">
        <f t="shared" ca="1" si="1"/>
        <v/>
      </c>
      <c r="AA117" s="159" t="str">
        <f ca="1">IF($A117&lt;&gt;"", IF(B117&lt;&gt;"",$U117/$Z117,""),"")</f>
        <v/>
      </c>
      <c r="AB117" s="159" t="str">
        <f ca="1">IF($A117&lt;&gt;"", IF(C117&lt;&gt;"",$U117/$Z117,""),"")</f>
        <v/>
      </c>
      <c r="AC117" s="159" t="str">
        <f ca="1">IF($A117&lt;&gt;"", IF(D117&lt;&gt;"",$U117/$Z117,""),"")</f>
        <v/>
      </c>
    </row>
    <row r="118" spans="1:29"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159" t="str">
        <f ca="1">IF(B118&lt;&gt;"",SUMIF('Work Indirect'!B:B,'Initiative Indirect'!A118,'Work Indirect'!AC:AC),"")</f>
        <v/>
      </c>
      <c r="V118" s="3" t="str">
        <f ca="1">IF(A118&lt;&gt;"",IF(F118="",IF(E118="","",INDEX(Priorities[Color],MATCH(E118,Priorities[Priorities],0),0)),F118),"")</f>
        <v/>
      </c>
      <c r="W118" s="3" t="str">
        <f ca="1">IF(B118&lt;&gt;"",INDEX('Strategy Indirect'!$T:$T,MATCH(B118,'Strategy Indirect'!$A:$A,0)),"")</f>
        <v/>
      </c>
      <c r="X118" s="3" t="str">
        <f ca="1">IF(C118&lt;&gt;"",INDEX('Strategy Indirect'!$T:$T,MATCH(C118,'Strategy Indirect'!$A:$A,0)),"")</f>
        <v/>
      </c>
      <c r="Y118" s="3" t="str">
        <f ca="1">IF(D118&lt;&gt;"",INDEX('Strategy Indirect'!$T:$T,MATCH(D118,'Strategy Indirect'!$A:$A,0)),"")</f>
        <v/>
      </c>
      <c r="Z118" s="3" t="str">
        <f t="shared" ca="1" si="1"/>
        <v/>
      </c>
      <c r="AA118" s="159" t="str">
        <f ca="1">IF($A118&lt;&gt;"", IF(B118&lt;&gt;"",$U118/$Z118,""),"")</f>
        <v/>
      </c>
      <c r="AB118" s="159" t="str">
        <f ca="1">IF($A118&lt;&gt;"", IF(C118&lt;&gt;"",$U118/$Z118,""),"")</f>
        <v/>
      </c>
      <c r="AC118" s="159" t="str">
        <f ca="1">IF($A118&lt;&gt;"", IF(D118&lt;&gt;"",$U118/$Z118,""),"")</f>
        <v/>
      </c>
    </row>
    <row r="119" spans="1:29"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159" t="str">
        <f ca="1">IF(B119&lt;&gt;"",SUMIF('Work Indirect'!B:B,'Initiative Indirect'!A119,'Work Indirect'!AC:AC),"")</f>
        <v/>
      </c>
      <c r="V119" s="3" t="str">
        <f ca="1">IF(A119&lt;&gt;"",IF(F119="",IF(E119="","",INDEX(Priorities[Color],MATCH(E119,Priorities[Priorities],0),0)),F119),"")</f>
        <v/>
      </c>
      <c r="W119" s="3" t="str">
        <f ca="1">IF(B119&lt;&gt;"",INDEX('Strategy Indirect'!$T:$T,MATCH(B119,'Strategy Indirect'!$A:$A,0)),"")</f>
        <v/>
      </c>
      <c r="X119" s="3" t="str">
        <f ca="1">IF(C119&lt;&gt;"",INDEX('Strategy Indirect'!$T:$T,MATCH(C119,'Strategy Indirect'!$A:$A,0)),"")</f>
        <v/>
      </c>
      <c r="Y119" s="3" t="str">
        <f ca="1">IF(D119&lt;&gt;"",INDEX('Strategy Indirect'!$T:$T,MATCH(D119,'Strategy Indirect'!$A:$A,0)),"")</f>
        <v/>
      </c>
      <c r="Z119" s="3" t="str">
        <f t="shared" ca="1" si="1"/>
        <v/>
      </c>
      <c r="AA119" s="159" t="str">
        <f ca="1">IF($A119&lt;&gt;"", IF(B119&lt;&gt;"",$U119/$Z119,""),"")</f>
        <v/>
      </c>
      <c r="AB119" s="159" t="str">
        <f ca="1">IF($A119&lt;&gt;"", IF(C119&lt;&gt;"",$U119/$Z119,""),"")</f>
        <v/>
      </c>
      <c r="AC119" s="159" t="str">
        <f ca="1">IF($A119&lt;&gt;"", IF(D119&lt;&gt;"",$U119/$Z119,""),"")</f>
        <v/>
      </c>
    </row>
    <row r="120" spans="1:29"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159" t="str">
        <f ca="1">IF(B120&lt;&gt;"",SUMIF('Work Indirect'!B:B,'Initiative Indirect'!A120,'Work Indirect'!AC:AC),"")</f>
        <v/>
      </c>
      <c r="V120" s="3" t="str">
        <f ca="1">IF(A120&lt;&gt;"",IF(F120="",IF(E120="","",INDEX(Priorities[Color],MATCH(E120,Priorities[Priorities],0),0)),F120),"")</f>
        <v/>
      </c>
      <c r="W120" s="3" t="str">
        <f ca="1">IF(B120&lt;&gt;"",INDEX('Strategy Indirect'!$T:$T,MATCH(B120,'Strategy Indirect'!$A:$A,0)),"")</f>
        <v/>
      </c>
      <c r="X120" s="3" t="str">
        <f ca="1">IF(C120&lt;&gt;"",INDEX('Strategy Indirect'!$T:$T,MATCH(C120,'Strategy Indirect'!$A:$A,0)),"")</f>
        <v/>
      </c>
      <c r="Y120" s="3" t="str">
        <f ca="1">IF(D120&lt;&gt;"",INDEX('Strategy Indirect'!$T:$T,MATCH(D120,'Strategy Indirect'!$A:$A,0)),"")</f>
        <v/>
      </c>
      <c r="Z120" s="3" t="str">
        <f t="shared" ca="1" si="1"/>
        <v/>
      </c>
      <c r="AA120" s="159" t="str">
        <f ca="1">IF($A120&lt;&gt;"", IF(B120&lt;&gt;"",$U120/$Z120,""),"")</f>
        <v/>
      </c>
      <c r="AB120" s="159" t="str">
        <f ca="1">IF($A120&lt;&gt;"", IF(C120&lt;&gt;"",$U120/$Z120,""),"")</f>
        <v/>
      </c>
      <c r="AC120" s="159" t="str">
        <f ca="1">IF($A120&lt;&gt;"", IF(D120&lt;&gt;"",$U120/$Z120,""),"")</f>
        <v/>
      </c>
    </row>
    <row r="121" spans="1:29"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159" t="str">
        <f ca="1">IF(B121&lt;&gt;"",SUMIF('Work Indirect'!B:B,'Initiative Indirect'!A121,'Work Indirect'!AC:AC),"")</f>
        <v/>
      </c>
      <c r="V121" s="3" t="str">
        <f ca="1">IF(A121&lt;&gt;"",IF(F121="",IF(E121="","",INDEX(Priorities[Color],MATCH(E121,Priorities[Priorities],0),0)),F121),"")</f>
        <v/>
      </c>
      <c r="W121" s="3" t="str">
        <f ca="1">IF(B121&lt;&gt;"",INDEX('Strategy Indirect'!$T:$T,MATCH(B121,'Strategy Indirect'!$A:$A,0)),"")</f>
        <v/>
      </c>
      <c r="X121" s="3" t="str">
        <f ca="1">IF(C121&lt;&gt;"",INDEX('Strategy Indirect'!$T:$T,MATCH(C121,'Strategy Indirect'!$A:$A,0)),"")</f>
        <v/>
      </c>
      <c r="Y121" s="3" t="str">
        <f ca="1">IF(D121&lt;&gt;"",INDEX('Strategy Indirect'!$T:$T,MATCH(D121,'Strategy Indirect'!$A:$A,0)),"")</f>
        <v/>
      </c>
      <c r="Z121" s="3" t="str">
        <f t="shared" ca="1" si="1"/>
        <v/>
      </c>
      <c r="AA121" s="159" t="str">
        <f ca="1">IF($A121&lt;&gt;"", IF(B121&lt;&gt;"",$U121/$Z121,""),"")</f>
        <v/>
      </c>
      <c r="AB121" s="159" t="str">
        <f ca="1">IF($A121&lt;&gt;"", IF(C121&lt;&gt;"",$U121/$Z121,""),"")</f>
        <v/>
      </c>
      <c r="AC121" s="159" t="str">
        <f ca="1">IF($A121&lt;&gt;"", IF(D121&lt;&gt;"",$U121/$Z121,""),"")</f>
        <v/>
      </c>
    </row>
    <row r="122" spans="1:29"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159" t="str">
        <f ca="1">IF(B122&lt;&gt;"",SUMIF('Work Indirect'!B:B,'Initiative Indirect'!A122,'Work Indirect'!AC:AC),"")</f>
        <v/>
      </c>
      <c r="V122" s="3" t="str">
        <f ca="1">IF(A122&lt;&gt;"",IF(F122="",IF(E122="","",INDEX(Priorities[Color],MATCH(E122,Priorities[Priorities],0),0)),F122),"")</f>
        <v/>
      </c>
      <c r="W122" s="3" t="str">
        <f ca="1">IF(B122&lt;&gt;"",INDEX('Strategy Indirect'!$T:$T,MATCH(B122,'Strategy Indirect'!$A:$A,0)),"")</f>
        <v/>
      </c>
      <c r="X122" s="3" t="str">
        <f ca="1">IF(C122&lt;&gt;"",INDEX('Strategy Indirect'!$T:$T,MATCH(C122,'Strategy Indirect'!$A:$A,0)),"")</f>
        <v/>
      </c>
      <c r="Y122" s="3" t="str">
        <f ca="1">IF(D122&lt;&gt;"",INDEX('Strategy Indirect'!$T:$T,MATCH(D122,'Strategy Indirect'!$A:$A,0)),"")</f>
        <v/>
      </c>
      <c r="Z122" s="3" t="str">
        <f t="shared" ca="1" si="1"/>
        <v/>
      </c>
      <c r="AA122" s="159" t="str">
        <f ca="1">IF($A122&lt;&gt;"", IF(B122&lt;&gt;"",$U122/$Z122,""),"")</f>
        <v/>
      </c>
      <c r="AB122" s="159" t="str">
        <f ca="1">IF($A122&lt;&gt;"", IF(C122&lt;&gt;"",$U122/$Z122,""),"")</f>
        <v/>
      </c>
      <c r="AC122" s="159" t="str">
        <f ca="1">IF($A122&lt;&gt;"", IF(D122&lt;&gt;"",$U122/$Z122,""),"")</f>
        <v/>
      </c>
    </row>
    <row r="123" spans="1:29"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159" t="str">
        <f ca="1">IF(B123&lt;&gt;"",SUMIF('Work Indirect'!B:B,'Initiative Indirect'!A123,'Work Indirect'!AC:AC),"")</f>
        <v/>
      </c>
      <c r="V123" s="3" t="str">
        <f ca="1">IF(A123&lt;&gt;"",IF(F123="",IF(E123="","",INDEX(Priorities[Color],MATCH(E123,Priorities[Priorities],0),0)),F123),"")</f>
        <v/>
      </c>
      <c r="W123" s="3" t="str">
        <f ca="1">IF(B123&lt;&gt;"",INDEX('Strategy Indirect'!$T:$T,MATCH(B123,'Strategy Indirect'!$A:$A,0)),"")</f>
        <v/>
      </c>
      <c r="X123" s="3" t="str">
        <f ca="1">IF(C123&lt;&gt;"",INDEX('Strategy Indirect'!$T:$T,MATCH(C123,'Strategy Indirect'!$A:$A,0)),"")</f>
        <v/>
      </c>
      <c r="Y123" s="3" t="str">
        <f ca="1">IF(D123&lt;&gt;"",INDEX('Strategy Indirect'!$T:$T,MATCH(D123,'Strategy Indirect'!$A:$A,0)),"")</f>
        <v/>
      </c>
      <c r="Z123" s="3" t="str">
        <f t="shared" ca="1" si="1"/>
        <v/>
      </c>
      <c r="AA123" s="159" t="str">
        <f ca="1">IF($A123&lt;&gt;"", IF(B123&lt;&gt;"",$U123/$Z123,""),"")</f>
        <v/>
      </c>
      <c r="AB123" s="159" t="str">
        <f ca="1">IF($A123&lt;&gt;"", IF(C123&lt;&gt;"",$U123/$Z123,""),"")</f>
        <v/>
      </c>
      <c r="AC123" s="159" t="str">
        <f ca="1">IF($A123&lt;&gt;"", IF(D123&lt;&gt;"",$U123/$Z123,""),"")</f>
        <v/>
      </c>
    </row>
    <row r="124" spans="1:29"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159" t="str">
        <f ca="1">IF(B124&lt;&gt;"",SUMIF('Work Indirect'!B:B,'Initiative Indirect'!A124,'Work Indirect'!AC:AC),"")</f>
        <v/>
      </c>
      <c r="V124" s="3" t="str">
        <f ca="1">IF(A124&lt;&gt;"",IF(F124="",IF(E124="","",INDEX(Priorities[Color],MATCH(E124,Priorities[Priorities],0),0)),F124),"")</f>
        <v/>
      </c>
      <c r="W124" s="3" t="str">
        <f ca="1">IF(B124&lt;&gt;"",INDEX('Strategy Indirect'!$T:$T,MATCH(B124,'Strategy Indirect'!$A:$A,0)),"")</f>
        <v/>
      </c>
      <c r="X124" s="3" t="str">
        <f ca="1">IF(C124&lt;&gt;"",INDEX('Strategy Indirect'!$T:$T,MATCH(C124,'Strategy Indirect'!$A:$A,0)),"")</f>
        <v/>
      </c>
      <c r="Y124" s="3" t="str">
        <f ca="1">IF(D124&lt;&gt;"",INDEX('Strategy Indirect'!$T:$T,MATCH(D124,'Strategy Indirect'!$A:$A,0)),"")</f>
        <v/>
      </c>
      <c r="Z124" s="3" t="str">
        <f t="shared" ca="1" si="1"/>
        <v/>
      </c>
      <c r="AA124" s="159" t="str">
        <f ca="1">IF($A124&lt;&gt;"", IF(B124&lt;&gt;"",$U124/$Z124,""),"")</f>
        <v/>
      </c>
      <c r="AB124" s="159" t="str">
        <f ca="1">IF($A124&lt;&gt;"", IF(C124&lt;&gt;"",$U124/$Z124,""),"")</f>
        <v/>
      </c>
      <c r="AC124" s="159" t="str">
        <f ca="1">IF($A124&lt;&gt;"", IF(D124&lt;&gt;"",$U124/$Z124,""),"")</f>
        <v/>
      </c>
    </row>
    <row r="125" spans="1:29"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159" t="str">
        <f ca="1">IF(B125&lt;&gt;"",SUMIF('Work Indirect'!B:B,'Initiative Indirect'!A125,'Work Indirect'!AC:AC),"")</f>
        <v/>
      </c>
      <c r="V125" s="3" t="str">
        <f ca="1">IF(A125&lt;&gt;"",IF(F125="",IF(E125="","",INDEX(Priorities[Color],MATCH(E125,Priorities[Priorities],0),0)),F125),"")</f>
        <v/>
      </c>
      <c r="W125" s="3" t="str">
        <f ca="1">IF(B125&lt;&gt;"",INDEX('Strategy Indirect'!$T:$T,MATCH(B125,'Strategy Indirect'!$A:$A,0)),"")</f>
        <v/>
      </c>
      <c r="X125" s="3" t="str">
        <f ca="1">IF(C125&lt;&gt;"",INDEX('Strategy Indirect'!$T:$T,MATCH(C125,'Strategy Indirect'!$A:$A,0)),"")</f>
        <v/>
      </c>
      <c r="Y125" s="3" t="str">
        <f ca="1">IF(D125&lt;&gt;"",INDEX('Strategy Indirect'!$T:$T,MATCH(D125,'Strategy Indirect'!$A:$A,0)),"")</f>
        <v/>
      </c>
      <c r="Z125" s="3" t="str">
        <f t="shared" ca="1" si="1"/>
        <v/>
      </c>
      <c r="AA125" s="159" t="str">
        <f ca="1">IF($A125&lt;&gt;"", IF(B125&lt;&gt;"",$U125/$Z125,""),"")</f>
        <v/>
      </c>
      <c r="AB125" s="159" t="str">
        <f ca="1">IF($A125&lt;&gt;"", IF(C125&lt;&gt;"",$U125/$Z125,""),"")</f>
        <v/>
      </c>
      <c r="AC125" s="159" t="str">
        <f ca="1">IF($A125&lt;&gt;"", IF(D125&lt;&gt;"",$U125/$Z125,""),"")</f>
        <v/>
      </c>
    </row>
    <row r="126" spans="1:29"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159" t="str">
        <f ca="1">IF(B126&lt;&gt;"",SUMIF('Work Indirect'!B:B,'Initiative Indirect'!A126,'Work Indirect'!AC:AC),"")</f>
        <v/>
      </c>
      <c r="V126" s="3" t="str">
        <f ca="1">IF(A126&lt;&gt;"",IF(F126="",IF(E126="","",INDEX(Priorities[Color],MATCH(E126,Priorities[Priorities],0),0)),F126),"")</f>
        <v/>
      </c>
      <c r="W126" s="3" t="str">
        <f ca="1">IF(B126&lt;&gt;"",INDEX('Strategy Indirect'!$T:$T,MATCH(B126,'Strategy Indirect'!$A:$A,0)),"")</f>
        <v/>
      </c>
      <c r="X126" s="3" t="str">
        <f ca="1">IF(C126&lt;&gt;"",INDEX('Strategy Indirect'!$T:$T,MATCH(C126,'Strategy Indirect'!$A:$A,0)),"")</f>
        <v/>
      </c>
      <c r="Y126" s="3" t="str">
        <f ca="1">IF(D126&lt;&gt;"",INDEX('Strategy Indirect'!$T:$T,MATCH(D126,'Strategy Indirect'!$A:$A,0)),"")</f>
        <v/>
      </c>
      <c r="Z126" s="3" t="str">
        <f t="shared" ca="1" si="1"/>
        <v/>
      </c>
      <c r="AA126" s="159" t="str">
        <f ca="1">IF($A126&lt;&gt;"", IF(B126&lt;&gt;"",$U126/$Z126,""),"")</f>
        <v/>
      </c>
      <c r="AB126" s="159" t="str">
        <f ca="1">IF($A126&lt;&gt;"", IF(C126&lt;&gt;"",$U126/$Z126,""),"")</f>
        <v/>
      </c>
      <c r="AC126" s="159" t="str">
        <f ca="1">IF($A126&lt;&gt;"", IF(D126&lt;&gt;"",$U126/$Z126,""),"")</f>
        <v/>
      </c>
    </row>
    <row r="127" spans="1:29"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159" t="str">
        <f ca="1">IF(B127&lt;&gt;"",SUMIF('Work Indirect'!B:B,'Initiative Indirect'!A127,'Work Indirect'!AC:AC),"")</f>
        <v/>
      </c>
      <c r="V127" s="3" t="str">
        <f ca="1">IF(A127&lt;&gt;"",IF(F127="",IF(E127="","",INDEX(Priorities[Color],MATCH(E127,Priorities[Priorities],0),0)),F127),"")</f>
        <v/>
      </c>
      <c r="W127" s="3" t="str">
        <f ca="1">IF(B127&lt;&gt;"",INDEX('Strategy Indirect'!$T:$T,MATCH(B127,'Strategy Indirect'!$A:$A,0)),"")</f>
        <v/>
      </c>
      <c r="X127" s="3" t="str">
        <f ca="1">IF(C127&lt;&gt;"",INDEX('Strategy Indirect'!$T:$T,MATCH(C127,'Strategy Indirect'!$A:$A,0)),"")</f>
        <v/>
      </c>
      <c r="Y127" s="3" t="str">
        <f ca="1">IF(D127&lt;&gt;"",INDEX('Strategy Indirect'!$T:$T,MATCH(D127,'Strategy Indirect'!$A:$A,0)),"")</f>
        <v/>
      </c>
      <c r="Z127" s="3" t="str">
        <f t="shared" ca="1" si="1"/>
        <v/>
      </c>
      <c r="AA127" s="159" t="str">
        <f ca="1">IF($A127&lt;&gt;"", IF(B127&lt;&gt;"",$U127/$Z127,""),"")</f>
        <v/>
      </c>
      <c r="AB127" s="159" t="str">
        <f ca="1">IF($A127&lt;&gt;"", IF(C127&lt;&gt;"",$U127/$Z127,""),"")</f>
        <v/>
      </c>
      <c r="AC127" s="159" t="str">
        <f ca="1">IF($A127&lt;&gt;"", IF(D127&lt;&gt;"",$U127/$Z127,""),"")</f>
        <v/>
      </c>
    </row>
    <row r="128" spans="1:29"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159" t="str">
        <f ca="1">IF(B128&lt;&gt;"",SUMIF('Work Indirect'!B:B,'Initiative Indirect'!A128,'Work Indirect'!AC:AC),"")</f>
        <v/>
      </c>
      <c r="V128" s="3" t="str">
        <f ca="1">IF(A128&lt;&gt;"",IF(F128="",IF(E128="","",INDEX(Priorities[Color],MATCH(E128,Priorities[Priorities],0),0)),F128),"")</f>
        <v/>
      </c>
      <c r="W128" s="3" t="str">
        <f ca="1">IF(B128&lt;&gt;"",INDEX('Strategy Indirect'!$T:$T,MATCH(B128,'Strategy Indirect'!$A:$A,0)),"")</f>
        <v/>
      </c>
      <c r="X128" s="3" t="str">
        <f ca="1">IF(C128&lt;&gt;"",INDEX('Strategy Indirect'!$T:$T,MATCH(C128,'Strategy Indirect'!$A:$A,0)),"")</f>
        <v/>
      </c>
      <c r="Y128" s="3" t="str">
        <f ca="1">IF(D128&lt;&gt;"",INDEX('Strategy Indirect'!$T:$T,MATCH(D128,'Strategy Indirect'!$A:$A,0)),"")</f>
        <v/>
      </c>
      <c r="Z128" s="3" t="str">
        <f t="shared" ca="1" si="1"/>
        <v/>
      </c>
      <c r="AA128" s="159" t="str">
        <f ca="1">IF($A128&lt;&gt;"", IF(B128&lt;&gt;"",$U128/$Z128,""),"")</f>
        <v/>
      </c>
      <c r="AB128" s="159" t="str">
        <f ca="1">IF($A128&lt;&gt;"", IF(C128&lt;&gt;"",$U128/$Z128,""),"")</f>
        <v/>
      </c>
      <c r="AC128" s="159" t="str">
        <f ca="1">IF($A128&lt;&gt;"", IF(D128&lt;&gt;"",$U128/$Z128,""),"")</f>
        <v/>
      </c>
    </row>
    <row r="129" spans="1:29"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159" t="str">
        <f ca="1">IF(B129&lt;&gt;"",SUMIF('Work Indirect'!B:B,'Initiative Indirect'!A129,'Work Indirect'!AC:AC),"")</f>
        <v/>
      </c>
      <c r="V129" s="3" t="str">
        <f ca="1">IF(A129&lt;&gt;"",IF(F129="",IF(E129="","",INDEX(Priorities[Color],MATCH(E129,Priorities[Priorities],0),0)),F129),"")</f>
        <v/>
      </c>
      <c r="W129" s="3" t="str">
        <f ca="1">IF(B129&lt;&gt;"",INDEX('Strategy Indirect'!$T:$T,MATCH(B129,'Strategy Indirect'!$A:$A,0)),"")</f>
        <v/>
      </c>
      <c r="X129" s="3" t="str">
        <f ca="1">IF(C129&lt;&gt;"",INDEX('Strategy Indirect'!$T:$T,MATCH(C129,'Strategy Indirect'!$A:$A,0)),"")</f>
        <v/>
      </c>
      <c r="Y129" s="3" t="str">
        <f ca="1">IF(D129&lt;&gt;"",INDEX('Strategy Indirect'!$T:$T,MATCH(D129,'Strategy Indirect'!$A:$A,0)),"")</f>
        <v/>
      </c>
      <c r="Z129" s="3" t="str">
        <f t="shared" ca="1" si="1"/>
        <v/>
      </c>
      <c r="AA129" s="159" t="str">
        <f ca="1">IF($A129&lt;&gt;"", IF(B129&lt;&gt;"",$U129/$Z129,""),"")</f>
        <v/>
      </c>
      <c r="AB129" s="159" t="str">
        <f ca="1">IF($A129&lt;&gt;"", IF(C129&lt;&gt;"",$U129/$Z129,""),"")</f>
        <v/>
      </c>
      <c r="AC129" s="159" t="str">
        <f ca="1">IF($A129&lt;&gt;"", IF(D129&lt;&gt;"",$U129/$Z129,""),"")</f>
        <v/>
      </c>
    </row>
    <row r="130" spans="1:29"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159" t="str">
        <f ca="1">IF(B130&lt;&gt;"",SUMIF('Work Indirect'!B:B,'Initiative Indirect'!A130,'Work Indirect'!AC:AC),"")</f>
        <v/>
      </c>
      <c r="V130" s="3" t="str">
        <f ca="1">IF(A130&lt;&gt;"",IF(F130="",IF(E130="","",INDEX(Priorities[Color],MATCH(E130,Priorities[Priorities],0),0)),F130),"")</f>
        <v/>
      </c>
      <c r="W130" s="3" t="str">
        <f ca="1">IF(B130&lt;&gt;"",INDEX('Strategy Indirect'!$T:$T,MATCH(B130,'Strategy Indirect'!$A:$A,0)),"")</f>
        <v/>
      </c>
      <c r="X130" s="3" t="str">
        <f ca="1">IF(C130&lt;&gt;"",INDEX('Strategy Indirect'!$T:$T,MATCH(C130,'Strategy Indirect'!$A:$A,0)),"")</f>
        <v/>
      </c>
      <c r="Y130" s="3" t="str">
        <f ca="1">IF(D130&lt;&gt;"",INDEX('Strategy Indirect'!$T:$T,MATCH(D130,'Strategy Indirect'!$A:$A,0)),"")</f>
        <v/>
      </c>
      <c r="Z130" s="3" t="str">
        <f t="shared" ca="1" si="1"/>
        <v/>
      </c>
      <c r="AA130" s="159" t="str">
        <f ca="1">IF($A130&lt;&gt;"", IF(B130&lt;&gt;"",$U130/$Z130,""),"")</f>
        <v/>
      </c>
      <c r="AB130" s="159" t="str">
        <f ca="1">IF($A130&lt;&gt;"", IF(C130&lt;&gt;"",$U130/$Z130,""),"")</f>
        <v/>
      </c>
      <c r="AC130" s="159" t="str">
        <f ca="1">IF($A130&lt;&gt;"", IF(D130&lt;&gt;"",$U130/$Z130,""),"")</f>
        <v/>
      </c>
    </row>
    <row r="131" spans="1:29"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159" t="str">
        <f ca="1">IF(B131&lt;&gt;"",SUMIF('Work Indirect'!B:B,'Initiative Indirect'!A131,'Work Indirect'!AC:AC),"")</f>
        <v/>
      </c>
      <c r="V131" s="3" t="str">
        <f ca="1">IF(A131&lt;&gt;"",IF(F131="",IF(E131="","",INDEX(Priorities[Color],MATCH(E131,Priorities[Priorities],0),0)),F131),"")</f>
        <v/>
      </c>
      <c r="W131" s="3" t="str">
        <f ca="1">IF(B131&lt;&gt;"",INDEX('Strategy Indirect'!$T:$T,MATCH(B131,'Strategy Indirect'!$A:$A,0)),"")</f>
        <v/>
      </c>
      <c r="X131" s="3" t="str">
        <f ca="1">IF(C131&lt;&gt;"",INDEX('Strategy Indirect'!$T:$T,MATCH(C131,'Strategy Indirect'!$A:$A,0)),"")</f>
        <v/>
      </c>
      <c r="Y131" s="3" t="str">
        <f ca="1">IF(D131&lt;&gt;"",INDEX('Strategy Indirect'!$T:$T,MATCH(D131,'Strategy Indirect'!$A:$A,0)),"")</f>
        <v/>
      </c>
      <c r="Z131" s="3" t="str">
        <f t="shared" ref="Z131:Z194" ca="1" si="2">IF(A131&lt;&gt;"",3-COUNTIF($B131:$D131,""),"")</f>
        <v/>
      </c>
      <c r="AA131" s="159" t="str">
        <f ca="1">IF($A131&lt;&gt;"", IF(B131&lt;&gt;"",$U131/$Z131,""),"")</f>
        <v/>
      </c>
      <c r="AB131" s="159" t="str">
        <f ca="1">IF($A131&lt;&gt;"", IF(C131&lt;&gt;"",$U131/$Z131,""),"")</f>
        <v/>
      </c>
      <c r="AC131" s="159" t="str">
        <f ca="1">IF($A131&lt;&gt;"", IF(D131&lt;&gt;"",$U131/$Z131,""),"")</f>
        <v/>
      </c>
    </row>
    <row r="132" spans="1:29"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159" t="str">
        <f ca="1">IF(B132&lt;&gt;"",SUMIF('Work Indirect'!B:B,'Initiative Indirect'!A132,'Work Indirect'!AC:AC),"")</f>
        <v/>
      </c>
      <c r="V132" s="3" t="str">
        <f ca="1">IF(A132&lt;&gt;"",IF(F132="",IF(E132="","",INDEX(Priorities[Color],MATCH(E132,Priorities[Priorities],0),0)),F132),"")</f>
        <v/>
      </c>
      <c r="W132" s="3" t="str">
        <f ca="1">IF(B132&lt;&gt;"",INDEX('Strategy Indirect'!$T:$T,MATCH(B132,'Strategy Indirect'!$A:$A,0)),"")</f>
        <v/>
      </c>
      <c r="X132" s="3" t="str">
        <f ca="1">IF(C132&lt;&gt;"",INDEX('Strategy Indirect'!$T:$T,MATCH(C132,'Strategy Indirect'!$A:$A,0)),"")</f>
        <v/>
      </c>
      <c r="Y132" s="3" t="str">
        <f ca="1">IF(D132&lt;&gt;"",INDEX('Strategy Indirect'!$T:$T,MATCH(D132,'Strategy Indirect'!$A:$A,0)),"")</f>
        <v/>
      </c>
      <c r="Z132" s="3" t="str">
        <f t="shared" ca="1" si="2"/>
        <v/>
      </c>
      <c r="AA132" s="159" t="str">
        <f ca="1">IF($A132&lt;&gt;"", IF(B132&lt;&gt;"",$U132/$Z132,""),"")</f>
        <v/>
      </c>
      <c r="AB132" s="159" t="str">
        <f ca="1">IF($A132&lt;&gt;"", IF(C132&lt;&gt;"",$U132/$Z132,""),"")</f>
        <v/>
      </c>
      <c r="AC132" s="159" t="str">
        <f ca="1">IF($A132&lt;&gt;"", IF(D132&lt;&gt;"",$U132/$Z132,""),"")</f>
        <v/>
      </c>
    </row>
    <row r="133" spans="1:29"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159" t="str">
        <f ca="1">IF(B133&lt;&gt;"",SUMIF('Work Indirect'!B:B,'Initiative Indirect'!A133,'Work Indirect'!AC:AC),"")</f>
        <v/>
      </c>
      <c r="V133" s="3" t="str">
        <f ca="1">IF(A133&lt;&gt;"",IF(F133="",IF(E133="","",INDEX(Priorities[Color],MATCH(E133,Priorities[Priorities],0),0)),F133),"")</f>
        <v/>
      </c>
      <c r="W133" s="3" t="str">
        <f ca="1">IF(B133&lt;&gt;"",INDEX('Strategy Indirect'!$T:$T,MATCH(B133,'Strategy Indirect'!$A:$A,0)),"")</f>
        <v/>
      </c>
      <c r="X133" s="3" t="str">
        <f ca="1">IF(C133&lt;&gt;"",INDEX('Strategy Indirect'!$T:$T,MATCH(C133,'Strategy Indirect'!$A:$A,0)),"")</f>
        <v/>
      </c>
      <c r="Y133" s="3" t="str">
        <f ca="1">IF(D133&lt;&gt;"",INDEX('Strategy Indirect'!$T:$T,MATCH(D133,'Strategy Indirect'!$A:$A,0)),"")</f>
        <v/>
      </c>
      <c r="Z133" s="3" t="str">
        <f t="shared" ca="1" si="2"/>
        <v/>
      </c>
      <c r="AA133" s="159" t="str">
        <f ca="1">IF($A133&lt;&gt;"", IF(B133&lt;&gt;"",$U133/$Z133,""),"")</f>
        <v/>
      </c>
      <c r="AB133" s="159" t="str">
        <f ca="1">IF($A133&lt;&gt;"", IF(C133&lt;&gt;"",$U133/$Z133,""),"")</f>
        <v/>
      </c>
      <c r="AC133" s="159" t="str">
        <f ca="1">IF($A133&lt;&gt;"", IF(D133&lt;&gt;"",$U133/$Z133,""),"")</f>
        <v/>
      </c>
    </row>
    <row r="134" spans="1:29"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159" t="str">
        <f ca="1">IF(B134&lt;&gt;"",SUMIF('Work Indirect'!B:B,'Initiative Indirect'!A134,'Work Indirect'!AC:AC),"")</f>
        <v/>
      </c>
      <c r="V134" s="3" t="str">
        <f ca="1">IF(A134&lt;&gt;"",IF(F134="",IF(E134="","",INDEX(Priorities[Color],MATCH(E134,Priorities[Priorities],0),0)),F134),"")</f>
        <v/>
      </c>
      <c r="W134" s="3" t="str">
        <f ca="1">IF(B134&lt;&gt;"",INDEX('Strategy Indirect'!$T:$T,MATCH(B134,'Strategy Indirect'!$A:$A,0)),"")</f>
        <v/>
      </c>
      <c r="X134" s="3" t="str">
        <f ca="1">IF(C134&lt;&gt;"",INDEX('Strategy Indirect'!$T:$T,MATCH(C134,'Strategy Indirect'!$A:$A,0)),"")</f>
        <v/>
      </c>
      <c r="Y134" s="3" t="str">
        <f ca="1">IF(D134&lt;&gt;"",INDEX('Strategy Indirect'!$T:$T,MATCH(D134,'Strategy Indirect'!$A:$A,0)),"")</f>
        <v/>
      </c>
      <c r="Z134" s="3" t="str">
        <f t="shared" ca="1" si="2"/>
        <v/>
      </c>
      <c r="AA134" s="159" t="str">
        <f ca="1">IF($A134&lt;&gt;"", IF(B134&lt;&gt;"",$U134/$Z134,""),"")</f>
        <v/>
      </c>
      <c r="AB134" s="159" t="str">
        <f ca="1">IF($A134&lt;&gt;"", IF(C134&lt;&gt;"",$U134/$Z134,""),"")</f>
        <v/>
      </c>
      <c r="AC134" s="159" t="str">
        <f ca="1">IF($A134&lt;&gt;"", IF(D134&lt;&gt;"",$U134/$Z134,""),"")</f>
        <v/>
      </c>
    </row>
    <row r="135" spans="1:29"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159" t="str">
        <f ca="1">IF(B135&lt;&gt;"",SUMIF('Work Indirect'!B:B,'Initiative Indirect'!A135,'Work Indirect'!AC:AC),"")</f>
        <v/>
      </c>
      <c r="V135" s="3" t="str">
        <f ca="1">IF(A135&lt;&gt;"",IF(F135="",IF(E135="","",INDEX(Priorities[Color],MATCH(E135,Priorities[Priorities],0),0)),F135),"")</f>
        <v/>
      </c>
      <c r="W135" s="3" t="str">
        <f ca="1">IF(B135&lt;&gt;"",INDEX('Strategy Indirect'!$T:$T,MATCH(B135,'Strategy Indirect'!$A:$A,0)),"")</f>
        <v/>
      </c>
      <c r="X135" s="3" t="str">
        <f ca="1">IF(C135&lt;&gt;"",INDEX('Strategy Indirect'!$T:$T,MATCH(C135,'Strategy Indirect'!$A:$A,0)),"")</f>
        <v/>
      </c>
      <c r="Y135" s="3" t="str">
        <f ca="1">IF(D135&lt;&gt;"",INDEX('Strategy Indirect'!$T:$T,MATCH(D135,'Strategy Indirect'!$A:$A,0)),"")</f>
        <v/>
      </c>
      <c r="Z135" s="3" t="str">
        <f t="shared" ca="1" si="2"/>
        <v/>
      </c>
      <c r="AA135" s="159" t="str">
        <f ca="1">IF($A135&lt;&gt;"", IF(B135&lt;&gt;"",$U135/$Z135,""),"")</f>
        <v/>
      </c>
      <c r="AB135" s="159" t="str">
        <f ca="1">IF($A135&lt;&gt;"", IF(C135&lt;&gt;"",$U135/$Z135,""),"")</f>
        <v/>
      </c>
      <c r="AC135" s="159" t="str">
        <f ca="1">IF($A135&lt;&gt;"", IF(D135&lt;&gt;"",$U135/$Z135,""),"")</f>
        <v/>
      </c>
    </row>
    <row r="136" spans="1:29"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159" t="str">
        <f ca="1">IF(B136&lt;&gt;"",SUMIF('Work Indirect'!B:B,'Initiative Indirect'!A136,'Work Indirect'!AC:AC),"")</f>
        <v/>
      </c>
      <c r="V136" s="3" t="str">
        <f ca="1">IF(A136&lt;&gt;"",IF(F136="",IF(E136="","",INDEX(Priorities[Color],MATCH(E136,Priorities[Priorities],0),0)),F136),"")</f>
        <v/>
      </c>
      <c r="W136" s="3" t="str">
        <f ca="1">IF(B136&lt;&gt;"",INDEX('Strategy Indirect'!$T:$T,MATCH(B136,'Strategy Indirect'!$A:$A,0)),"")</f>
        <v/>
      </c>
      <c r="X136" s="3" t="str">
        <f ca="1">IF(C136&lt;&gt;"",INDEX('Strategy Indirect'!$T:$T,MATCH(C136,'Strategy Indirect'!$A:$A,0)),"")</f>
        <v/>
      </c>
      <c r="Y136" s="3" t="str">
        <f ca="1">IF(D136&lt;&gt;"",INDEX('Strategy Indirect'!$T:$T,MATCH(D136,'Strategy Indirect'!$A:$A,0)),"")</f>
        <v/>
      </c>
      <c r="Z136" s="3" t="str">
        <f t="shared" ca="1" si="2"/>
        <v/>
      </c>
      <c r="AA136" s="159" t="str">
        <f ca="1">IF($A136&lt;&gt;"", IF(B136&lt;&gt;"",$U136/$Z136,""),"")</f>
        <v/>
      </c>
      <c r="AB136" s="159" t="str">
        <f ca="1">IF($A136&lt;&gt;"", IF(C136&lt;&gt;"",$U136/$Z136,""),"")</f>
        <v/>
      </c>
      <c r="AC136" s="159" t="str">
        <f ca="1">IF($A136&lt;&gt;"", IF(D136&lt;&gt;"",$U136/$Z136,""),"")</f>
        <v/>
      </c>
    </row>
    <row r="137" spans="1:29"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159" t="str">
        <f ca="1">IF(B137&lt;&gt;"",SUMIF('Work Indirect'!B:B,'Initiative Indirect'!A137,'Work Indirect'!AC:AC),"")</f>
        <v/>
      </c>
      <c r="V137" s="3" t="str">
        <f ca="1">IF(A137&lt;&gt;"",IF(F137="",IF(E137="","",INDEX(Priorities[Color],MATCH(E137,Priorities[Priorities],0),0)),F137),"")</f>
        <v/>
      </c>
      <c r="W137" s="3" t="str">
        <f ca="1">IF(B137&lt;&gt;"",INDEX('Strategy Indirect'!$T:$T,MATCH(B137,'Strategy Indirect'!$A:$A,0)),"")</f>
        <v/>
      </c>
      <c r="X137" s="3" t="str">
        <f ca="1">IF(C137&lt;&gt;"",INDEX('Strategy Indirect'!$T:$T,MATCH(C137,'Strategy Indirect'!$A:$A,0)),"")</f>
        <v/>
      </c>
      <c r="Y137" s="3" t="str">
        <f ca="1">IF(D137&lt;&gt;"",INDEX('Strategy Indirect'!$T:$T,MATCH(D137,'Strategy Indirect'!$A:$A,0)),"")</f>
        <v/>
      </c>
      <c r="Z137" s="3" t="str">
        <f t="shared" ca="1" si="2"/>
        <v/>
      </c>
      <c r="AA137" s="159" t="str">
        <f ca="1">IF($A137&lt;&gt;"", IF(B137&lt;&gt;"",$U137/$Z137,""),"")</f>
        <v/>
      </c>
      <c r="AB137" s="159" t="str">
        <f ca="1">IF($A137&lt;&gt;"", IF(C137&lt;&gt;"",$U137/$Z137,""),"")</f>
        <v/>
      </c>
      <c r="AC137" s="159" t="str">
        <f ca="1">IF($A137&lt;&gt;"", IF(D137&lt;&gt;"",$U137/$Z137,""),"")</f>
        <v/>
      </c>
    </row>
    <row r="138" spans="1:29"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159" t="str">
        <f ca="1">IF(B138&lt;&gt;"",SUMIF('Work Indirect'!B:B,'Initiative Indirect'!A138,'Work Indirect'!AC:AC),"")</f>
        <v/>
      </c>
      <c r="V138" s="3" t="str">
        <f ca="1">IF(A138&lt;&gt;"",IF(F138="",IF(E138="","",INDEX(Priorities[Color],MATCH(E138,Priorities[Priorities],0),0)),F138),"")</f>
        <v/>
      </c>
      <c r="W138" s="3" t="str">
        <f ca="1">IF(B138&lt;&gt;"",INDEX('Strategy Indirect'!$T:$T,MATCH(B138,'Strategy Indirect'!$A:$A,0)),"")</f>
        <v/>
      </c>
      <c r="X138" s="3" t="str">
        <f ca="1">IF(C138&lt;&gt;"",INDEX('Strategy Indirect'!$T:$T,MATCH(C138,'Strategy Indirect'!$A:$A,0)),"")</f>
        <v/>
      </c>
      <c r="Y138" s="3" t="str">
        <f ca="1">IF(D138&lt;&gt;"",INDEX('Strategy Indirect'!$T:$T,MATCH(D138,'Strategy Indirect'!$A:$A,0)),"")</f>
        <v/>
      </c>
      <c r="Z138" s="3" t="str">
        <f t="shared" ca="1" si="2"/>
        <v/>
      </c>
      <c r="AA138" s="159" t="str">
        <f ca="1">IF($A138&lt;&gt;"", IF(B138&lt;&gt;"",$U138/$Z138,""),"")</f>
        <v/>
      </c>
      <c r="AB138" s="159" t="str">
        <f ca="1">IF($A138&lt;&gt;"", IF(C138&lt;&gt;"",$U138/$Z138,""),"")</f>
        <v/>
      </c>
      <c r="AC138" s="159" t="str">
        <f ca="1">IF($A138&lt;&gt;"", IF(D138&lt;&gt;"",$U138/$Z138,""),"")</f>
        <v/>
      </c>
    </row>
    <row r="139" spans="1:29"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159" t="str">
        <f ca="1">IF(B139&lt;&gt;"",SUMIF('Work Indirect'!B:B,'Initiative Indirect'!A139,'Work Indirect'!AC:AC),"")</f>
        <v/>
      </c>
      <c r="V139" s="3" t="str">
        <f ca="1">IF(A139&lt;&gt;"",IF(F139="",IF(E139="","",INDEX(Priorities[Color],MATCH(E139,Priorities[Priorities],0),0)),F139),"")</f>
        <v/>
      </c>
      <c r="W139" s="3" t="str">
        <f ca="1">IF(B139&lt;&gt;"",INDEX('Strategy Indirect'!$T:$T,MATCH(B139,'Strategy Indirect'!$A:$A,0)),"")</f>
        <v/>
      </c>
      <c r="X139" s="3" t="str">
        <f ca="1">IF(C139&lt;&gt;"",INDEX('Strategy Indirect'!$T:$T,MATCH(C139,'Strategy Indirect'!$A:$A,0)),"")</f>
        <v/>
      </c>
      <c r="Y139" s="3" t="str">
        <f ca="1">IF(D139&lt;&gt;"",INDEX('Strategy Indirect'!$T:$T,MATCH(D139,'Strategy Indirect'!$A:$A,0)),"")</f>
        <v/>
      </c>
      <c r="Z139" s="3" t="str">
        <f t="shared" ca="1" si="2"/>
        <v/>
      </c>
      <c r="AA139" s="159" t="str">
        <f ca="1">IF($A139&lt;&gt;"", IF(B139&lt;&gt;"",$U139/$Z139,""),"")</f>
        <v/>
      </c>
      <c r="AB139" s="159" t="str">
        <f ca="1">IF($A139&lt;&gt;"", IF(C139&lt;&gt;"",$U139/$Z139,""),"")</f>
        <v/>
      </c>
      <c r="AC139" s="159" t="str">
        <f ca="1">IF($A139&lt;&gt;"", IF(D139&lt;&gt;"",$U139/$Z139,""),"")</f>
        <v/>
      </c>
    </row>
    <row r="140" spans="1:29"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159" t="str">
        <f ca="1">IF(B140&lt;&gt;"",SUMIF('Work Indirect'!B:B,'Initiative Indirect'!A140,'Work Indirect'!AC:AC),"")</f>
        <v/>
      </c>
      <c r="V140" s="3" t="str">
        <f ca="1">IF(A140&lt;&gt;"",IF(F140="",IF(E140="","",INDEX(Priorities[Color],MATCH(E140,Priorities[Priorities],0),0)),F140),"")</f>
        <v/>
      </c>
      <c r="W140" s="3" t="str">
        <f ca="1">IF(B140&lt;&gt;"",INDEX('Strategy Indirect'!$T:$T,MATCH(B140,'Strategy Indirect'!$A:$A,0)),"")</f>
        <v/>
      </c>
      <c r="X140" s="3" t="str">
        <f ca="1">IF(C140&lt;&gt;"",INDEX('Strategy Indirect'!$T:$T,MATCH(C140,'Strategy Indirect'!$A:$A,0)),"")</f>
        <v/>
      </c>
      <c r="Y140" s="3" t="str">
        <f ca="1">IF(D140&lt;&gt;"",INDEX('Strategy Indirect'!$T:$T,MATCH(D140,'Strategy Indirect'!$A:$A,0)),"")</f>
        <v/>
      </c>
      <c r="Z140" s="3" t="str">
        <f t="shared" ca="1" si="2"/>
        <v/>
      </c>
      <c r="AA140" s="159" t="str">
        <f ca="1">IF($A140&lt;&gt;"", IF(B140&lt;&gt;"",$U140/$Z140,""),"")</f>
        <v/>
      </c>
      <c r="AB140" s="159" t="str">
        <f ca="1">IF($A140&lt;&gt;"", IF(C140&lt;&gt;"",$U140/$Z140,""),"")</f>
        <v/>
      </c>
      <c r="AC140" s="159" t="str">
        <f ca="1">IF($A140&lt;&gt;"", IF(D140&lt;&gt;"",$U140/$Z140,""),"")</f>
        <v/>
      </c>
    </row>
    <row r="141" spans="1:29"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159" t="str">
        <f ca="1">IF(B141&lt;&gt;"",SUMIF('Work Indirect'!B:B,'Initiative Indirect'!A141,'Work Indirect'!AC:AC),"")</f>
        <v/>
      </c>
      <c r="V141" s="3" t="str">
        <f ca="1">IF(A141&lt;&gt;"",IF(F141="",IF(E141="","",INDEX(Priorities[Color],MATCH(E141,Priorities[Priorities],0),0)),F141),"")</f>
        <v/>
      </c>
      <c r="W141" s="3" t="str">
        <f ca="1">IF(B141&lt;&gt;"",INDEX('Strategy Indirect'!$T:$T,MATCH(B141,'Strategy Indirect'!$A:$A,0)),"")</f>
        <v/>
      </c>
      <c r="X141" s="3" t="str">
        <f ca="1">IF(C141&lt;&gt;"",INDEX('Strategy Indirect'!$T:$T,MATCH(C141,'Strategy Indirect'!$A:$A,0)),"")</f>
        <v/>
      </c>
      <c r="Y141" s="3" t="str">
        <f ca="1">IF(D141&lt;&gt;"",INDEX('Strategy Indirect'!$T:$T,MATCH(D141,'Strategy Indirect'!$A:$A,0)),"")</f>
        <v/>
      </c>
      <c r="Z141" s="3" t="str">
        <f t="shared" ca="1" si="2"/>
        <v/>
      </c>
      <c r="AA141" s="159" t="str">
        <f ca="1">IF($A141&lt;&gt;"", IF(B141&lt;&gt;"",$U141/$Z141,""),"")</f>
        <v/>
      </c>
      <c r="AB141" s="159" t="str">
        <f ca="1">IF($A141&lt;&gt;"", IF(C141&lt;&gt;"",$U141/$Z141,""),"")</f>
        <v/>
      </c>
      <c r="AC141" s="159" t="str">
        <f ca="1">IF($A141&lt;&gt;"", IF(D141&lt;&gt;"",$U141/$Z141,""),"")</f>
        <v/>
      </c>
    </row>
    <row r="142" spans="1:29"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159" t="str">
        <f ca="1">IF(B142&lt;&gt;"",SUMIF('Work Indirect'!B:B,'Initiative Indirect'!A142,'Work Indirect'!AC:AC),"")</f>
        <v/>
      </c>
      <c r="V142" s="3" t="str">
        <f ca="1">IF(A142&lt;&gt;"",IF(F142="",IF(E142="","",INDEX(Priorities[Color],MATCH(E142,Priorities[Priorities],0),0)),F142),"")</f>
        <v/>
      </c>
      <c r="W142" s="3" t="str">
        <f ca="1">IF(B142&lt;&gt;"",INDEX('Strategy Indirect'!$T:$T,MATCH(B142,'Strategy Indirect'!$A:$A,0)),"")</f>
        <v/>
      </c>
      <c r="X142" s="3" t="str">
        <f ca="1">IF(C142&lt;&gt;"",INDEX('Strategy Indirect'!$T:$T,MATCH(C142,'Strategy Indirect'!$A:$A,0)),"")</f>
        <v/>
      </c>
      <c r="Y142" s="3" t="str">
        <f ca="1">IF(D142&lt;&gt;"",INDEX('Strategy Indirect'!$T:$T,MATCH(D142,'Strategy Indirect'!$A:$A,0)),"")</f>
        <v/>
      </c>
      <c r="Z142" s="3" t="str">
        <f t="shared" ca="1" si="2"/>
        <v/>
      </c>
      <c r="AA142" s="159" t="str">
        <f ca="1">IF($A142&lt;&gt;"", IF(B142&lt;&gt;"",$U142/$Z142,""),"")</f>
        <v/>
      </c>
      <c r="AB142" s="159" t="str">
        <f ca="1">IF($A142&lt;&gt;"", IF(C142&lt;&gt;"",$U142/$Z142,""),"")</f>
        <v/>
      </c>
      <c r="AC142" s="159" t="str">
        <f ca="1">IF($A142&lt;&gt;"", IF(D142&lt;&gt;"",$U142/$Z142,""),"")</f>
        <v/>
      </c>
    </row>
    <row r="143" spans="1:29"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159" t="str">
        <f ca="1">IF(B143&lt;&gt;"",SUMIF('Work Indirect'!B:B,'Initiative Indirect'!A143,'Work Indirect'!AC:AC),"")</f>
        <v/>
      </c>
      <c r="V143" s="3" t="str">
        <f ca="1">IF(A143&lt;&gt;"",IF(F143="",IF(E143="","",INDEX(Priorities[Color],MATCH(E143,Priorities[Priorities],0),0)),F143),"")</f>
        <v/>
      </c>
      <c r="W143" s="3" t="str">
        <f ca="1">IF(B143&lt;&gt;"",INDEX('Strategy Indirect'!$T:$T,MATCH(B143,'Strategy Indirect'!$A:$A,0)),"")</f>
        <v/>
      </c>
      <c r="X143" s="3" t="str">
        <f ca="1">IF(C143&lt;&gt;"",INDEX('Strategy Indirect'!$T:$T,MATCH(C143,'Strategy Indirect'!$A:$A,0)),"")</f>
        <v/>
      </c>
      <c r="Y143" s="3" t="str">
        <f ca="1">IF(D143&lt;&gt;"",INDEX('Strategy Indirect'!$T:$T,MATCH(D143,'Strategy Indirect'!$A:$A,0)),"")</f>
        <v/>
      </c>
      <c r="Z143" s="3" t="str">
        <f t="shared" ca="1" si="2"/>
        <v/>
      </c>
      <c r="AA143" s="159" t="str">
        <f ca="1">IF($A143&lt;&gt;"", IF(B143&lt;&gt;"",$U143/$Z143,""),"")</f>
        <v/>
      </c>
      <c r="AB143" s="159" t="str">
        <f ca="1">IF($A143&lt;&gt;"", IF(C143&lt;&gt;"",$U143/$Z143,""),"")</f>
        <v/>
      </c>
      <c r="AC143" s="159" t="str">
        <f ca="1">IF($A143&lt;&gt;"", IF(D143&lt;&gt;"",$U143/$Z143,""),"")</f>
        <v/>
      </c>
    </row>
    <row r="144" spans="1:29"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159" t="str">
        <f ca="1">IF(B144&lt;&gt;"",SUMIF('Work Indirect'!B:B,'Initiative Indirect'!A144,'Work Indirect'!AC:AC),"")</f>
        <v/>
      </c>
      <c r="V144" s="3" t="str">
        <f ca="1">IF(A144&lt;&gt;"",IF(F144="",IF(E144="","",INDEX(Priorities[Color],MATCH(E144,Priorities[Priorities],0),0)),F144),"")</f>
        <v/>
      </c>
      <c r="W144" s="3" t="str">
        <f ca="1">IF(B144&lt;&gt;"",INDEX('Strategy Indirect'!$T:$T,MATCH(B144,'Strategy Indirect'!$A:$A,0)),"")</f>
        <v/>
      </c>
      <c r="X144" s="3" t="str">
        <f ca="1">IF(C144&lt;&gt;"",INDEX('Strategy Indirect'!$T:$T,MATCH(C144,'Strategy Indirect'!$A:$A,0)),"")</f>
        <v/>
      </c>
      <c r="Y144" s="3" t="str">
        <f ca="1">IF(D144&lt;&gt;"",INDEX('Strategy Indirect'!$T:$T,MATCH(D144,'Strategy Indirect'!$A:$A,0)),"")</f>
        <v/>
      </c>
      <c r="Z144" s="3" t="str">
        <f t="shared" ca="1" si="2"/>
        <v/>
      </c>
      <c r="AA144" s="159" t="str">
        <f ca="1">IF($A144&lt;&gt;"", IF(B144&lt;&gt;"",$U144/$Z144,""),"")</f>
        <v/>
      </c>
      <c r="AB144" s="159" t="str">
        <f ca="1">IF($A144&lt;&gt;"", IF(C144&lt;&gt;"",$U144/$Z144,""),"")</f>
        <v/>
      </c>
      <c r="AC144" s="159" t="str">
        <f ca="1">IF($A144&lt;&gt;"", IF(D144&lt;&gt;"",$U144/$Z144,""),"")</f>
        <v/>
      </c>
    </row>
    <row r="145" spans="1:29"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159" t="str">
        <f ca="1">IF(B145&lt;&gt;"",SUMIF('Work Indirect'!B:B,'Initiative Indirect'!A145,'Work Indirect'!AC:AC),"")</f>
        <v/>
      </c>
      <c r="V145" s="3" t="str">
        <f ca="1">IF(A145&lt;&gt;"",IF(F145="",IF(E145="","",INDEX(Priorities[Color],MATCH(E145,Priorities[Priorities],0),0)),F145),"")</f>
        <v/>
      </c>
      <c r="W145" s="3" t="str">
        <f ca="1">IF(B145&lt;&gt;"",INDEX('Strategy Indirect'!$T:$T,MATCH(B145,'Strategy Indirect'!$A:$A,0)),"")</f>
        <v/>
      </c>
      <c r="X145" s="3" t="str">
        <f ca="1">IF(C145&lt;&gt;"",INDEX('Strategy Indirect'!$T:$T,MATCH(C145,'Strategy Indirect'!$A:$A,0)),"")</f>
        <v/>
      </c>
      <c r="Y145" s="3" t="str">
        <f ca="1">IF(D145&lt;&gt;"",INDEX('Strategy Indirect'!$T:$T,MATCH(D145,'Strategy Indirect'!$A:$A,0)),"")</f>
        <v/>
      </c>
      <c r="Z145" s="3" t="str">
        <f t="shared" ca="1" si="2"/>
        <v/>
      </c>
      <c r="AA145" s="159" t="str">
        <f ca="1">IF($A145&lt;&gt;"", IF(B145&lt;&gt;"",$U145/$Z145,""),"")</f>
        <v/>
      </c>
      <c r="AB145" s="159" t="str">
        <f ca="1">IF($A145&lt;&gt;"", IF(C145&lt;&gt;"",$U145/$Z145,""),"")</f>
        <v/>
      </c>
      <c r="AC145" s="159" t="str">
        <f ca="1">IF($A145&lt;&gt;"", IF(D145&lt;&gt;"",$U145/$Z145,""),"")</f>
        <v/>
      </c>
    </row>
    <row r="146" spans="1:29"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159" t="str">
        <f ca="1">IF(B146&lt;&gt;"",SUMIF('Work Indirect'!B:B,'Initiative Indirect'!A146,'Work Indirect'!AC:AC),"")</f>
        <v/>
      </c>
      <c r="V146" s="3" t="str">
        <f ca="1">IF(A146&lt;&gt;"",IF(F146="",IF(E146="","",INDEX(Priorities[Color],MATCH(E146,Priorities[Priorities],0),0)),F146),"")</f>
        <v/>
      </c>
      <c r="W146" s="3" t="str">
        <f ca="1">IF(B146&lt;&gt;"",INDEX('Strategy Indirect'!$T:$T,MATCH(B146,'Strategy Indirect'!$A:$A,0)),"")</f>
        <v/>
      </c>
      <c r="X146" s="3" t="str">
        <f ca="1">IF(C146&lt;&gt;"",INDEX('Strategy Indirect'!$T:$T,MATCH(C146,'Strategy Indirect'!$A:$A,0)),"")</f>
        <v/>
      </c>
      <c r="Y146" s="3" t="str">
        <f ca="1">IF(D146&lt;&gt;"",INDEX('Strategy Indirect'!$T:$T,MATCH(D146,'Strategy Indirect'!$A:$A,0)),"")</f>
        <v/>
      </c>
      <c r="Z146" s="3" t="str">
        <f t="shared" ca="1" si="2"/>
        <v/>
      </c>
      <c r="AA146" s="159" t="str">
        <f ca="1">IF($A146&lt;&gt;"", IF(B146&lt;&gt;"",$U146/$Z146,""),"")</f>
        <v/>
      </c>
      <c r="AB146" s="159" t="str">
        <f ca="1">IF($A146&lt;&gt;"", IF(C146&lt;&gt;"",$U146/$Z146,""),"")</f>
        <v/>
      </c>
      <c r="AC146" s="159" t="str">
        <f ca="1">IF($A146&lt;&gt;"", IF(D146&lt;&gt;"",$U146/$Z146,""),"")</f>
        <v/>
      </c>
    </row>
    <row r="147" spans="1:29"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159" t="str">
        <f ca="1">IF(B147&lt;&gt;"",SUMIF('Work Indirect'!B:B,'Initiative Indirect'!A147,'Work Indirect'!AC:AC),"")</f>
        <v/>
      </c>
      <c r="V147" s="3" t="str">
        <f ca="1">IF(A147&lt;&gt;"",IF(F147="",IF(E147="","",INDEX(Priorities[Color],MATCH(E147,Priorities[Priorities],0),0)),F147),"")</f>
        <v/>
      </c>
      <c r="W147" s="3" t="str">
        <f ca="1">IF(B147&lt;&gt;"",INDEX('Strategy Indirect'!$T:$T,MATCH(B147,'Strategy Indirect'!$A:$A,0)),"")</f>
        <v/>
      </c>
      <c r="X147" s="3" t="str">
        <f ca="1">IF(C147&lt;&gt;"",INDEX('Strategy Indirect'!$T:$T,MATCH(C147,'Strategy Indirect'!$A:$A,0)),"")</f>
        <v/>
      </c>
      <c r="Y147" s="3" t="str">
        <f ca="1">IF(D147&lt;&gt;"",INDEX('Strategy Indirect'!$T:$T,MATCH(D147,'Strategy Indirect'!$A:$A,0)),"")</f>
        <v/>
      </c>
      <c r="Z147" s="3" t="str">
        <f t="shared" ca="1" si="2"/>
        <v/>
      </c>
      <c r="AA147" s="159" t="str">
        <f ca="1">IF($A147&lt;&gt;"", IF(B147&lt;&gt;"",$U147/$Z147,""),"")</f>
        <v/>
      </c>
      <c r="AB147" s="159" t="str">
        <f ca="1">IF($A147&lt;&gt;"", IF(C147&lt;&gt;"",$U147/$Z147,""),"")</f>
        <v/>
      </c>
      <c r="AC147" s="159" t="str">
        <f ca="1">IF($A147&lt;&gt;"", IF(D147&lt;&gt;"",$U147/$Z147,""),"")</f>
        <v/>
      </c>
    </row>
    <row r="148" spans="1:29"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159" t="str">
        <f ca="1">IF(B148&lt;&gt;"",SUMIF('Work Indirect'!B:B,'Initiative Indirect'!A148,'Work Indirect'!AC:AC),"")</f>
        <v/>
      </c>
      <c r="V148" s="3" t="str">
        <f ca="1">IF(A148&lt;&gt;"",IF(F148="",IF(E148="","",INDEX(Priorities[Color],MATCH(E148,Priorities[Priorities],0),0)),F148),"")</f>
        <v/>
      </c>
      <c r="W148" s="3" t="str">
        <f ca="1">IF(B148&lt;&gt;"",INDEX('Strategy Indirect'!$T:$T,MATCH(B148,'Strategy Indirect'!$A:$A,0)),"")</f>
        <v/>
      </c>
      <c r="X148" s="3" t="str">
        <f ca="1">IF(C148&lt;&gt;"",INDEX('Strategy Indirect'!$T:$T,MATCH(C148,'Strategy Indirect'!$A:$A,0)),"")</f>
        <v/>
      </c>
      <c r="Y148" s="3" t="str">
        <f ca="1">IF(D148&lt;&gt;"",INDEX('Strategy Indirect'!$T:$T,MATCH(D148,'Strategy Indirect'!$A:$A,0)),"")</f>
        <v/>
      </c>
      <c r="Z148" s="3" t="str">
        <f t="shared" ca="1" si="2"/>
        <v/>
      </c>
      <c r="AA148" s="159" t="str">
        <f ca="1">IF($A148&lt;&gt;"", IF(B148&lt;&gt;"",$U148/$Z148,""),"")</f>
        <v/>
      </c>
      <c r="AB148" s="159" t="str">
        <f ca="1">IF($A148&lt;&gt;"", IF(C148&lt;&gt;"",$U148/$Z148,""),"")</f>
        <v/>
      </c>
      <c r="AC148" s="159" t="str">
        <f ca="1">IF($A148&lt;&gt;"", IF(D148&lt;&gt;"",$U148/$Z148,""),"")</f>
        <v/>
      </c>
    </row>
    <row r="149" spans="1:29"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159" t="str">
        <f ca="1">IF(B149&lt;&gt;"",SUMIF('Work Indirect'!B:B,'Initiative Indirect'!A149,'Work Indirect'!AC:AC),"")</f>
        <v/>
      </c>
      <c r="V149" s="3" t="str">
        <f ca="1">IF(A149&lt;&gt;"",IF(F149="",IF(E149="","",INDEX(Priorities[Color],MATCH(E149,Priorities[Priorities],0),0)),F149),"")</f>
        <v/>
      </c>
      <c r="W149" s="3" t="str">
        <f ca="1">IF(B149&lt;&gt;"",INDEX('Strategy Indirect'!$T:$T,MATCH(B149,'Strategy Indirect'!$A:$A,0)),"")</f>
        <v/>
      </c>
      <c r="X149" s="3" t="str">
        <f ca="1">IF(C149&lt;&gt;"",INDEX('Strategy Indirect'!$T:$T,MATCH(C149,'Strategy Indirect'!$A:$A,0)),"")</f>
        <v/>
      </c>
      <c r="Y149" s="3" t="str">
        <f ca="1">IF(D149&lt;&gt;"",INDEX('Strategy Indirect'!$T:$T,MATCH(D149,'Strategy Indirect'!$A:$A,0)),"")</f>
        <v/>
      </c>
      <c r="Z149" s="3" t="str">
        <f t="shared" ca="1" si="2"/>
        <v/>
      </c>
      <c r="AA149" s="159" t="str">
        <f ca="1">IF($A149&lt;&gt;"", IF(B149&lt;&gt;"",$U149/$Z149,""),"")</f>
        <v/>
      </c>
      <c r="AB149" s="159" t="str">
        <f ca="1">IF($A149&lt;&gt;"", IF(C149&lt;&gt;"",$U149/$Z149,""),"")</f>
        <v/>
      </c>
      <c r="AC149" s="159" t="str">
        <f ca="1">IF($A149&lt;&gt;"", IF(D149&lt;&gt;"",$U149/$Z149,""),"")</f>
        <v/>
      </c>
    </row>
    <row r="150" spans="1:29"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159" t="str">
        <f ca="1">IF(B150&lt;&gt;"",SUMIF('Work Indirect'!B:B,'Initiative Indirect'!A150,'Work Indirect'!AC:AC),"")</f>
        <v/>
      </c>
      <c r="V150" s="3" t="str">
        <f ca="1">IF(A150&lt;&gt;"",IF(F150="",IF(E150="","",INDEX(Priorities[Color],MATCH(E150,Priorities[Priorities],0),0)),F150),"")</f>
        <v/>
      </c>
      <c r="W150" s="3" t="str">
        <f ca="1">IF(B150&lt;&gt;"",INDEX('Strategy Indirect'!$T:$T,MATCH(B150,'Strategy Indirect'!$A:$A,0)),"")</f>
        <v/>
      </c>
      <c r="X150" s="3" t="str">
        <f ca="1">IF(C150&lt;&gt;"",INDEX('Strategy Indirect'!$T:$T,MATCH(C150,'Strategy Indirect'!$A:$A,0)),"")</f>
        <v/>
      </c>
      <c r="Y150" s="3" t="str">
        <f ca="1">IF(D150&lt;&gt;"",INDEX('Strategy Indirect'!$T:$T,MATCH(D150,'Strategy Indirect'!$A:$A,0)),"")</f>
        <v/>
      </c>
      <c r="Z150" s="3" t="str">
        <f t="shared" ca="1" si="2"/>
        <v/>
      </c>
      <c r="AA150" s="159" t="str">
        <f ca="1">IF($A150&lt;&gt;"", IF(B150&lt;&gt;"",$U150/$Z150,""),"")</f>
        <v/>
      </c>
      <c r="AB150" s="159" t="str">
        <f ca="1">IF($A150&lt;&gt;"", IF(C150&lt;&gt;"",$U150/$Z150,""),"")</f>
        <v/>
      </c>
      <c r="AC150" s="159" t="str">
        <f ca="1">IF($A150&lt;&gt;"", IF(D150&lt;&gt;"",$U150/$Z150,""),"")</f>
        <v/>
      </c>
    </row>
    <row r="151" spans="1:29"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159" t="str">
        <f ca="1">IF(B151&lt;&gt;"",SUMIF('Work Indirect'!B:B,'Initiative Indirect'!A151,'Work Indirect'!AC:AC),"")</f>
        <v/>
      </c>
      <c r="V151" s="3" t="str">
        <f ca="1">IF(A151&lt;&gt;"",IF(F151="",IF(E151="","",INDEX(Priorities[Color],MATCH(E151,Priorities[Priorities],0),0)),F151),"")</f>
        <v/>
      </c>
      <c r="W151" s="3" t="str">
        <f ca="1">IF(B151&lt;&gt;"",INDEX('Strategy Indirect'!$T:$T,MATCH(B151,'Strategy Indirect'!$A:$A,0)),"")</f>
        <v/>
      </c>
      <c r="X151" s="3" t="str">
        <f ca="1">IF(C151&lt;&gt;"",INDEX('Strategy Indirect'!$T:$T,MATCH(C151,'Strategy Indirect'!$A:$A,0)),"")</f>
        <v/>
      </c>
      <c r="Y151" s="3" t="str">
        <f ca="1">IF(D151&lt;&gt;"",INDEX('Strategy Indirect'!$T:$T,MATCH(D151,'Strategy Indirect'!$A:$A,0)),"")</f>
        <v/>
      </c>
      <c r="Z151" s="3" t="str">
        <f t="shared" ca="1" si="2"/>
        <v/>
      </c>
      <c r="AA151" s="159" t="str">
        <f ca="1">IF($A151&lt;&gt;"", IF(B151&lt;&gt;"",$U151/$Z151,""),"")</f>
        <v/>
      </c>
      <c r="AB151" s="159" t="str">
        <f ca="1">IF($A151&lt;&gt;"", IF(C151&lt;&gt;"",$U151/$Z151,""),"")</f>
        <v/>
      </c>
      <c r="AC151" s="159" t="str">
        <f ca="1">IF($A151&lt;&gt;"", IF(D151&lt;&gt;"",$U151/$Z151,""),"")</f>
        <v/>
      </c>
    </row>
    <row r="152" spans="1:29"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159" t="str">
        <f ca="1">IF(B152&lt;&gt;"",SUMIF('Work Indirect'!B:B,'Initiative Indirect'!A152,'Work Indirect'!AC:AC),"")</f>
        <v/>
      </c>
      <c r="V152" s="3" t="str">
        <f ca="1">IF(A152&lt;&gt;"",IF(F152="",IF(E152="","",INDEX(Priorities[Color],MATCH(E152,Priorities[Priorities],0),0)),F152),"")</f>
        <v/>
      </c>
      <c r="W152" s="3" t="str">
        <f ca="1">IF(B152&lt;&gt;"",INDEX('Strategy Indirect'!$T:$T,MATCH(B152,'Strategy Indirect'!$A:$A,0)),"")</f>
        <v/>
      </c>
      <c r="X152" s="3" t="str">
        <f ca="1">IF(C152&lt;&gt;"",INDEX('Strategy Indirect'!$T:$T,MATCH(C152,'Strategy Indirect'!$A:$A,0)),"")</f>
        <v/>
      </c>
      <c r="Y152" s="3" t="str">
        <f ca="1">IF(D152&lt;&gt;"",INDEX('Strategy Indirect'!$T:$T,MATCH(D152,'Strategy Indirect'!$A:$A,0)),"")</f>
        <v/>
      </c>
      <c r="Z152" s="3" t="str">
        <f t="shared" ca="1" si="2"/>
        <v/>
      </c>
      <c r="AA152" s="159" t="str">
        <f ca="1">IF($A152&lt;&gt;"", IF(B152&lt;&gt;"",$U152/$Z152,""),"")</f>
        <v/>
      </c>
      <c r="AB152" s="159" t="str">
        <f ca="1">IF($A152&lt;&gt;"", IF(C152&lt;&gt;"",$U152/$Z152,""),"")</f>
        <v/>
      </c>
      <c r="AC152" s="159" t="str">
        <f ca="1">IF($A152&lt;&gt;"", IF(D152&lt;&gt;"",$U152/$Z152,""),"")</f>
        <v/>
      </c>
    </row>
    <row r="153" spans="1:29"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159" t="str">
        <f ca="1">IF(B153&lt;&gt;"",SUMIF('Work Indirect'!B:B,'Initiative Indirect'!A153,'Work Indirect'!AC:AC),"")</f>
        <v/>
      </c>
      <c r="V153" s="3" t="str">
        <f ca="1">IF(A153&lt;&gt;"",IF(F153="",IF(E153="","",INDEX(Priorities[Color],MATCH(E153,Priorities[Priorities],0),0)),F153),"")</f>
        <v/>
      </c>
      <c r="W153" s="3" t="str">
        <f ca="1">IF(B153&lt;&gt;"",INDEX('Strategy Indirect'!$T:$T,MATCH(B153,'Strategy Indirect'!$A:$A,0)),"")</f>
        <v/>
      </c>
      <c r="X153" s="3" t="str">
        <f ca="1">IF(C153&lt;&gt;"",INDEX('Strategy Indirect'!$T:$T,MATCH(C153,'Strategy Indirect'!$A:$A,0)),"")</f>
        <v/>
      </c>
      <c r="Y153" s="3" t="str">
        <f ca="1">IF(D153&lt;&gt;"",INDEX('Strategy Indirect'!$T:$T,MATCH(D153,'Strategy Indirect'!$A:$A,0)),"")</f>
        <v/>
      </c>
      <c r="Z153" s="3" t="str">
        <f t="shared" ca="1" si="2"/>
        <v/>
      </c>
      <c r="AA153" s="159" t="str">
        <f ca="1">IF($A153&lt;&gt;"", IF(B153&lt;&gt;"",$U153/$Z153,""),"")</f>
        <v/>
      </c>
      <c r="AB153" s="159" t="str">
        <f ca="1">IF($A153&lt;&gt;"", IF(C153&lt;&gt;"",$U153/$Z153,""),"")</f>
        <v/>
      </c>
      <c r="AC153" s="159" t="str">
        <f ca="1">IF($A153&lt;&gt;"", IF(D153&lt;&gt;"",$U153/$Z153,""),"")</f>
        <v/>
      </c>
    </row>
    <row r="154" spans="1:29"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159" t="str">
        <f ca="1">IF(B154&lt;&gt;"",SUMIF('Work Indirect'!B:B,'Initiative Indirect'!A154,'Work Indirect'!AC:AC),"")</f>
        <v/>
      </c>
      <c r="V154" s="3" t="str">
        <f ca="1">IF(A154&lt;&gt;"",IF(F154="",IF(E154="","",INDEX(Priorities[Color],MATCH(E154,Priorities[Priorities],0),0)),F154),"")</f>
        <v/>
      </c>
      <c r="W154" s="3" t="str">
        <f ca="1">IF(B154&lt;&gt;"",INDEX('Strategy Indirect'!$T:$T,MATCH(B154,'Strategy Indirect'!$A:$A,0)),"")</f>
        <v/>
      </c>
      <c r="X154" s="3" t="str">
        <f ca="1">IF(C154&lt;&gt;"",INDEX('Strategy Indirect'!$T:$T,MATCH(C154,'Strategy Indirect'!$A:$A,0)),"")</f>
        <v/>
      </c>
      <c r="Y154" s="3" t="str">
        <f ca="1">IF(D154&lt;&gt;"",INDEX('Strategy Indirect'!$T:$T,MATCH(D154,'Strategy Indirect'!$A:$A,0)),"")</f>
        <v/>
      </c>
      <c r="Z154" s="3" t="str">
        <f t="shared" ca="1" si="2"/>
        <v/>
      </c>
      <c r="AA154" s="159" t="str">
        <f ca="1">IF($A154&lt;&gt;"", IF(B154&lt;&gt;"",$U154/$Z154,""),"")</f>
        <v/>
      </c>
      <c r="AB154" s="159" t="str">
        <f ca="1">IF($A154&lt;&gt;"", IF(C154&lt;&gt;"",$U154/$Z154,""),"")</f>
        <v/>
      </c>
      <c r="AC154" s="159" t="str">
        <f ca="1">IF($A154&lt;&gt;"", IF(D154&lt;&gt;"",$U154/$Z154,""),"")</f>
        <v/>
      </c>
    </row>
    <row r="155" spans="1:29"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159" t="str">
        <f ca="1">IF(B155&lt;&gt;"",SUMIF('Work Indirect'!B:B,'Initiative Indirect'!A155,'Work Indirect'!AC:AC),"")</f>
        <v/>
      </c>
      <c r="V155" s="3" t="str">
        <f ca="1">IF(A155&lt;&gt;"",IF(F155="",IF(E155="","",INDEX(Priorities[Color],MATCH(E155,Priorities[Priorities],0),0)),F155),"")</f>
        <v/>
      </c>
      <c r="W155" s="3" t="str">
        <f ca="1">IF(B155&lt;&gt;"",INDEX('Strategy Indirect'!$T:$T,MATCH(B155,'Strategy Indirect'!$A:$A,0)),"")</f>
        <v/>
      </c>
      <c r="X155" s="3" t="str">
        <f ca="1">IF(C155&lt;&gt;"",INDEX('Strategy Indirect'!$T:$T,MATCH(C155,'Strategy Indirect'!$A:$A,0)),"")</f>
        <v/>
      </c>
      <c r="Y155" s="3" t="str">
        <f ca="1">IF(D155&lt;&gt;"",INDEX('Strategy Indirect'!$T:$T,MATCH(D155,'Strategy Indirect'!$A:$A,0)),"")</f>
        <v/>
      </c>
      <c r="Z155" s="3" t="str">
        <f t="shared" ca="1" si="2"/>
        <v/>
      </c>
      <c r="AA155" s="159" t="str">
        <f ca="1">IF($A155&lt;&gt;"", IF(B155&lt;&gt;"",$U155/$Z155,""),"")</f>
        <v/>
      </c>
      <c r="AB155" s="159" t="str">
        <f ca="1">IF($A155&lt;&gt;"", IF(C155&lt;&gt;"",$U155/$Z155,""),"")</f>
        <v/>
      </c>
      <c r="AC155" s="159" t="str">
        <f ca="1">IF($A155&lt;&gt;"", IF(D155&lt;&gt;"",$U155/$Z155,""),"")</f>
        <v/>
      </c>
    </row>
    <row r="156" spans="1:29"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159" t="str">
        <f ca="1">IF(B156&lt;&gt;"",SUMIF('Work Indirect'!B:B,'Initiative Indirect'!A156,'Work Indirect'!AC:AC),"")</f>
        <v/>
      </c>
      <c r="V156" s="3" t="str">
        <f ca="1">IF(A156&lt;&gt;"",IF(F156="",IF(E156="","",INDEX(Priorities[Color],MATCH(E156,Priorities[Priorities],0),0)),F156),"")</f>
        <v/>
      </c>
      <c r="W156" s="3" t="str">
        <f ca="1">IF(B156&lt;&gt;"",INDEX('Strategy Indirect'!$T:$T,MATCH(B156,'Strategy Indirect'!$A:$A,0)),"")</f>
        <v/>
      </c>
      <c r="X156" s="3" t="str">
        <f ca="1">IF(C156&lt;&gt;"",INDEX('Strategy Indirect'!$T:$T,MATCH(C156,'Strategy Indirect'!$A:$A,0)),"")</f>
        <v/>
      </c>
      <c r="Y156" s="3" t="str">
        <f ca="1">IF(D156&lt;&gt;"",INDEX('Strategy Indirect'!$T:$T,MATCH(D156,'Strategy Indirect'!$A:$A,0)),"")</f>
        <v/>
      </c>
      <c r="Z156" s="3" t="str">
        <f t="shared" ca="1" si="2"/>
        <v/>
      </c>
      <c r="AA156" s="159" t="str">
        <f ca="1">IF($A156&lt;&gt;"", IF(B156&lt;&gt;"",$U156/$Z156,""),"")</f>
        <v/>
      </c>
      <c r="AB156" s="159" t="str">
        <f ca="1">IF($A156&lt;&gt;"", IF(C156&lt;&gt;"",$U156/$Z156,""),"")</f>
        <v/>
      </c>
      <c r="AC156" s="159" t="str">
        <f ca="1">IF($A156&lt;&gt;"", IF(D156&lt;&gt;"",$U156/$Z156,""),"")</f>
        <v/>
      </c>
    </row>
    <row r="157" spans="1:29"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159" t="str">
        <f ca="1">IF(B157&lt;&gt;"",SUMIF('Work Indirect'!B:B,'Initiative Indirect'!A157,'Work Indirect'!AC:AC),"")</f>
        <v/>
      </c>
      <c r="V157" s="3" t="str">
        <f ca="1">IF(A157&lt;&gt;"",IF(F157="",IF(E157="","",INDEX(Priorities[Color],MATCH(E157,Priorities[Priorities],0),0)),F157),"")</f>
        <v/>
      </c>
      <c r="W157" s="3" t="str">
        <f ca="1">IF(B157&lt;&gt;"",INDEX('Strategy Indirect'!$T:$T,MATCH(B157,'Strategy Indirect'!$A:$A,0)),"")</f>
        <v/>
      </c>
      <c r="X157" s="3" t="str">
        <f ca="1">IF(C157&lt;&gt;"",INDEX('Strategy Indirect'!$T:$T,MATCH(C157,'Strategy Indirect'!$A:$A,0)),"")</f>
        <v/>
      </c>
      <c r="Y157" s="3" t="str">
        <f ca="1">IF(D157&lt;&gt;"",INDEX('Strategy Indirect'!$T:$T,MATCH(D157,'Strategy Indirect'!$A:$A,0)),"")</f>
        <v/>
      </c>
      <c r="Z157" s="3" t="str">
        <f t="shared" ca="1" si="2"/>
        <v/>
      </c>
      <c r="AA157" s="159" t="str">
        <f ca="1">IF($A157&lt;&gt;"", IF(B157&lt;&gt;"",$U157/$Z157,""),"")</f>
        <v/>
      </c>
      <c r="AB157" s="159" t="str">
        <f ca="1">IF($A157&lt;&gt;"", IF(C157&lt;&gt;"",$U157/$Z157,""),"")</f>
        <v/>
      </c>
      <c r="AC157" s="159" t="str">
        <f ca="1">IF($A157&lt;&gt;"", IF(D157&lt;&gt;"",$U157/$Z157,""),"")</f>
        <v/>
      </c>
    </row>
    <row r="158" spans="1:29"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159" t="str">
        <f ca="1">IF(B158&lt;&gt;"",SUMIF('Work Indirect'!B:B,'Initiative Indirect'!A158,'Work Indirect'!AC:AC),"")</f>
        <v/>
      </c>
      <c r="V158" s="3" t="str">
        <f ca="1">IF(A158&lt;&gt;"",IF(F158="",IF(E158="","",INDEX(Priorities[Color],MATCH(E158,Priorities[Priorities],0),0)),F158),"")</f>
        <v/>
      </c>
      <c r="W158" s="3" t="str">
        <f ca="1">IF(B158&lt;&gt;"",INDEX('Strategy Indirect'!$T:$T,MATCH(B158,'Strategy Indirect'!$A:$A,0)),"")</f>
        <v/>
      </c>
      <c r="X158" s="3" t="str">
        <f ca="1">IF(C158&lt;&gt;"",INDEX('Strategy Indirect'!$T:$T,MATCH(C158,'Strategy Indirect'!$A:$A,0)),"")</f>
        <v/>
      </c>
      <c r="Y158" s="3" t="str">
        <f ca="1">IF(D158&lt;&gt;"",INDEX('Strategy Indirect'!$T:$T,MATCH(D158,'Strategy Indirect'!$A:$A,0)),"")</f>
        <v/>
      </c>
      <c r="Z158" s="3" t="str">
        <f t="shared" ca="1" si="2"/>
        <v/>
      </c>
      <c r="AA158" s="159" t="str">
        <f ca="1">IF($A158&lt;&gt;"", IF(B158&lt;&gt;"",$U158/$Z158,""),"")</f>
        <v/>
      </c>
      <c r="AB158" s="159" t="str">
        <f ca="1">IF($A158&lt;&gt;"", IF(C158&lt;&gt;"",$U158/$Z158,""),"")</f>
        <v/>
      </c>
      <c r="AC158" s="159" t="str">
        <f ca="1">IF($A158&lt;&gt;"", IF(D158&lt;&gt;"",$U158/$Z158,""),"")</f>
        <v/>
      </c>
    </row>
    <row r="159" spans="1:29"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159" t="str">
        <f ca="1">IF(B159&lt;&gt;"",SUMIF('Work Indirect'!B:B,'Initiative Indirect'!A159,'Work Indirect'!AC:AC),"")</f>
        <v/>
      </c>
      <c r="V159" s="3" t="str">
        <f ca="1">IF(A159&lt;&gt;"",IF(F159="",IF(E159="","",INDEX(Priorities[Color],MATCH(E159,Priorities[Priorities],0),0)),F159),"")</f>
        <v/>
      </c>
      <c r="W159" s="3" t="str">
        <f ca="1">IF(B159&lt;&gt;"",INDEX('Strategy Indirect'!$T:$T,MATCH(B159,'Strategy Indirect'!$A:$A,0)),"")</f>
        <v/>
      </c>
      <c r="X159" s="3" t="str">
        <f ca="1">IF(C159&lt;&gt;"",INDEX('Strategy Indirect'!$T:$T,MATCH(C159,'Strategy Indirect'!$A:$A,0)),"")</f>
        <v/>
      </c>
      <c r="Y159" s="3" t="str">
        <f ca="1">IF(D159&lt;&gt;"",INDEX('Strategy Indirect'!$T:$T,MATCH(D159,'Strategy Indirect'!$A:$A,0)),"")</f>
        <v/>
      </c>
      <c r="Z159" s="3" t="str">
        <f t="shared" ca="1" si="2"/>
        <v/>
      </c>
      <c r="AA159" s="159" t="str">
        <f ca="1">IF($A159&lt;&gt;"", IF(B159&lt;&gt;"",$U159/$Z159,""),"")</f>
        <v/>
      </c>
      <c r="AB159" s="159" t="str">
        <f ca="1">IF($A159&lt;&gt;"", IF(C159&lt;&gt;"",$U159/$Z159,""),"")</f>
        <v/>
      </c>
      <c r="AC159" s="159" t="str">
        <f ca="1">IF($A159&lt;&gt;"", IF(D159&lt;&gt;"",$U159/$Z159,""),"")</f>
        <v/>
      </c>
    </row>
    <row r="160" spans="1:29"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159" t="str">
        <f ca="1">IF(B160&lt;&gt;"",SUMIF('Work Indirect'!B:B,'Initiative Indirect'!A160,'Work Indirect'!AC:AC),"")</f>
        <v/>
      </c>
      <c r="V160" s="3" t="str">
        <f ca="1">IF(A160&lt;&gt;"",IF(F160="",IF(E160="","",INDEX(Priorities[Color],MATCH(E160,Priorities[Priorities],0),0)),F160),"")</f>
        <v/>
      </c>
      <c r="W160" s="3" t="str">
        <f ca="1">IF(B160&lt;&gt;"",INDEX('Strategy Indirect'!$T:$T,MATCH(B160,'Strategy Indirect'!$A:$A,0)),"")</f>
        <v/>
      </c>
      <c r="X160" s="3" t="str">
        <f ca="1">IF(C160&lt;&gt;"",INDEX('Strategy Indirect'!$T:$T,MATCH(C160,'Strategy Indirect'!$A:$A,0)),"")</f>
        <v/>
      </c>
      <c r="Y160" s="3" t="str">
        <f ca="1">IF(D160&lt;&gt;"",INDEX('Strategy Indirect'!$T:$T,MATCH(D160,'Strategy Indirect'!$A:$A,0)),"")</f>
        <v/>
      </c>
      <c r="Z160" s="3" t="str">
        <f t="shared" ca="1" si="2"/>
        <v/>
      </c>
      <c r="AA160" s="159" t="str">
        <f ca="1">IF($A160&lt;&gt;"", IF(B160&lt;&gt;"",$U160/$Z160,""),"")</f>
        <v/>
      </c>
      <c r="AB160" s="159" t="str">
        <f ca="1">IF($A160&lt;&gt;"", IF(C160&lt;&gt;"",$U160/$Z160,""),"")</f>
        <v/>
      </c>
      <c r="AC160" s="159" t="str">
        <f ca="1">IF($A160&lt;&gt;"", IF(D160&lt;&gt;"",$U160/$Z160,""),"")</f>
        <v/>
      </c>
    </row>
    <row r="161" spans="1:29"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159" t="str">
        <f ca="1">IF(B161&lt;&gt;"",SUMIF('Work Indirect'!B:B,'Initiative Indirect'!A161,'Work Indirect'!AC:AC),"")</f>
        <v/>
      </c>
      <c r="V161" s="3" t="str">
        <f ca="1">IF(A161&lt;&gt;"",IF(F161="",IF(E161="","",INDEX(Priorities[Color],MATCH(E161,Priorities[Priorities],0),0)),F161),"")</f>
        <v/>
      </c>
      <c r="W161" s="3" t="str">
        <f ca="1">IF(B161&lt;&gt;"",INDEX('Strategy Indirect'!$T:$T,MATCH(B161,'Strategy Indirect'!$A:$A,0)),"")</f>
        <v/>
      </c>
      <c r="X161" s="3" t="str">
        <f ca="1">IF(C161&lt;&gt;"",INDEX('Strategy Indirect'!$T:$T,MATCH(C161,'Strategy Indirect'!$A:$A,0)),"")</f>
        <v/>
      </c>
      <c r="Y161" s="3" t="str">
        <f ca="1">IF(D161&lt;&gt;"",INDEX('Strategy Indirect'!$T:$T,MATCH(D161,'Strategy Indirect'!$A:$A,0)),"")</f>
        <v/>
      </c>
      <c r="Z161" s="3" t="str">
        <f t="shared" ca="1" si="2"/>
        <v/>
      </c>
      <c r="AA161" s="159" t="str">
        <f ca="1">IF($A161&lt;&gt;"", IF(B161&lt;&gt;"",$U161/$Z161,""),"")</f>
        <v/>
      </c>
      <c r="AB161" s="159" t="str">
        <f ca="1">IF($A161&lt;&gt;"", IF(C161&lt;&gt;"",$U161/$Z161,""),"")</f>
        <v/>
      </c>
      <c r="AC161" s="159" t="str">
        <f ca="1">IF($A161&lt;&gt;"", IF(D161&lt;&gt;"",$U161/$Z161,""),"")</f>
        <v/>
      </c>
    </row>
    <row r="162" spans="1:29"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159" t="str">
        <f ca="1">IF(B162&lt;&gt;"",SUMIF('Work Indirect'!B:B,'Initiative Indirect'!A162,'Work Indirect'!AC:AC),"")</f>
        <v/>
      </c>
      <c r="V162" s="3" t="str">
        <f ca="1">IF(A162&lt;&gt;"",IF(F162="",IF(E162="","",INDEX(Priorities[Color],MATCH(E162,Priorities[Priorities],0),0)),F162),"")</f>
        <v/>
      </c>
      <c r="W162" s="3" t="str">
        <f ca="1">IF(B162&lt;&gt;"",INDEX('Strategy Indirect'!$T:$T,MATCH(B162,'Strategy Indirect'!$A:$A,0)),"")</f>
        <v/>
      </c>
      <c r="X162" s="3" t="str">
        <f ca="1">IF(C162&lt;&gt;"",INDEX('Strategy Indirect'!$T:$T,MATCH(C162,'Strategy Indirect'!$A:$A,0)),"")</f>
        <v/>
      </c>
      <c r="Y162" s="3" t="str">
        <f ca="1">IF(D162&lt;&gt;"",INDEX('Strategy Indirect'!$T:$T,MATCH(D162,'Strategy Indirect'!$A:$A,0)),"")</f>
        <v/>
      </c>
      <c r="Z162" s="3" t="str">
        <f t="shared" ca="1" si="2"/>
        <v/>
      </c>
      <c r="AA162" s="159" t="str">
        <f ca="1">IF($A162&lt;&gt;"", IF(B162&lt;&gt;"",$U162/$Z162,""),"")</f>
        <v/>
      </c>
      <c r="AB162" s="159" t="str">
        <f ca="1">IF($A162&lt;&gt;"", IF(C162&lt;&gt;"",$U162/$Z162,""),"")</f>
        <v/>
      </c>
      <c r="AC162" s="159" t="str">
        <f ca="1">IF($A162&lt;&gt;"", IF(D162&lt;&gt;"",$U162/$Z162,""),"")</f>
        <v/>
      </c>
    </row>
    <row r="163" spans="1:29"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159" t="str">
        <f ca="1">IF(B163&lt;&gt;"",SUMIF('Work Indirect'!B:B,'Initiative Indirect'!A163,'Work Indirect'!AC:AC),"")</f>
        <v/>
      </c>
      <c r="V163" s="3" t="str">
        <f ca="1">IF(A163&lt;&gt;"",IF(F163="",IF(E163="","",INDEX(Priorities[Color],MATCH(E163,Priorities[Priorities],0),0)),F163),"")</f>
        <v/>
      </c>
      <c r="W163" s="3" t="str">
        <f ca="1">IF(B163&lt;&gt;"",INDEX('Strategy Indirect'!$T:$T,MATCH(B163,'Strategy Indirect'!$A:$A,0)),"")</f>
        <v/>
      </c>
      <c r="X163" s="3" t="str">
        <f ca="1">IF(C163&lt;&gt;"",INDEX('Strategy Indirect'!$T:$T,MATCH(C163,'Strategy Indirect'!$A:$A,0)),"")</f>
        <v/>
      </c>
      <c r="Y163" s="3" t="str">
        <f ca="1">IF(D163&lt;&gt;"",INDEX('Strategy Indirect'!$T:$T,MATCH(D163,'Strategy Indirect'!$A:$A,0)),"")</f>
        <v/>
      </c>
      <c r="Z163" s="3" t="str">
        <f t="shared" ca="1" si="2"/>
        <v/>
      </c>
      <c r="AA163" s="159" t="str">
        <f ca="1">IF($A163&lt;&gt;"", IF(B163&lt;&gt;"",$U163/$Z163,""),"")</f>
        <v/>
      </c>
      <c r="AB163" s="159" t="str">
        <f ca="1">IF($A163&lt;&gt;"", IF(C163&lt;&gt;"",$U163/$Z163,""),"")</f>
        <v/>
      </c>
      <c r="AC163" s="159" t="str">
        <f ca="1">IF($A163&lt;&gt;"", IF(D163&lt;&gt;"",$U163/$Z163,""),"")</f>
        <v/>
      </c>
    </row>
    <row r="164" spans="1:29"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159" t="str">
        <f ca="1">IF(B164&lt;&gt;"",SUMIF('Work Indirect'!B:B,'Initiative Indirect'!A164,'Work Indirect'!AC:AC),"")</f>
        <v/>
      </c>
      <c r="V164" s="3" t="str">
        <f ca="1">IF(A164&lt;&gt;"",IF(F164="",IF(E164="","",INDEX(Priorities[Color],MATCH(E164,Priorities[Priorities],0),0)),F164),"")</f>
        <v/>
      </c>
      <c r="W164" s="3" t="str">
        <f ca="1">IF(B164&lt;&gt;"",INDEX('Strategy Indirect'!$T:$T,MATCH(B164,'Strategy Indirect'!$A:$A,0)),"")</f>
        <v/>
      </c>
      <c r="X164" s="3" t="str">
        <f ca="1">IF(C164&lt;&gt;"",INDEX('Strategy Indirect'!$T:$T,MATCH(C164,'Strategy Indirect'!$A:$A,0)),"")</f>
        <v/>
      </c>
      <c r="Y164" s="3" t="str">
        <f ca="1">IF(D164&lt;&gt;"",INDEX('Strategy Indirect'!$T:$T,MATCH(D164,'Strategy Indirect'!$A:$A,0)),"")</f>
        <v/>
      </c>
      <c r="Z164" s="3" t="str">
        <f t="shared" ca="1" si="2"/>
        <v/>
      </c>
      <c r="AA164" s="159" t="str">
        <f ca="1">IF($A164&lt;&gt;"", IF(B164&lt;&gt;"",$U164/$Z164,""),"")</f>
        <v/>
      </c>
      <c r="AB164" s="159" t="str">
        <f ca="1">IF($A164&lt;&gt;"", IF(C164&lt;&gt;"",$U164/$Z164,""),"")</f>
        <v/>
      </c>
      <c r="AC164" s="159" t="str">
        <f ca="1">IF($A164&lt;&gt;"", IF(D164&lt;&gt;"",$U164/$Z164,""),"")</f>
        <v/>
      </c>
    </row>
    <row r="165" spans="1:29"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159" t="str">
        <f ca="1">IF(B165&lt;&gt;"",SUMIF('Work Indirect'!B:B,'Initiative Indirect'!A165,'Work Indirect'!AC:AC),"")</f>
        <v/>
      </c>
      <c r="V165" s="3" t="str">
        <f ca="1">IF(A165&lt;&gt;"",IF(F165="",IF(E165="","",INDEX(Priorities[Color],MATCH(E165,Priorities[Priorities],0),0)),F165),"")</f>
        <v/>
      </c>
      <c r="W165" s="3" t="str">
        <f ca="1">IF(B165&lt;&gt;"",INDEX('Strategy Indirect'!$T:$T,MATCH(B165,'Strategy Indirect'!$A:$A,0)),"")</f>
        <v/>
      </c>
      <c r="X165" s="3" t="str">
        <f ca="1">IF(C165&lt;&gt;"",INDEX('Strategy Indirect'!$T:$T,MATCH(C165,'Strategy Indirect'!$A:$A,0)),"")</f>
        <v/>
      </c>
      <c r="Y165" s="3" t="str">
        <f ca="1">IF(D165&lt;&gt;"",INDEX('Strategy Indirect'!$T:$T,MATCH(D165,'Strategy Indirect'!$A:$A,0)),"")</f>
        <v/>
      </c>
      <c r="Z165" s="3" t="str">
        <f t="shared" ca="1" si="2"/>
        <v/>
      </c>
      <c r="AA165" s="159" t="str">
        <f ca="1">IF($A165&lt;&gt;"", IF(B165&lt;&gt;"",$U165/$Z165,""),"")</f>
        <v/>
      </c>
      <c r="AB165" s="159" t="str">
        <f ca="1">IF($A165&lt;&gt;"", IF(C165&lt;&gt;"",$U165/$Z165,""),"")</f>
        <v/>
      </c>
      <c r="AC165" s="159" t="str">
        <f ca="1">IF($A165&lt;&gt;"", IF(D165&lt;&gt;"",$U165/$Z165,""),"")</f>
        <v/>
      </c>
    </row>
    <row r="166" spans="1:29"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159" t="str">
        <f ca="1">IF(B166&lt;&gt;"",SUMIF('Work Indirect'!B:B,'Initiative Indirect'!A166,'Work Indirect'!AC:AC),"")</f>
        <v/>
      </c>
      <c r="V166" s="3" t="str">
        <f ca="1">IF(A166&lt;&gt;"",IF(F166="",IF(E166="","",INDEX(Priorities[Color],MATCH(E166,Priorities[Priorities],0),0)),F166),"")</f>
        <v/>
      </c>
      <c r="W166" s="3" t="str">
        <f ca="1">IF(B166&lt;&gt;"",INDEX('Strategy Indirect'!$T:$T,MATCH(B166,'Strategy Indirect'!$A:$A,0)),"")</f>
        <v/>
      </c>
      <c r="X166" s="3" t="str">
        <f ca="1">IF(C166&lt;&gt;"",INDEX('Strategy Indirect'!$T:$T,MATCH(C166,'Strategy Indirect'!$A:$A,0)),"")</f>
        <v/>
      </c>
      <c r="Y166" s="3" t="str">
        <f ca="1">IF(D166&lt;&gt;"",INDEX('Strategy Indirect'!$T:$T,MATCH(D166,'Strategy Indirect'!$A:$A,0)),"")</f>
        <v/>
      </c>
      <c r="Z166" s="3" t="str">
        <f t="shared" ca="1" si="2"/>
        <v/>
      </c>
      <c r="AA166" s="159" t="str">
        <f ca="1">IF($A166&lt;&gt;"", IF(B166&lt;&gt;"",$U166/$Z166,""),"")</f>
        <v/>
      </c>
      <c r="AB166" s="159" t="str">
        <f ca="1">IF($A166&lt;&gt;"", IF(C166&lt;&gt;"",$U166/$Z166,""),"")</f>
        <v/>
      </c>
      <c r="AC166" s="159" t="str">
        <f ca="1">IF($A166&lt;&gt;"", IF(D166&lt;&gt;"",$U166/$Z166,""),"")</f>
        <v/>
      </c>
    </row>
    <row r="167" spans="1:29"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159" t="str">
        <f ca="1">IF(B167&lt;&gt;"",SUMIF('Work Indirect'!B:B,'Initiative Indirect'!A167,'Work Indirect'!AC:AC),"")</f>
        <v/>
      </c>
      <c r="V167" s="3" t="str">
        <f ca="1">IF(A167&lt;&gt;"",IF(F167="",IF(E167="","",INDEX(Priorities[Color],MATCH(E167,Priorities[Priorities],0),0)),F167),"")</f>
        <v/>
      </c>
      <c r="W167" s="3" t="str">
        <f ca="1">IF(B167&lt;&gt;"",INDEX('Strategy Indirect'!$T:$T,MATCH(B167,'Strategy Indirect'!$A:$A,0)),"")</f>
        <v/>
      </c>
      <c r="X167" s="3" t="str">
        <f ca="1">IF(C167&lt;&gt;"",INDEX('Strategy Indirect'!$T:$T,MATCH(C167,'Strategy Indirect'!$A:$A,0)),"")</f>
        <v/>
      </c>
      <c r="Y167" s="3" t="str">
        <f ca="1">IF(D167&lt;&gt;"",INDEX('Strategy Indirect'!$T:$T,MATCH(D167,'Strategy Indirect'!$A:$A,0)),"")</f>
        <v/>
      </c>
      <c r="Z167" s="3" t="str">
        <f t="shared" ca="1" si="2"/>
        <v/>
      </c>
      <c r="AA167" s="159" t="str">
        <f ca="1">IF($A167&lt;&gt;"", IF(B167&lt;&gt;"",$U167/$Z167,""),"")</f>
        <v/>
      </c>
      <c r="AB167" s="159" t="str">
        <f ca="1">IF($A167&lt;&gt;"", IF(C167&lt;&gt;"",$U167/$Z167,""),"")</f>
        <v/>
      </c>
      <c r="AC167" s="159" t="str">
        <f ca="1">IF($A167&lt;&gt;"", IF(D167&lt;&gt;"",$U167/$Z167,""),"")</f>
        <v/>
      </c>
    </row>
    <row r="168" spans="1:29"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159" t="str">
        <f ca="1">IF(B168&lt;&gt;"",SUMIF('Work Indirect'!B:B,'Initiative Indirect'!A168,'Work Indirect'!AC:AC),"")</f>
        <v/>
      </c>
      <c r="V168" s="3" t="str">
        <f ca="1">IF(A168&lt;&gt;"",IF(F168="",IF(E168="","",INDEX(Priorities[Color],MATCH(E168,Priorities[Priorities],0),0)),F168),"")</f>
        <v/>
      </c>
      <c r="W168" s="3" t="str">
        <f ca="1">IF(B168&lt;&gt;"",INDEX('Strategy Indirect'!$T:$T,MATCH(B168,'Strategy Indirect'!$A:$A,0)),"")</f>
        <v/>
      </c>
      <c r="X168" s="3" t="str">
        <f ca="1">IF(C168&lt;&gt;"",INDEX('Strategy Indirect'!$T:$T,MATCH(C168,'Strategy Indirect'!$A:$A,0)),"")</f>
        <v/>
      </c>
      <c r="Y168" s="3" t="str">
        <f ca="1">IF(D168&lt;&gt;"",INDEX('Strategy Indirect'!$T:$T,MATCH(D168,'Strategy Indirect'!$A:$A,0)),"")</f>
        <v/>
      </c>
      <c r="Z168" s="3" t="str">
        <f t="shared" ca="1" si="2"/>
        <v/>
      </c>
      <c r="AA168" s="159" t="str">
        <f ca="1">IF($A168&lt;&gt;"", IF(B168&lt;&gt;"",$U168/$Z168,""),"")</f>
        <v/>
      </c>
      <c r="AB168" s="159" t="str">
        <f ca="1">IF($A168&lt;&gt;"", IF(C168&lt;&gt;"",$U168/$Z168,""),"")</f>
        <v/>
      </c>
      <c r="AC168" s="159" t="str">
        <f ca="1">IF($A168&lt;&gt;"", IF(D168&lt;&gt;"",$U168/$Z168,""),"")</f>
        <v/>
      </c>
    </row>
    <row r="169" spans="1:29"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159" t="str">
        <f ca="1">IF(B169&lt;&gt;"",SUMIF('Work Indirect'!B:B,'Initiative Indirect'!A169,'Work Indirect'!AC:AC),"")</f>
        <v/>
      </c>
      <c r="V169" s="3" t="str">
        <f ca="1">IF(A169&lt;&gt;"",IF(F169="",IF(E169="","",INDEX(Priorities[Color],MATCH(E169,Priorities[Priorities],0),0)),F169),"")</f>
        <v/>
      </c>
      <c r="W169" s="3" t="str">
        <f ca="1">IF(B169&lt;&gt;"",INDEX('Strategy Indirect'!$T:$T,MATCH(B169,'Strategy Indirect'!$A:$A,0)),"")</f>
        <v/>
      </c>
      <c r="X169" s="3" t="str">
        <f ca="1">IF(C169&lt;&gt;"",INDEX('Strategy Indirect'!$T:$T,MATCH(C169,'Strategy Indirect'!$A:$A,0)),"")</f>
        <v/>
      </c>
      <c r="Y169" s="3" t="str">
        <f ca="1">IF(D169&lt;&gt;"",INDEX('Strategy Indirect'!$T:$T,MATCH(D169,'Strategy Indirect'!$A:$A,0)),"")</f>
        <v/>
      </c>
      <c r="Z169" s="3" t="str">
        <f t="shared" ca="1" si="2"/>
        <v/>
      </c>
      <c r="AA169" s="159" t="str">
        <f ca="1">IF($A169&lt;&gt;"", IF(B169&lt;&gt;"",$U169/$Z169,""),"")</f>
        <v/>
      </c>
      <c r="AB169" s="159" t="str">
        <f ca="1">IF($A169&lt;&gt;"", IF(C169&lt;&gt;"",$U169/$Z169,""),"")</f>
        <v/>
      </c>
      <c r="AC169" s="159" t="str">
        <f ca="1">IF($A169&lt;&gt;"", IF(D169&lt;&gt;"",$U169/$Z169,""),"")</f>
        <v/>
      </c>
    </row>
    <row r="170" spans="1:29"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159" t="str">
        <f ca="1">IF(B170&lt;&gt;"",SUMIF('Work Indirect'!B:B,'Initiative Indirect'!A170,'Work Indirect'!AC:AC),"")</f>
        <v/>
      </c>
      <c r="V170" s="3" t="str">
        <f ca="1">IF(A170&lt;&gt;"",IF(F170="",IF(E170="","",INDEX(Priorities[Color],MATCH(E170,Priorities[Priorities],0),0)),F170),"")</f>
        <v/>
      </c>
      <c r="W170" s="3" t="str">
        <f ca="1">IF(B170&lt;&gt;"",INDEX('Strategy Indirect'!$T:$T,MATCH(B170,'Strategy Indirect'!$A:$A,0)),"")</f>
        <v/>
      </c>
      <c r="X170" s="3" t="str">
        <f ca="1">IF(C170&lt;&gt;"",INDEX('Strategy Indirect'!$T:$T,MATCH(C170,'Strategy Indirect'!$A:$A,0)),"")</f>
        <v/>
      </c>
      <c r="Y170" s="3" t="str">
        <f ca="1">IF(D170&lt;&gt;"",INDEX('Strategy Indirect'!$T:$T,MATCH(D170,'Strategy Indirect'!$A:$A,0)),"")</f>
        <v/>
      </c>
      <c r="Z170" s="3" t="str">
        <f t="shared" ca="1" si="2"/>
        <v/>
      </c>
      <c r="AA170" s="159" t="str">
        <f ca="1">IF($A170&lt;&gt;"", IF(B170&lt;&gt;"",$U170/$Z170,""),"")</f>
        <v/>
      </c>
      <c r="AB170" s="159" t="str">
        <f ca="1">IF($A170&lt;&gt;"", IF(C170&lt;&gt;"",$U170/$Z170,""),"")</f>
        <v/>
      </c>
      <c r="AC170" s="159" t="str">
        <f ca="1">IF($A170&lt;&gt;"", IF(D170&lt;&gt;"",$U170/$Z170,""),"")</f>
        <v/>
      </c>
    </row>
    <row r="171" spans="1:29"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159" t="str">
        <f ca="1">IF(B171&lt;&gt;"",SUMIF('Work Indirect'!B:B,'Initiative Indirect'!A171,'Work Indirect'!AC:AC),"")</f>
        <v/>
      </c>
      <c r="V171" s="3" t="str">
        <f ca="1">IF(A171&lt;&gt;"",IF(F171="",IF(E171="","",INDEX(Priorities[Color],MATCH(E171,Priorities[Priorities],0),0)),F171),"")</f>
        <v/>
      </c>
      <c r="W171" s="3" t="str">
        <f ca="1">IF(B171&lt;&gt;"",INDEX('Strategy Indirect'!$T:$T,MATCH(B171,'Strategy Indirect'!$A:$A,0)),"")</f>
        <v/>
      </c>
      <c r="X171" s="3" t="str">
        <f ca="1">IF(C171&lt;&gt;"",INDEX('Strategy Indirect'!$T:$T,MATCH(C171,'Strategy Indirect'!$A:$A,0)),"")</f>
        <v/>
      </c>
      <c r="Y171" s="3" t="str">
        <f ca="1">IF(D171&lt;&gt;"",INDEX('Strategy Indirect'!$T:$T,MATCH(D171,'Strategy Indirect'!$A:$A,0)),"")</f>
        <v/>
      </c>
      <c r="Z171" s="3" t="str">
        <f t="shared" ca="1" si="2"/>
        <v/>
      </c>
      <c r="AA171" s="159" t="str">
        <f ca="1">IF($A171&lt;&gt;"", IF(B171&lt;&gt;"",$U171/$Z171,""),"")</f>
        <v/>
      </c>
      <c r="AB171" s="159" t="str">
        <f ca="1">IF($A171&lt;&gt;"", IF(C171&lt;&gt;"",$U171/$Z171,""),"")</f>
        <v/>
      </c>
      <c r="AC171" s="159" t="str">
        <f ca="1">IF($A171&lt;&gt;"", IF(D171&lt;&gt;"",$U171/$Z171,""),"")</f>
        <v/>
      </c>
    </row>
    <row r="172" spans="1:29"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159" t="str">
        <f ca="1">IF(B172&lt;&gt;"",SUMIF('Work Indirect'!B:B,'Initiative Indirect'!A172,'Work Indirect'!AC:AC),"")</f>
        <v/>
      </c>
      <c r="V172" s="3" t="str">
        <f ca="1">IF(A172&lt;&gt;"",IF(F172="",IF(E172="","",INDEX(Priorities[Color],MATCH(E172,Priorities[Priorities],0),0)),F172),"")</f>
        <v/>
      </c>
      <c r="W172" s="3" t="str">
        <f ca="1">IF(B172&lt;&gt;"",INDEX('Strategy Indirect'!$T:$T,MATCH(B172,'Strategy Indirect'!$A:$A,0)),"")</f>
        <v/>
      </c>
      <c r="X172" s="3" t="str">
        <f ca="1">IF(C172&lt;&gt;"",INDEX('Strategy Indirect'!$T:$T,MATCH(C172,'Strategy Indirect'!$A:$A,0)),"")</f>
        <v/>
      </c>
      <c r="Y172" s="3" t="str">
        <f ca="1">IF(D172&lt;&gt;"",INDEX('Strategy Indirect'!$T:$T,MATCH(D172,'Strategy Indirect'!$A:$A,0)),"")</f>
        <v/>
      </c>
      <c r="Z172" s="3" t="str">
        <f t="shared" ca="1" si="2"/>
        <v/>
      </c>
      <c r="AA172" s="159" t="str">
        <f ca="1">IF($A172&lt;&gt;"", IF(B172&lt;&gt;"",$U172/$Z172,""),"")</f>
        <v/>
      </c>
      <c r="AB172" s="159" t="str">
        <f ca="1">IF($A172&lt;&gt;"", IF(C172&lt;&gt;"",$U172/$Z172,""),"")</f>
        <v/>
      </c>
      <c r="AC172" s="159" t="str">
        <f ca="1">IF($A172&lt;&gt;"", IF(D172&lt;&gt;"",$U172/$Z172,""),"")</f>
        <v/>
      </c>
    </row>
    <row r="173" spans="1:29"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159" t="str">
        <f ca="1">IF(B173&lt;&gt;"",SUMIF('Work Indirect'!B:B,'Initiative Indirect'!A173,'Work Indirect'!AC:AC),"")</f>
        <v/>
      </c>
      <c r="V173" s="3" t="str">
        <f ca="1">IF(A173&lt;&gt;"",IF(F173="",IF(E173="","",INDEX(Priorities[Color],MATCH(E173,Priorities[Priorities],0),0)),F173),"")</f>
        <v/>
      </c>
      <c r="W173" s="3" t="str">
        <f ca="1">IF(B173&lt;&gt;"",INDEX('Strategy Indirect'!$T:$T,MATCH(B173,'Strategy Indirect'!$A:$A,0)),"")</f>
        <v/>
      </c>
      <c r="X173" s="3" t="str">
        <f ca="1">IF(C173&lt;&gt;"",INDEX('Strategy Indirect'!$T:$T,MATCH(C173,'Strategy Indirect'!$A:$A,0)),"")</f>
        <v/>
      </c>
      <c r="Y173" s="3" t="str">
        <f ca="1">IF(D173&lt;&gt;"",INDEX('Strategy Indirect'!$T:$T,MATCH(D173,'Strategy Indirect'!$A:$A,0)),"")</f>
        <v/>
      </c>
      <c r="Z173" s="3" t="str">
        <f t="shared" ca="1" si="2"/>
        <v/>
      </c>
      <c r="AA173" s="159" t="str">
        <f ca="1">IF($A173&lt;&gt;"", IF(B173&lt;&gt;"",$U173/$Z173,""),"")</f>
        <v/>
      </c>
      <c r="AB173" s="159" t="str">
        <f ca="1">IF($A173&lt;&gt;"", IF(C173&lt;&gt;"",$U173/$Z173,""),"")</f>
        <v/>
      </c>
      <c r="AC173" s="159" t="str">
        <f ca="1">IF($A173&lt;&gt;"", IF(D173&lt;&gt;"",$U173/$Z173,""),"")</f>
        <v/>
      </c>
    </row>
    <row r="174" spans="1:29"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159" t="str">
        <f ca="1">IF(B174&lt;&gt;"",SUMIF('Work Indirect'!B:B,'Initiative Indirect'!A174,'Work Indirect'!AC:AC),"")</f>
        <v/>
      </c>
      <c r="V174" s="3" t="str">
        <f ca="1">IF(A174&lt;&gt;"",IF(F174="",IF(E174="","",INDEX(Priorities[Color],MATCH(E174,Priorities[Priorities],0),0)),F174),"")</f>
        <v/>
      </c>
      <c r="W174" s="3" t="str">
        <f ca="1">IF(B174&lt;&gt;"",INDEX('Strategy Indirect'!$T:$T,MATCH(B174,'Strategy Indirect'!$A:$A,0)),"")</f>
        <v/>
      </c>
      <c r="X174" s="3" t="str">
        <f ca="1">IF(C174&lt;&gt;"",INDEX('Strategy Indirect'!$T:$T,MATCH(C174,'Strategy Indirect'!$A:$A,0)),"")</f>
        <v/>
      </c>
      <c r="Y174" s="3" t="str">
        <f ca="1">IF(D174&lt;&gt;"",INDEX('Strategy Indirect'!$T:$T,MATCH(D174,'Strategy Indirect'!$A:$A,0)),"")</f>
        <v/>
      </c>
      <c r="Z174" s="3" t="str">
        <f t="shared" ca="1" si="2"/>
        <v/>
      </c>
      <c r="AA174" s="159" t="str">
        <f ca="1">IF($A174&lt;&gt;"", IF(B174&lt;&gt;"",$U174/$Z174,""),"")</f>
        <v/>
      </c>
      <c r="AB174" s="159" t="str">
        <f ca="1">IF($A174&lt;&gt;"", IF(C174&lt;&gt;"",$U174/$Z174,""),"")</f>
        <v/>
      </c>
      <c r="AC174" s="159" t="str">
        <f ca="1">IF($A174&lt;&gt;"", IF(D174&lt;&gt;"",$U174/$Z174,""),"")</f>
        <v/>
      </c>
    </row>
    <row r="175" spans="1:29"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159" t="str">
        <f ca="1">IF(B175&lt;&gt;"",SUMIF('Work Indirect'!B:B,'Initiative Indirect'!A175,'Work Indirect'!AC:AC),"")</f>
        <v/>
      </c>
      <c r="V175" s="3" t="str">
        <f ca="1">IF(A175&lt;&gt;"",IF(F175="",IF(E175="","",INDEX(Priorities[Color],MATCH(E175,Priorities[Priorities],0),0)),F175),"")</f>
        <v/>
      </c>
      <c r="W175" s="3" t="str">
        <f ca="1">IF(B175&lt;&gt;"",INDEX('Strategy Indirect'!$T:$T,MATCH(B175,'Strategy Indirect'!$A:$A,0)),"")</f>
        <v/>
      </c>
      <c r="X175" s="3" t="str">
        <f ca="1">IF(C175&lt;&gt;"",INDEX('Strategy Indirect'!$T:$T,MATCH(C175,'Strategy Indirect'!$A:$A,0)),"")</f>
        <v/>
      </c>
      <c r="Y175" s="3" t="str">
        <f ca="1">IF(D175&lt;&gt;"",INDEX('Strategy Indirect'!$T:$T,MATCH(D175,'Strategy Indirect'!$A:$A,0)),"")</f>
        <v/>
      </c>
      <c r="Z175" s="3" t="str">
        <f t="shared" ca="1" si="2"/>
        <v/>
      </c>
      <c r="AA175" s="159" t="str">
        <f ca="1">IF($A175&lt;&gt;"", IF(B175&lt;&gt;"",$U175/$Z175,""),"")</f>
        <v/>
      </c>
      <c r="AB175" s="159" t="str">
        <f ca="1">IF($A175&lt;&gt;"", IF(C175&lt;&gt;"",$U175/$Z175,""),"")</f>
        <v/>
      </c>
      <c r="AC175" s="159" t="str">
        <f ca="1">IF($A175&lt;&gt;"", IF(D175&lt;&gt;"",$U175/$Z175,""),"")</f>
        <v/>
      </c>
    </row>
    <row r="176" spans="1:29"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159" t="str">
        <f ca="1">IF(B176&lt;&gt;"",SUMIF('Work Indirect'!B:B,'Initiative Indirect'!A176,'Work Indirect'!AC:AC),"")</f>
        <v/>
      </c>
      <c r="V176" s="3" t="str">
        <f ca="1">IF(A176&lt;&gt;"",IF(F176="",IF(E176="","",INDEX(Priorities[Color],MATCH(E176,Priorities[Priorities],0),0)),F176),"")</f>
        <v/>
      </c>
      <c r="W176" s="3" t="str">
        <f ca="1">IF(B176&lt;&gt;"",INDEX('Strategy Indirect'!$T:$T,MATCH(B176,'Strategy Indirect'!$A:$A,0)),"")</f>
        <v/>
      </c>
      <c r="X176" s="3" t="str">
        <f ca="1">IF(C176&lt;&gt;"",INDEX('Strategy Indirect'!$T:$T,MATCH(C176,'Strategy Indirect'!$A:$A,0)),"")</f>
        <v/>
      </c>
      <c r="Y176" s="3" t="str">
        <f ca="1">IF(D176&lt;&gt;"",INDEX('Strategy Indirect'!$T:$T,MATCH(D176,'Strategy Indirect'!$A:$A,0)),"")</f>
        <v/>
      </c>
      <c r="Z176" s="3" t="str">
        <f t="shared" ca="1" si="2"/>
        <v/>
      </c>
      <c r="AA176" s="159" t="str">
        <f ca="1">IF($A176&lt;&gt;"", IF(B176&lt;&gt;"",$U176/$Z176,""),"")</f>
        <v/>
      </c>
      <c r="AB176" s="159" t="str">
        <f ca="1">IF($A176&lt;&gt;"", IF(C176&lt;&gt;"",$U176/$Z176,""),"")</f>
        <v/>
      </c>
      <c r="AC176" s="159" t="str">
        <f ca="1">IF($A176&lt;&gt;"", IF(D176&lt;&gt;"",$U176/$Z176,""),"")</f>
        <v/>
      </c>
    </row>
    <row r="177" spans="1:29"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159" t="str">
        <f ca="1">IF(B177&lt;&gt;"",SUMIF('Work Indirect'!B:B,'Initiative Indirect'!A177,'Work Indirect'!AC:AC),"")</f>
        <v/>
      </c>
      <c r="V177" s="3" t="str">
        <f ca="1">IF(A177&lt;&gt;"",IF(F177="",IF(E177="","",INDEX(Priorities[Color],MATCH(E177,Priorities[Priorities],0),0)),F177),"")</f>
        <v/>
      </c>
      <c r="W177" s="3" t="str">
        <f ca="1">IF(B177&lt;&gt;"",INDEX('Strategy Indirect'!$T:$T,MATCH(B177,'Strategy Indirect'!$A:$A,0)),"")</f>
        <v/>
      </c>
      <c r="X177" s="3" t="str">
        <f ca="1">IF(C177&lt;&gt;"",INDEX('Strategy Indirect'!$T:$T,MATCH(C177,'Strategy Indirect'!$A:$A,0)),"")</f>
        <v/>
      </c>
      <c r="Y177" s="3" t="str">
        <f ca="1">IF(D177&lt;&gt;"",INDEX('Strategy Indirect'!$T:$T,MATCH(D177,'Strategy Indirect'!$A:$A,0)),"")</f>
        <v/>
      </c>
      <c r="Z177" s="3" t="str">
        <f t="shared" ca="1" si="2"/>
        <v/>
      </c>
      <c r="AA177" s="159" t="str">
        <f ca="1">IF($A177&lt;&gt;"", IF(B177&lt;&gt;"",$U177/$Z177,""),"")</f>
        <v/>
      </c>
      <c r="AB177" s="159" t="str">
        <f ca="1">IF($A177&lt;&gt;"", IF(C177&lt;&gt;"",$U177/$Z177,""),"")</f>
        <v/>
      </c>
      <c r="AC177" s="159" t="str">
        <f ca="1">IF($A177&lt;&gt;"", IF(D177&lt;&gt;"",$U177/$Z177,""),"")</f>
        <v/>
      </c>
    </row>
    <row r="178" spans="1:29"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159" t="str">
        <f ca="1">IF(B178&lt;&gt;"",SUMIF('Work Indirect'!B:B,'Initiative Indirect'!A178,'Work Indirect'!AC:AC),"")</f>
        <v/>
      </c>
      <c r="V178" s="3" t="str">
        <f ca="1">IF(A178&lt;&gt;"",IF(F178="",IF(E178="","",INDEX(Priorities[Color],MATCH(E178,Priorities[Priorities],0),0)),F178),"")</f>
        <v/>
      </c>
      <c r="W178" s="3" t="str">
        <f ca="1">IF(B178&lt;&gt;"",INDEX('Strategy Indirect'!$T:$T,MATCH(B178,'Strategy Indirect'!$A:$A,0)),"")</f>
        <v/>
      </c>
      <c r="X178" s="3" t="str">
        <f ca="1">IF(C178&lt;&gt;"",INDEX('Strategy Indirect'!$T:$T,MATCH(C178,'Strategy Indirect'!$A:$A,0)),"")</f>
        <v/>
      </c>
      <c r="Y178" s="3" t="str">
        <f ca="1">IF(D178&lt;&gt;"",INDEX('Strategy Indirect'!$T:$T,MATCH(D178,'Strategy Indirect'!$A:$A,0)),"")</f>
        <v/>
      </c>
      <c r="Z178" s="3" t="str">
        <f t="shared" ca="1" si="2"/>
        <v/>
      </c>
      <c r="AA178" s="159" t="str">
        <f ca="1">IF($A178&lt;&gt;"", IF(B178&lt;&gt;"",$U178/$Z178,""),"")</f>
        <v/>
      </c>
      <c r="AB178" s="159" t="str">
        <f ca="1">IF($A178&lt;&gt;"", IF(C178&lt;&gt;"",$U178/$Z178,""),"")</f>
        <v/>
      </c>
      <c r="AC178" s="159" t="str">
        <f ca="1">IF($A178&lt;&gt;"", IF(D178&lt;&gt;"",$U178/$Z178,""),"")</f>
        <v/>
      </c>
    </row>
    <row r="179" spans="1:29"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159" t="str">
        <f ca="1">IF(B179&lt;&gt;"",SUMIF('Work Indirect'!B:B,'Initiative Indirect'!A179,'Work Indirect'!AC:AC),"")</f>
        <v/>
      </c>
      <c r="V179" s="3" t="str">
        <f ca="1">IF(A179&lt;&gt;"",IF(F179="",IF(E179="","",INDEX(Priorities[Color],MATCH(E179,Priorities[Priorities],0),0)),F179),"")</f>
        <v/>
      </c>
      <c r="W179" s="3" t="str">
        <f ca="1">IF(B179&lt;&gt;"",INDEX('Strategy Indirect'!$T:$T,MATCH(B179,'Strategy Indirect'!$A:$A,0)),"")</f>
        <v/>
      </c>
      <c r="X179" s="3" t="str">
        <f ca="1">IF(C179&lt;&gt;"",INDEX('Strategy Indirect'!$T:$T,MATCH(C179,'Strategy Indirect'!$A:$A,0)),"")</f>
        <v/>
      </c>
      <c r="Y179" s="3" t="str">
        <f ca="1">IF(D179&lt;&gt;"",INDEX('Strategy Indirect'!$T:$T,MATCH(D179,'Strategy Indirect'!$A:$A,0)),"")</f>
        <v/>
      </c>
      <c r="Z179" s="3" t="str">
        <f t="shared" ca="1" si="2"/>
        <v/>
      </c>
      <c r="AA179" s="159" t="str">
        <f ca="1">IF($A179&lt;&gt;"", IF(B179&lt;&gt;"",$U179/$Z179,""),"")</f>
        <v/>
      </c>
      <c r="AB179" s="159" t="str">
        <f ca="1">IF($A179&lt;&gt;"", IF(C179&lt;&gt;"",$U179/$Z179,""),"")</f>
        <v/>
      </c>
      <c r="AC179" s="159" t="str">
        <f ca="1">IF($A179&lt;&gt;"", IF(D179&lt;&gt;"",$U179/$Z179,""),"")</f>
        <v/>
      </c>
    </row>
    <row r="180" spans="1:29"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159" t="str">
        <f ca="1">IF(B180&lt;&gt;"",SUMIF('Work Indirect'!B:B,'Initiative Indirect'!A180,'Work Indirect'!AC:AC),"")</f>
        <v/>
      </c>
      <c r="V180" s="3" t="str">
        <f ca="1">IF(A180&lt;&gt;"",IF(F180="",IF(E180="","",INDEX(Priorities[Color],MATCH(E180,Priorities[Priorities],0),0)),F180),"")</f>
        <v/>
      </c>
      <c r="W180" s="3" t="str">
        <f ca="1">IF(B180&lt;&gt;"",INDEX('Strategy Indirect'!$T:$T,MATCH(B180,'Strategy Indirect'!$A:$A,0)),"")</f>
        <v/>
      </c>
      <c r="X180" s="3" t="str">
        <f ca="1">IF(C180&lt;&gt;"",INDEX('Strategy Indirect'!$T:$T,MATCH(C180,'Strategy Indirect'!$A:$A,0)),"")</f>
        <v/>
      </c>
      <c r="Y180" s="3" t="str">
        <f ca="1">IF(D180&lt;&gt;"",INDEX('Strategy Indirect'!$T:$T,MATCH(D180,'Strategy Indirect'!$A:$A,0)),"")</f>
        <v/>
      </c>
      <c r="Z180" s="3" t="str">
        <f t="shared" ca="1" si="2"/>
        <v/>
      </c>
      <c r="AA180" s="159" t="str">
        <f ca="1">IF($A180&lt;&gt;"", IF(B180&lt;&gt;"",$U180/$Z180,""),"")</f>
        <v/>
      </c>
      <c r="AB180" s="159" t="str">
        <f ca="1">IF($A180&lt;&gt;"", IF(C180&lt;&gt;"",$U180/$Z180,""),"")</f>
        <v/>
      </c>
      <c r="AC180" s="159" t="str">
        <f ca="1">IF($A180&lt;&gt;"", IF(D180&lt;&gt;"",$U180/$Z180,""),"")</f>
        <v/>
      </c>
    </row>
    <row r="181" spans="1:29"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159" t="str">
        <f ca="1">IF(B181&lt;&gt;"",SUMIF('Work Indirect'!B:B,'Initiative Indirect'!A181,'Work Indirect'!AC:AC),"")</f>
        <v/>
      </c>
      <c r="V181" s="3" t="str">
        <f ca="1">IF(A181&lt;&gt;"",IF(F181="",IF(E181="","",INDEX(Priorities[Color],MATCH(E181,Priorities[Priorities],0),0)),F181),"")</f>
        <v/>
      </c>
      <c r="W181" s="3" t="str">
        <f ca="1">IF(B181&lt;&gt;"",INDEX('Strategy Indirect'!$T:$T,MATCH(B181,'Strategy Indirect'!$A:$A,0)),"")</f>
        <v/>
      </c>
      <c r="X181" s="3" t="str">
        <f ca="1">IF(C181&lt;&gt;"",INDEX('Strategy Indirect'!$T:$T,MATCH(C181,'Strategy Indirect'!$A:$A,0)),"")</f>
        <v/>
      </c>
      <c r="Y181" s="3" t="str">
        <f ca="1">IF(D181&lt;&gt;"",INDEX('Strategy Indirect'!$T:$T,MATCH(D181,'Strategy Indirect'!$A:$A,0)),"")</f>
        <v/>
      </c>
      <c r="Z181" s="3" t="str">
        <f t="shared" ca="1" si="2"/>
        <v/>
      </c>
      <c r="AA181" s="159" t="str">
        <f ca="1">IF($A181&lt;&gt;"", IF(B181&lt;&gt;"",$U181/$Z181,""),"")</f>
        <v/>
      </c>
      <c r="AB181" s="159" t="str">
        <f ca="1">IF($A181&lt;&gt;"", IF(C181&lt;&gt;"",$U181/$Z181,""),"")</f>
        <v/>
      </c>
      <c r="AC181" s="159" t="str">
        <f ca="1">IF($A181&lt;&gt;"", IF(D181&lt;&gt;"",$U181/$Z181,""),"")</f>
        <v/>
      </c>
    </row>
    <row r="182" spans="1:29"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159" t="str">
        <f ca="1">IF(B182&lt;&gt;"",SUMIF('Work Indirect'!B:B,'Initiative Indirect'!A182,'Work Indirect'!AC:AC),"")</f>
        <v/>
      </c>
      <c r="V182" s="3" t="str">
        <f ca="1">IF(A182&lt;&gt;"",IF(F182="",IF(E182="","",INDEX(Priorities[Color],MATCH(E182,Priorities[Priorities],0),0)),F182),"")</f>
        <v/>
      </c>
      <c r="W182" s="3" t="str">
        <f ca="1">IF(B182&lt;&gt;"",INDEX('Strategy Indirect'!$T:$T,MATCH(B182,'Strategy Indirect'!$A:$A,0)),"")</f>
        <v/>
      </c>
      <c r="X182" s="3" t="str">
        <f ca="1">IF(C182&lt;&gt;"",INDEX('Strategy Indirect'!$T:$T,MATCH(C182,'Strategy Indirect'!$A:$A,0)),"")</f>
        <v/>
      </c>
      <c r="Y182" s="3" t="str">
        <f ca="1">IF(D182&lt;&gt;"",INDEX('Strategy Indirect'!$T:$T,MATCH(D182,'Strategy Indirect'!$A:$A,0)),"")</f>
        <v/>
      </c>
      <c r="Z182" s="3" t="str">
        <f t="shared" ca="1" si="2"/>
        <v/>
      </c>
      <c r="AA182" s="159" t="str">
        <f ca="1">IF($A182&lt;&gt;"", IF(B182&lt;&gt;"",$U182/$Z182,""),"")</f>
        <v/>
      </c>
      <c r="AB182" s="159" t="str">
        <f ca="1">IF($A182&lt;&gt;"", IF(C182&lt;&gt;"",$U182/$Z182,""),"")</f>
        <v/>
      </c>
      <c r="AC182" s="159" t="str">
        <f ca="1">IF($A182&lt;&gt;"", IF(D182&lt;&gt;"",$U182/$Z182,""),"")</f>
        <v/>
      </c>
    </row>
    <row r="183" spans="1:29"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159" t="str">
        <f ca="1">IF(B183&lt;&gt;"",SUMIF('Work Indirect'!B:B,'Initiative Indirect'!A183,'Work Indirect'!AC:AC),"")</f>
        <v/>
      </c>
      <c r="V183" s="3" t="str">
        <f ca="1">IF(A183&lt;&gt;"",IF(F183="",IF(E183="","",INDEX(Priorities[Color],MATCH(E183,Priorities[Priorities],0),0)),F183),"")</f>
        <v/>
      </c>
      <c r="W183" s="3" t="str">
        <f ca="1">IF(B183&lt;&gt;"",INDEX('Strategy Indirect'!$T:$T,MATCH(B183,'Strategy Indirect'!$A:$A,0)),"")</f>
        <v/>
      </c>
      <c r="X183" s="3" t="str">
        <f ca="1">IF(C183&lt;&gt;"",INDEX('Strategy Indirect'!$T:$T,MATCH(C183,'Strategy Indirect'!$A:$A,0)),"")</f>
        <v/>
      </c>
      <c r="Y183" s="3" t="str">
        <f ca="1">IF(D183&lt;&gt;"",INDEX('Strategy Indirect'!$T:$T,MATCH(D183,'Strategy Indirect'!$A:$A,0)),"")</f>
        <v/>
      </c>
      <c r="Z183" s="3" t="str">
        <f t="shared" ca="1" si="2"/>
        <v/>
      </c>
      <c r="AA183" s="159" t="str">
        <f ca="1">IF($A183&lt;&gt;"", IF(B183&lt;&gt;"",$U183/$Z183,""),"")</f>
        <v/>
      </c>
      <c r="AB183" s="159" t="str">
        <f ca="1">IF($A183&lt;&gt;"", IF(C183&lt;&gt;"",$U183/$Z183,""),"")</f>
        <v/>
      </c>
      <c r="AC183" s="159" t="str">
        <f ca="1">IF($A183&lt;&gt;"", IF(D183&lt;&gt;"",$U183/$Z183,""),"")</f>
        <v/>
      </c>
    </row>
    <row r="184" spans="1:29"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159" t="str">
        <f ca="1">IF(B184&lt;&gt;"",SUMIF('Work Indirect'!B:B,'Initiative Indirect'!A184,'Work Indirect'!AC:AC),"")</f>
        <v/>
      </c>
      <c r="V184" s="3" t="str">
        <f ca="1">IF(A184&lt;&gt;"",IF(F184="",IF(E184="","",INDEX(Priorities[Color],MATCH(E184,Priorities[Priorities],0),0)),F184),"")</f>
        <v/>
      </c>
      <c r="W184" s="3" t="str">
        <f ca="1">IF(B184&lt;&gt;"",INDEX('Strategy Indirect'!$T:$T,MATCH(B184,'Strategy Indirect'!$A:$A,0)),"")</f>
        <v/>
      </c>
      <c r="X184" s="3" t="str">
        <f ca="1">IF(C184&lt;&gt;"",INDEX('Strategy Indirect'!$T:$T,MATCH(C184,'Strategy Indirect'!$A:$A,0)),"")</f>
        <v/>
      </c>
      <c r="Y184" s="3" t="str">
        <f ca="1">IF(D184&lt;&gt;"",INDEX('Strategy Indirect'!$T:$T,MATCH(D184,'Strategy Indirect'!$A:$A,0)),"")</f>
        <v/>
      </c>
      <c r="Z184" s="3" t="str">
        <f t="shared" ca="1" si="2"/>
        <v/>
      </c>
      <c r="AA184" s="159" t="str">
        <f ca="1">IF($A184&lt;&gt;"", IF(B184&lt;&gt;"",$U184/$Z184,""),"")</f>
        <v/>
      </c>
      <c r="AB184" s="159" t="str">
        <f ca="1">IF($A184&lt;&gt;"", IF(C184&lt;&gt;"",$U184/$Z184,""),"")</f>
        <v/>
      </c>
      <c r="AC184" s="159" t="str">
        <f ca="1">IF($A184&lt;&gt;"", IF(D184&lt;&gt;"",$U184/$Z184,""),"")</f>
        <v/>
      </c>
    </row>
    <row r="185" spans="1:29"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159" t="str">
        <f ca="1">IF(B185&lt;&gt;"",SUMIF('Work Indirect'!B:B,'Initiative Indirect'!A185,'Work Indirect'!AC:AC),"")</f>
        <v/>
      </c>
      <c r="V185" s="3" t="str">
        <f ca="1">IF(A185&lt;&gt;"",IF(F185="",IF(E185="","",INDEX(Priorities[Color],MATCH(E185,Priorities[Priorities],0),0)),F185),"")</f>
        <v/>
      </c>
      <c r="W185" s="3" t="str">
        <f ca="1">IF(B185&lt;&gt;"",INDEX('Strategy Indirect'!$T:$T,MATCH(B185,'Strategy Indirect'!$A:$A,0)),"")</f>
        <v/>
      </c>
      <c r="X185" s="3" t="str">
        <f ca="1">IF(C185&lt;&gt;"",INDEX('Strategy Indirect'!$T:$T,MATCH(C185,'Strategy Indirect'!$A:$A,0)),"")</f>
        <v/>
      </c>
      <c r="Y185" s="3" t="str">
        <f ca="1">IF(D185&lt;&gt;"",INDEX('Strategy Indirect'!$T:$T,MATCH(D185,'Strategy Indirect'!$A:$A,0)),"")</f>
        <v/>
      </c>
      <c r="Z185" s="3" t="str">
        <f t="shared" ca="1" si="2"/>
        <v/>
      </c>
      <c r="AA185" s="159" t="str">
        <f ca="1">IF($A185&lt;&gt;"", IF(B185&lt;&gt;"",$U185/$Z185,""),"")</f>
        <v/>
      </c>
      <c r="AB185" s="159" t="str">
        <f ca="1">IF($A185&lt;&gt;"", IF(C185&lt;&gt;"",$U185/$Z185,""),"")</f>
        <v/>
      </c>
      <c r="AC185" s="159" t="str">
        <f ca="1">IF($A185&lt;&gt;"", IF(D185&lt;&gt;"",$U185/$Z185,""),"")</f>
        <v/>
      </c>
    </row>
    <row r="186" spans="1:29"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159" t="str">
        <f ca="1">IF(B186&lt;&gt;"",SUMIF('Work Indirect'!B:B,'Initiative Indirect'!A186,'Work Indirect'!AC:AC),"")</f>
        <v/>
      </c>
      <c r="V186" s="3" t="str">
        <f ca="1">IF(A186&lt;&gt;"",IF(F186="",IF(E186="","",INDEX(Priorities[Color],MATCH(E186,Priorities[Priorities],0),0)),F186),"")</f>
        <v/>
      </c>
      <c r="W186" s="3" t="str">
        <f ca="1">IF(B186&lt;&gt;"",INDEX('Strategy Indirect'!$T:$T,MATCH(B186,'Strategy Indirect'!$A:$A,0)),"")</f>
        <v/>
      </c>
      <c r="X186" s="3" t="str">
        <f ca="1">IF(C186&lt;&gt;"",INDEX('Strategy Indirect'!$T:$T,MATCH(C186,'Strategy Indirect'!$A:$A,0)),"")</f>
        <v/>
      </c>
      <c r="Y186" s="3" t="str">
        <f ca="1">IF(D186&lt;&gt;"",INDEX('Strategy Indirect'!$T:$T,MATCH(D186,'Strategy Indirect'!$A:$A,0)),"")</f>
        <v/>
      </c>
      <c r="Z186" s="3" t="str">
        <f t="shared" ca="1" si="2"/>
        <v/>
      </c>
      <c r="AA186" s="159" t="str">
        <f ca="1">IF($A186&lt;&gt;"", IF(B186&lt;&gt;"",$U186/$Z186,""),"")</f>
        <v/>
      </c>
      <c r="AB186" s="159" t="str">
        <f ca="1">IF($A186&lt;&gt;"", IF(C186&lt;&gt;"",$U186/$Z186,""),"")</f>
        <v/>
      </c>
      <c r="AC186" s="159" t="str">
        <f ca="1">IF($A186&lt;&gt;"", IF(D186&lt;&gt;"",$U186/$Z186,""),"")</f>
        <v/>
      </c>
    </row>
    <row r="187" spans="1:29"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159" t="str">
        <f ca="1">IF(B187&lt;&gt;"",SUMIF('Work Indirect'!B:B,'Initiative Indirect'!A187,'Work Indirect'!AC:AC),"")</f>
        <v/>
      </c>
      <c r="V187" s="3" t="str">
        <f ca="1">IF(A187&lt;&gt;"",IF(F187="",IF(E187="","",INDEX(Priorities[Color],MATCH(E187,Priorities[Priorities],0),0)),F187),"")</f>
        <v/>
      </c>
      <c r="W187" s="3" t="str">
        <f ca="1">IF(B187&lt;&gt;"",INDEX('Strategy Indirect'!$T:$T,MATCH(B187,'Strategy Indirect'!$A:$A,0)),"")</f>
        <v/>
      </c>
      <c r="X187" s="3" t="str">
        <f ca="1">IF(C187&lt;&gt;"",INDEX('Strategy Indirect'!$T:$T,MATCH(C187,'Strategy Indirect'!$A:$A,0)),"")</f>
        <v/>
      </c>
      <c r="Y187" s="3" t="str">
        <f ca="1">IF(D187&lt;&gt;"",INDEX('Strategy Indirect'!$T:$T,MATCH(D187,'Strategy Indirect'!$A:$A,0)),"")</f>
        <v/>
      </c>
      <c r="Z187" s="3" t="str">
        <f t="shared" ca="1" si="2"/>
        <v/>
      </c>
      <c r="AA187" s="159" t="str">
        <f ca="1">IF($A187&lt;&gt;"", IF(B187&lt;&gt;"",$U187/$Z187,""),"")</f>
        <v/>
      </c>
      <c r="AB187" s="159" t="str">
        <f ca="1">IF($A187&lt;&gt;"", IF(C187&lt;&gt;"",$U187/$Z187,""),"")</f>
        <v/>
      </c>
      <c r="AC187" s="159" t="str">
        <f ca="1">IF($A187&lt;&gt;"", IF(D187&lt;&gt;"",$U187/$Z187,""),"")</f>
        <v/>
      </c>
    </row>
    <row r="188" spans="1:29"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159" t="str">
        <f ca="1">IF(B188&lt;&gt;"",SUMIF('Work Indirect'!B:B,'Initiative Indirect'!A188,'Work Indirect'!AC:AC),"")</f>
        <v/>
      </c>
      <c r="V188" s="3" t="str">
        <f ca="1">IF(A188&lt;&gt;"",IF(F188="",IF(E188="","",INDEX(Priorities[Color],MATCH(E188,Priorities[Priorities],0),0)),F188),"")</f>
        <v/>
      </c>
      <c r="W188" s="3" t="str">
        <f ca="1">IF(B188&lt;&gt;"",INDEX('Strategy Indirect'!$T:$T,MATCH(B188,'Strategy Indirect'!$A:$A,0)),"")</f>
        <v/>
      </c>
      <c r="X188" s="3" t="str">
        <f ca="1">IF(C188&lt;&gt;"",INDEX('Strategy Indirect'!$T:$T,MATCH(C188,'Strategy Indirect'!$A:$A,0)),"")</f>
        <v/>
      </c>
      <c r="Y188" s="3" t="str">
        <f ca="1">IF(D188&lt;&gt;"",INDEX('Strategy Indirect'!$T:$T,MATCH(D188,'Strategy Indirect'!$A:$A,0)),"")</f>
        <v/>
      </c>
      <c r="Z188" s="3" t="str">
        <f t="shared" ca="1" si="2"/>
        <v/>
      </c>
      <c r="AA188" s="159" t="str">
        <f ca="1">IF($A188&lt;&gt;"", IF(B188&lt;&gt;"",$U188/$Z188,""),"")</f>
        <v/>
      </c>
      <c r="AB188" s="159" t="str">
        <f ca="1">IF($A188&lt;&gt;"", IF(C188&lt;&gt;"",$U188/$Z188,""),"")</f>
        <v/>
      </c>
      <c r="AC188" s="159" t="str">
        <f ca="1">IF($A188&lt;&gt;"", IF(D188&lt;&gt;"",$U188/$Z188,""),"")</f>
        <v/>
      </c>
    </row>
    <row r="189" spans="1:29"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159" t="str">
        <f ca="1">IF(B189&lt;&gt;"",SUMIF('Work Indirect'!B:B,'Initiative Indirect'!A189,'Work Indirect'!AC:AC),"")</f>
        <v/>
      </c>
      <c r="V189" s="3" t="str">
        <f ca="1">IF(A189&lt;&gt;"",IF(F189="",IF(E189="","",INDEX(Priorities[Color],MATCH(E189,Priorities[Priorities],0),0)),F189),"")</f>
        <v/>
      </c>
      <c r="W189" s="3" t="str">
        <f ca="1">IF(B189&lt;&gt;"",INDEX('Strategy Indirect'!$T:$T,MATCH(B189,'Strategy Indirect'!$A:$A,0)),"")</f>
        <v/>
      </c>
      <c r="X189" s="3" t="str">
        <f ca="1">IF(C189&lt;&gt;"",INDEX('Strategy Indirect'!$T:$T,MATCH(C189,'Strategy Indirect'!$A:$A,0)),"")</f>
        <v/>
      </c>
      <c r="Y189" s="3" t="str">
        <f ca="1">IF(D189&lt;&gt;"",INDEX('Strategy Indirect'!$T:$T,MATCH(D189,'Strategy Indirect'!$A:$A,0)),"")</f>
        <v/>
      </c>
      <c r="Z189" s="3" t="str">
        <f t="shared" ca="1" si="2"/>
        <v/>
      </c>
      <c r="AA189" s="159" t="str">
        <f ca="1">IF($A189&lt;&gt;"", IF(B189&lt;&gt;"",$U189/$Z189,""),"")</f>
        <v/>
      </c>
      <c r="AB189" s="159" t="str">
        <f ca="1">IF($A189&lt;&gt;"", IF(C189&lt;&gt;"",$U189/$Z189,""),"")</f>
        <v/>
      </c>
      <c r="AC189" s="159" t="str">
        <f ca="1">IF($A189&lt;&gt;"", IF(D189&lt;&gt;"",$U189/$Z189,""),"")</f>
        <v/>
      </c>
    </row>
    <row r="190" spans="1:29"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159" t="str">
        <f ca="1">IF(B190&lt;&gt;"",SUMIF('Work Indirect'!B:B,'Initiative Indirect'!A190,'Work Indirect'!AC:AC),"")</f>
        <v/>
      </c>
      <c r="V190" s="3" t="str">
        <f ca="1">IF(A190&lt;&gt;"",IF(F190="",IF(E190="","",INDEX(Priorities[Color],MATCH(E190,Priorities[Priorities],0),0)),F190),"")</f>
        <v/>
      </c>
      <c r="W190" s="3" t="str">
        <f ca="1">IF(B190&lt;&gt;"",INDEX('Strategy Indirect'!$T:$T,MATCH(B190,'Strategy Indirect'!$A:$A,0)),"")</f>
        <v/>
      </c>
      <c r="X190" s="3" t="str">
        <f ca="1">IF(C190&lt;&gt;"",INDEX('Strategy Indirect'!$T:$T,MATCH(C190,'Strategy Indirect'!$A:$A,0)),"")</f>
        <v/>
      </c>
      <c r="Y190" s="3" t="str">
        <f ca="1">IF(D190&lt;&gt;"",INDEX('Strategy Indirect'!$T:$T,MATCH(D190,'Strategy Indirect'!$A:$A,0)),"")</f>
        <v/>
      </c>
      <c r="Z190" s="3" t="str">
        <f t="shared" ca="1" si="2"/>
        <v/>
      </c>
      <c r="AA190" s="159" t="str">
        <f ca="1">IF($A190&lt;&gt;"", IF(B190&lt;&gt;"",$U190/$Z190,""),"")</f>
        <v/>
      </c>
      <c r="AB190" s="159" t="str">
        <f ca="1">IF($A190&lt;&gt;"", IF(C190&lt;&gt;"",$U190/$Z190,""),"")</f>
        <v/>
      </c>
      <c r="AC190" s="159" t="str">
        <f ca="1">IF($A190&lt;&gt;"", IF(D190&lt;&gt;"",$U190/$Z190,""),"")</f>
        <v/>
      </c>
    </row>
    <row r="191" spans="1:29"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159" t="str">
        <f ca="1">IF(B191&lt;&gt;"",SUMIF('Work Indirect'!B:B,'Initiative Indirect'!A191,'Work Indirect'!AC:AC),"")</f>
        <v/>
      </c>
      <c r="V191" s="3" t="str">
        <f ca="1">IF(A191&lt;&gt;"",IF(F191="",IF(E191="","",INDEX(Priorities[Color],MATCH(E191,Priorities[Priorities],0),0)),F191),"")</f>
        <v/>
      </c>
      <c r="W191" s="3" t="str">
        <f ca="1">IF(B191&lt;&gt;"",INDEX('Strategy Indirect'!$T:$T,MATCH(B191,'Strategy Indirect'!$A:$A,0)),"")</f>
        <v/>
      </c>
      <c r="X191" s="3" t="str">
        <f ca="1">IF(C191&lt;&gt;"",INDEX('Strategy Indirect'!$T:$T,MATCH(C191,'Strategy Indirect'!$A:$A,0)),"")</f>
        <v/>
      </c>
      <c r="Y191" s="3" t="str">
        <f ca="1">IF(D191&lt;&gt;"",INDEX('Strategy Indirect'!$T:$T,MATCH(D191,'Strategy Indirect'!$A:$A,0)),"")</f>
        <v/>
      </c>
      <c r="Z191" s="3" t="str">
        <f t="shared" ca="1" si="2"/>
        <v/>
      </c>
      <c r="AA191" s="159" t="str">
        <f ca="1">IF($A191&lt;&gt;"", IF(B191&lt;&gt;"",$U191/$Z191,""),"")</f>
        <v/>
      </c>
      <c r="AB191" s="159" t="str">
        <f ca="1">IF($A191&lt;&gt;"", IF(C191&lt;&gt;"",$U191/$Z191,""),"")</f>
        <v/>
      </c>
      <c r="AC191" s="159" t="str">
        <f ca="1">IF($A191&lt;&gt;"", IF(D191&lt;&gt;"",$U191/$Z191,""),"")</f>
        <v/>
      </c>
    </row>
    <row r="192" spans="1:29"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159" t="str">
        <f ca="1">IF(B192&lt;&gt;"",SUMIF('Work Indirect'!B:B,'Initiative Indirect'!A192,'Work Indirect'!AC:AC),"")</f>
        <v/>
      </c>
      <c r="V192" s="3" t="str">
        <f ca="1">IF(A192&lt;&gt;"",IF(F192="",IF(E192="","",INDEX(Priorities[Color],MATCH(E192,Priorities[Priorities],0),0)),F192),"")</f>
        <v/>
      </c>
      <c r="W192" s="3" t="str">
        <f ca="1">IF(B192&lt;&gt;"",INDEX('Strategy Indirect'!$T:$T,MATCH(B192,'Strategy Indirect'!$A:$A,0)),"")</f>
        <v/>
      </c>
      <c r="X192" s="3" t="str">
        <f ca="1">IF(C192&lt;&gt;"",INDEX('Strategy Indirect'!$T:$T,MATCH(C192,'Strategy Indirect'!$A:$A,0)),"")</f>
        <v/>
      </c>
      <c r="Y192" s="3" t="str">
        <f ca="1">IF(D192&lt;&gt;"",INDEX('Strategy Indirect'!$T:$T,MATCH(D192,'Strategy Indirect'!$A:$A,0)),"")</f>
        <v/>
      </c>
      <c r="Z192" s="3" t="str">
        <f t="shared" ca="1" si="2"/>
        <v/>
      </c>
      <c r="AA192" s="159" t="str">
        <f ca="1">IF($A192&lt;&gt;"", IF(B192&lt;&gt;"",$U192/$Z192,""),"")</f>
        <v/>
      </c>
      <c r="AB192" s="159" t="str">
        <f ca="1">IF($A192&lt;&gt;"", IF(C192&lt;&gt;"",$U192/$Z192,""),"")</f>
        <v/>
      </c>
      <c r="AC192" s="159" t="str">
        <f ca="1">IF($A192&lt;&gt;"", IF(D192&lt;&gt;"",$U192/$Z192,""),"")</f>
        <v/>
      </c>
    </row>
    <row r="193" spans="1:29"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159" t="str">
        <f ca="1">IF(B193&lt;&gt;"",SUMIF('Work Indirect'!B:B,'Initiative Indirect'!A193,'Work Indirect'!AC:AC),"")</f>
        <v/>
      </c>
      <c r="V193" s="3" t="str">
        <f ca="1">IF(A193&lt;&gt;"",IF(F193="",IF(E193="","",INDEX(Priorities[Color],MATCH(E193,Priorities[Priorities],0),0)),F193),"")</f>
        <v/>
      </c>
      <c r="W193" s="3" t="str">
        <f ca="1">IF(B193&lt;&gt;"",INDEX('Strategy Indirect'!$T:$T,MATCH(B193,'Strategy Indirect'!$A:$A,0)),"")</f>
        <v/>
      </c>
      <c r="X193" s="3" t="str">
        <f ca="1">IF(C193&lt;&gt;"",INDEX('Strategy Indirect'!$T:$T,MATCH(C193,'Strategy Indirect'!$A:$A,0)),"")</f>
        <v/>
      </c>
      <c r="Y193" s="3" t="str">
        <f ca="1">IF(D193&lt;&gt;"",INDEX('Strategy Indirect'!$T:$T,MATCH(D193,'Strategy Indirect'!$A:$A,0)),"")</f>
        <v/>
      </c>
      <c r="Z193" s="3" t="str">
        <f t="shared" ca="1" si="2"/>
        <v/>
      </c>
      <c r="AA193" s="159" t="str">
        <f ca="1">IF($A193&lt;&gt;"", IF(B193&lt;&gt;"",$U193/$Z193,""),"")</f>
        <v/>
      </c>
      <c r="AB193" s="159" t="str">
        <f ca="1">IF($A193&lt;&gt;"", IF(C193&lt;&gt;"",$U193/$Z193,""),"")</f>
        <v/>
      </c>
      <c r="AC193" s="159" t="str">
        <f ca="1">IF($A193&lt;&gt;"", IF(D193&lt;&gt;"",$U193/$Z193,""),"")</f>
        <v/>
      </c>
    </row>
    <row r="194" spans="1:29"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159" t="str">
        <f ca="1">IF(B194&lt;&gt;"",SUMIF('Work Indirect'!B:B,'Initiative Indirect'!A194,'Work Indirect'!AC:AC),"")</f>
        <v/>
      </c>
      <c r="V194" s="3" t="str">
        <f ca="1">IF(A194&lt;&gt;"",IF(F194="",IF(E194="","",INDEX(Priorities[Color],MATCH(E194,Priorities[Priorities],0),0)),F194),"")</f>
        <v/>
      </c>
      <c r="W194" s="3" t="str">
        <f ca="1">IF(B194&lt;&gt;"",INDEX('Strategy Indirect'!$T:$T,MATCH(B194,'Strategy Indirect'!$A:$A,0)),"")</f>
        <v/>
      </c>
      <c r="X194" s="3" t="str">
        <f ca="1">IF(C194&lt;&gt;"",INDEX('Strategy Indirect'!$T:$T,MATCH(C194,'Strategy Indirect'!$A:$A,0)),"")</f>
        <v/>
      </c>
      <c r="Y194" s="3" t="str">
        <f ca="1">IF(D194&lt;&gt;"",INDEX('Strategy Indirect'!$T:$T,MATCH(D194,'Strategy Indirect'!$A:$A,0)),"")</f>
        <v/>
      </c>
      <c r="Z194" s="3" t="str">
        <f t="shared" ca="1" si="2"/>
        <v/>
      </c>
      <c r="AA194" s="159" t="str">
        <f ca="1">IF($A194&lt;&gt;"", IF(B194&lt;&gt;"",$U194/$Z194,""),"")</f>
        <v/>
      </c>
      <c r="AB194" s="159" t="str">
        <f ca="1">IF($A194&lt;&gt;"", IF(C194&lt;&gt;"",$U194/$Z194,""),"")</f>
        <v/>
      </c>
      <c r="AC194" s="159" t="str">
        <f ca="1">IF($A194&lt;&gt;"", IF(D194&lt;&gt;"",$U194/$Z194,""),"")</f>
        <v/>
      </c>
    </row>
    <row r="195" spans="1:29"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159" t="str">
        <f ca="1">IF(B195&lt;&gt;"",SUMIF('Work Indirect'!B:B,'Initiative Indirect'!A195,'Work Indirect'!AC:AC),"")</f>
        <v/>
      </c>
      <c r="V195" s="3" t="str">
        <f ca="1">IF(A195&lt;&gt;"",IF(F195="",IF(E195="","",INDEX(Priorities[Color],MATCH(E195,Priorities[Priorities],0),0)),F195),"")</f>
        <v/>
      </c>
      <c r="W195" s="3" t="str">
        <f ca="1">IF(B195&lt;&gt;"",INDEX('Strategy Indirect'!$T:$T,MATCH(B195,'Strategy Indirect'!$A:$A,0)),"")</f>
        <v/>
      </c>
      <c r="X195" s="3" t="str">
        <f ca="1">IF(C195&lt;&gt;"",INDEX('Strategy Indirect'!$T:$T,MATCH(C195,'Strategy Indirect'!$A:$A,0)),"")</f>
        <v/>
      </c>
      <c r="Y195" s="3" t="str">
        <f ca="1">IF(D195&lt;&gt;"",INDEX('Strategy Indirect'!$T:$T,MATCH(D195,'Strategy Indirect'!$A:$A,0)),"")</f>
        <v/>
      </c>
      <c r="Z195" s="3" t="str">
        <f t="shared" ref="Z195:Z251" ca="1" si="3">IF(A195&lt;&gt;"",3-COUNTIF($B195:$D195,""),"")</f>
        <v/>
      </c>
      <c r="AA195" s="159" t="str">
        <f ca="1">IF($A195&lt;&gt;"", IF(B195&lt;&gt;"",$U195/$Z195,""),"")</f>
        <v/>
      </c>
      <c r="AB195" s="159" t="str">
        <f ca="1">IF($A195&lt;&gt;"", IF(C195&lt;&gt;"",$U195/$Z195,""),"")</f>
        <v/>
      </c>
      <c r="AC195" s="159" t="str">
        <f ca="1">IF($A195&lt;&gt;"", IF(D195&lt;&gt;"",$U195/$Z195,""),"")</f>
        <v/>
      </c>
    </row>
    <row r="196" spans="1:29"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159" t="str">
        <f ca="1">IF(B196&lt;&gt;"",SUMIF('Work Indirect'!B:B,'Initiative Indirect'!A196,'Work Indirect'!AC:AC),"")</f>
        <v/>
      </c>
      <c r="V196" s="3" t="str">
        <f ca="1">IF(A196&lt;&gt;"",IF(F196="",IF(E196="","",INDEX(Priorities[Color],MATCH(E196,Priorities[Priorities],0),0)),F196),"")</f>
        <v/>
      </c>
      <c r="W196" s="3" t="str">
        <f ca="1">IF(B196&lt;&gt;"",INDEX('Strategy Indirect'!$T:$T,MATCH(B196,'Strategy Indirect'!$A:$A,0)),"")</f>
        <v/>
      </c>
      <c r="X196" s="3" t="str">
        <f ca="1">IF(C196&lt;&gt;"",INDEX('Strategy Indirect'!$T:$T,MATCH(C196,'Strategy Indirect'!$A:$A,0)),"")</f>
        <v/>
      </c>
      <c r="Y196" s="3" t="str">
        <f ca="1">IF(D196&lt;&gt;"",INDEX('Strategy Indirect'!$T:$T,MATCH(D196,'Strategy Indirect'!$A:$A,0)),"")</f>
        <v/>
      </c>
      <c r="Z196" s="3" t="str">
        <f t="shared" ca="1" si="3"/>
        <v/>
      </c>
      <c r="AA196" s="159" t="str">
        <f ca="1">IF($A196&lt;&gt;"", IF(B196&lt;&gt;"",$U196/$Z196,""),"")</f>
        <v/>
      </c>
      <c r="AB196" s="159" t="str">
        <f ca="1">IF($A196&lt;&gt;"", IF(C196&lt;&gt;"",$U196/$Z196,""),"")</f>
        <v/>
      </c>
      <c r="AC196" s="159" t="str">
        <f ca="1">IF($A196&lt;&gt;"", IF(D196&lt;&gt;"",$U196/$Z196,""),"")</f>
        <v/>
      </c>
    </row>
    <row r="197" spans="1:29"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159" t="str">
        <f ca="1">IF(B197&lt;&gt;"",SUMIF('Work Indirect'!B:B,'Initiative Indirect'!A197,'Work Indirect'!AC:AC),"")</f>
        <v/>
      </c>
      <c r="V197" s="3" t="str">
        <f ca="1">IF(A197&lt;&gt;"",IF(F197="",IF(E197="","",INDEX(Priorities[Color],MATCH(E197,Priorities[Priorities],0),0)),F197),"")</f>
        <v/>
      </c>
      <c r="W197" s="3" t="str">
        <f ca="1">IF(B197&lt;&gt;"",INDEX('Strategy Indirect'!$T:$T,MATCH(B197,'Strategy Indirect'!$A:$A,0)),"")</f>
        <v/>
      </c>
      <c r="X197" s="3" t="str">
        <f ca="1">IF(C197&lt;&gt;"",INDEX('Strategy Indirect'!$T:$T,MATCH(C197,'Strategy Indirect'!$A:$A,0)),"")</f>
        <v/>
      </c>
      <c r="Y197" s="3" t="str">
        <f ca="1">IF(D197&lt;&gt;"",INDEX('Strategy Indirect'!$T:$T,MATCH(D197,'Strategy Indirect'!$A:$A,0)),"")</f>
        <v/>
      </c>
      <c r="Z197" s="3" t="str">
        <f t="shared" ca="1" si="3"/>
        <v/>
      </c>
      <c r="AA197" s="159" t="str">
        <f ca="1">IF($A197&lt;&gt;"", IF(B197&lt;&gt;"",$U197/$Z197,""),"")</f>
        <v/>
      </c>
      <c r="AB197" s="159" t="str">
        <f ca="1">IF($A197&lt;&gt;"", IF(C197&lt;&gt;"",$U197/$Z197,""),"")</f>
        <v/>
      </c>
      <c r="AC197" s="159" t="str">
        <f ca="1">IF($A197&lt;&gt;"", IF(D197&lt;&gt;"",$U197/$Z197,""),"")</f>
        <v/>
      </c>
    </row>
    <row r="198" spans="1:29"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159" t="str">
        <f ca="1">IF(B198&lt;&gt;"",SUMIF('Work Indirect'!B:B,'Initiative Indirect'!A198,'Work Indirect'!AC:AC),"")</f>
        <v/>
      </c>
      <c r="V198" s="3" t="str">
        <f ca="1">IF(A198&lt;&gt;"",IF(F198="",IF(E198="","",INDEX(Priorities[Color],MATCH(E198,Priorities[Priorities],0),0)),F198),"")</f>
        <v/>
      </c>
      <c r="W198" s="3" t="str">
        <f ca="1">IF(B198&lt;&gt;"",INDEX('Strategy Indirect'!$T:$T,MATCH(B198,'Strategy Indirect'!$A:$A,0)),"")</f>
        <v/>
      </c>
      <c r="X198" s="3" t="str">
        <f ca="1">IF(C198&lt;&gt;"",INDEX('Strategy Indirect'!$T:$T,MATCH(C198,'Strategy Indirect'!$A:$A,0)),"")</f>
        <v/>
      </c>
      <c r="Y198" s="3" t="str">
        <f ca="1">IF(D198&lt;&gt;"",INDEX('Strategy Indirect'!$T:$T,MATCH(D198,'Strategy Indirect'!$A:$A,0)),"")</f>
        <v/>
      </c>
      <c r="Z198" s="3" t="str">
        <f t="shared" ca="1" si="3"/>
        <v/>
      </c>
      <c r="AA198" s="159" t="str">
        <f ca="1">IF($A198&lt;&gt;"", IF(B198&lt;&gt;"",$U198/$Z198,""),"")</f>
        <v/>
      </c>
      <c r="AB198" s="159" t="str">
        <f ca="1">IF($A198&lt;&gt;"", IF(C198&lt;&gt;"",$U198/$Z198,""),"")</f>
        <v/>
      </c>
      <c r="AC198" s="159" t="str">
        <f ca="1">IF($A198&lt;&gt;"", IF(D198&lt;&gt;"",$U198/$Z198,""),"")</f>
        <v/>
      </c>
    </row>
    <row r="199" spans="1:29"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159" t="str">
        <f ca="1">IF(B199&lt;&gt;"",SUMIF('Work Indirect'!B:B,'Initiative Indirect'!A199,'Work Indirect'!AC:AC),"")</f>
        <v/>
      </c>
      <c r="V199" s="3" t="str">
        <f ca="1">IF(A199&lt;&gt;"",IF(F199="",IF(E199="","",INDEX(Priorities[Color],MATCH(E199,Priorities[Priorities],0),0)),F199),"")</f>
        <v/>
      </c>
      <c r="W199" s="3" t="str">
        <f ca="1">IF(B199&lt;&gt;"",INDEX('Strategy Indirect'!$T:$T,MATCH(B199,'Strategy Indirect'!$A:$A,0)),"")</f>
        <v/>
      </c>
      <c r="X199" s="3" t="str">
        <f ca="1">IF(C199&lt;&gt;"",INDEX('Strategy Indirect'!$T:$T,MATCH(C199,'Strategy Indirect'!$A:$A,0)),"")</f>
        <v/>
      </c>
      <c r="Y199" s="3" t="str">
        <f ca="1">IF(D199&lt;&gt;"",INDEX('Strategy Indirect'!$T:$T,MATCH(D199,'Strategy Indirect'!$A:$A,0)),"")</f>
        <v/>
      </c>
      <c r="Z199" s="3" t="str">
        <f t="shared" ca="1" si="3"/>
        <v/>
      </c>
      <c r="AA199" s="159" t="str">
        <f ca="1">IF($A199&lt;&gt;"", IF(B199&lt;&gt;"",$U199/$Z199,""),"")</f>
        <v/>
      </c>
      <c r="AB199" s="159" t="str">
        <f ca="1">IF($A199&lt;&gt;"", IF(C199&lt;&gt;"",$U199/$Z199,""),"")</f>
        <v/>
      </c>
      <c r="AC199" s="159" t="str">
        <f ca="1">IF($A199&lt;&gt;"", IF(D199&lt;&gt;"",$U199/$Z199,""),"")</f>
        <v/>
      </c>
    </row>
    <row r="200" spans="1:29"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159" t="str">
        <f ca="1">IF(B200&lt;&gt;"",SUMIF('Work Indirect'!B:B,'Initiative Indirect'!A200,'Work Indirect'!AC:AC),"")</f>
        <v/>
      </c>
      <c r="V200" s="3" t="str">
        <f ca="1">IF(A200&lt;&gt;"",IF(F200="",IF(E200="","",INDEX(Priorities[Color],MATCH(E200,Priorities[Priorities],0),0)),F200),"")</f>
        <v/>
      </c>
      <c r="W200" s="3" t="str">
        <f ca="1">IF(B200&lt;&gt;"",INDEX('Strategy Indirect'!$T:$T,MATCH(B200,'Strategy Indirect'!$A:$A,0)),"")</f>
        <v/>
      </c>
      <c r="X200" s="3" t="str">
        <f ca="1">IF(C200&lt;&gt;"",INDEX('Strategy Indirect'!$T:$T,MATCH(C200,'Strategy Indirect'!$A:$A,0)),"")</f>
        <v/>
      </c>
      <c r="Y200" s="3" t="str">
        <f ca="1">IF(D200&lt;&gt;"",INDEX('Strategy Indirect'!$T:$T,MATCH(D200,'Strategy Indirect'!$A:$A,0)),"")</f>
        <v/>
      </c>
      <c r="Z200" s="3" t="str">
        <f t="shared" ca="1" si="3"/>
        <v/>
      </c>
      <c r="AA200" s="159" t="str">
        <f ca="1">IF($A200&lt;&gt;"", IF(B200&lt;&gt;"",$U200/$Z200,""),"")</f>
        <v/>
      </c>
      <c r="AB200" s="159" t="str">
        <f ca="1">IF($A200&lt;&gt;"", IF(C200&lt;&gt;"",$U200/$Z200,""),"")</f>
        <v/>
      </c>
      <c r="AC200" s="159" t="str">
        <f ca="1">IF($A200&lt;&gt;"", IF(D200&lt;&gt;"",$U200/$Z200,""),"")</f>
        <v/>
      </c>
    </row>
    <row r="201" spans="1:29"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159" t="str">
        <f ca="1">IF(B201&lt;&gt;"",SUMIF('Work Indirect'!B:B,'Initiative Indirect'!A201,'Work Indirect'!AC:AC),"")</f>
        <v/>
      </c>
      <c r="V201" s="3" t="str">
        <f ca="1">IF(A201&lt;&gt;"",IF(F201="",IF(E201="","",INDEX(Priorities[Color],MATCH(E201,Priorities[Priorities],0),0)),F201),"")</f>
        <v/>
      </c>
      <c r="W201" s="3" t="str">
        <f ca="1">IF(B201&lt;&gt;"",INDEX('Strategy Indirect'!$T:$T,MATCH(B201,'Strategy Indirect'!$A:$A,0)),"")</f>
        <v/>
      </c>
      <c r="X201" s="3" t="str">
        <f ca="1">IF(C201&lt;&gt;"",INDEX('Strategy Indirect'!$T:$T,MATCH(C201,'Strategy Indirect'!$A:$A,0)),"")</f>
        <v/>
      </c>
      <c r="Y201" s="3" t="str">
        <f ca="1">IF(D201&lt;&gt;"",INDEX('Strategy Indirect'!$T:$T,MATCH(D201,'Strategy Indirect'!$A:$A,0)),"")</f>
        <v/>
      </c>
      <c r="Z201" s="3" t="str">
        <f t="shared" ca="1" si="3"/>
        <v/>
      </c>
      <c r="AA201" s="159" t="str">
        <f ca="1">IF($A201&lt;&gt;"", IF(B201&lt;&gt;"",$U201/$Z201,""),"")</f>
        <v/>
      </c>
      <c r="AB201" s="159" t="str">
        <f ca="1">IF($A201&lt;&gt;"", IF(C201&lt;&gt;"",$U201/$Z201,""),"")</f>
        <v/>
      </c>
      <c r="AC201" s="159" t="str">
        <f ca="1">IF($A201&lt;&gt;"", IF(D201&lt;&gt;"",$U201/$Z201,""),"")</f>
        <v/>
      </c>
    </row>
    <row r="202" spans="1:29"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159" t="str">
        <f ca="1">IF(B202&lt;&gt;"",SUMIF('Work Indirect'!B:B,'Initiative Indirect'!A202,'Work Indirect'!AC:AC),"")</f>
        <v/>
      </c>
      <c r="V202" s="3" t="str">
        <f ca="1">IF(A202&lt;&gt;"",IF(F202="",IF(E202="","",INDEX(Priorities[Color],MATCH(E202,Priorities[Priorities],0),0)),F202),"")</f>
        <v/>
      </c>
      <c r="W202" s="3" t="str">
        <f ca="1">IF(B202&lt;&gt;"",INDEX('Strategy Indirect'!$T:$T,MATCH(B202,'Strategy Indirect'!$A:$A,0)),"")</f>
        <v/>
      </c>
      <c r="X202" s="3" t="str">
        <f ca="1">IF(C202&lt;&gt;"",INDEX('Strategy Indirect'!$T:$T,MATCH(C202,'Strategy Indirect'!$A:$A,0)),"")</f>
        <v/>
      </c>
      <c r="Y202" s="3" t="str">
        <f ca="1">IF(D202&lt;&gt;"",INDEX('Strategy Indirect'!$T:$T,MATCH(D202,'Strategy Indirect'!$A:$A,0)),"")</f>
        <v/>
      </c>
      <c r="Z202" s="3" t="str">
        <f t="shared" ca="1" si="3"/>
        <v/>
      </c>
      <c r="AA202" s="159" t="str">
        <f ca="1">IF($A202&lt;&gt;"", IF(B202&lt;&gt;"",$U202/$Z202,""),"")</f>
        <v/>
      </c>
      <c r="AB202" s="159" t="str">
        <f ca="1">IF($A202&lt;&gt;"", IF(C202&lt;&gt;"",$U202/$Z202,""),"")</f>
        <v/>
      </c>
      <c r="AC202" s="159" t="str">
        <f ca="1">IF($A202&lt;&gt;"", IF(D202&lt;&gt;"",$U202/$Z202,""),"")</f>
        <v/>
      </c>
    </row>
    <row r="203" spans="1:29"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159" t="str">
        <f ca="1">IF(B203&lt;&gt;"",SUMIF('Work Indirect'!B:B,'Initiative Indirect'!A203,'Work Indirect'!AC:AC),"")</f>
        <v/>
      </c>
      <c r="V203" s="3" t="str">
        <f ca="1">IF(A203&lt;&gt;"",IF(F203="",IF(E203="","",INDEX(Priorities[Color],MATCH(E203,Priorities[Priorities],0),0)),F203),"")</f>
        <v/>
      </c>
      <c r="W203" s="3" t="str">
        <f ca="1">IF(B203&lt;&gt;"",INDEX('Strategy Indirect'!$T:$T,MATCH(B203,'Strategy Indirect'!$A:$A,0)),"")</f>
        <v/>
      </c>
      <c r="X203" s="3" t="str">
        <f ca="1">IF(C203&lt;&gt;"",INDEX('Strategy Indirect'!$T:$T,MATCH(C203,'Strategy Indirect'!$A:$A,0)),"")</f>
        <v/>
      </c>
      <c r="Y203" s="3" t="str">
        <f ca="1">IF(D203&lt;&gt;"",INDEX('Strategy Indirect'!$T:$T,MATCH(D203,'Strategy Indirect'!$A:$A,0)),"")</f>
        <v/>
      </c>
      <c r="Z203" s="3" t="str">
        <f t="shared" ca="1" si="3"/>
        <v/>
      </c>
      <c r="AA203" s="159" t="str">
        <f ca="1">IF($A203&lt;&gt;"", IF(B203&lt;&gt;"",$U203/$Z203,""),"")</f>
        <v/>
      </c>
      <c r="AB203" s="159" t="str">
        <f ca="1">IF($A203&lt;&gt;"", IF(C203&lt;&gt;"",$U203/$Z203,""),"")</f>
        <v/>
      </c>
      <c r="AC203" s="159" t="str">
        <f ca="1">IF($A203&lt;&gt;"", IF(D203&lt;&gt;"",$U203/$Z203,""),"")</f>
        <v/>
      </c>
    </row>
    <row r="204" spans="1:29"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159" t="str">
        <f ca="1">IF(B204&lt;&gt;"",SUMIF('Work Indirect'!B:B,'Initiative Indirect'!A204,'Work Indirect'!AC:AC),"")</f>
        <v/>
      </c>
      <c r="V204" s="3" t="str">
        <f ca="1">IF(A204&lt;&gt;"",IF(F204="",IF(E204="","",INDEX(Priorities[Color],MATCH(E204,Priorities[Priorities],0),0)),F204),"")</f>
        <v/>
      </c>
      <c r="W204" s="3" t="str">
        <f ca="1">IF(B204&lt;&gt;"",INDEX('Strategy Indirect'!$T:$T,MATCH(B204,'Strategy Indirect'!$A:$A,0)),"")</f>
        <v/>
      </c>
      <c r="X204" s="3" t="str">
        <f ca="1">IF(C204&lt;&gt;"",INDEX('Strategy Indirect'!$T:$T,MATCH(C204,'Strategy Indirect'!$A:$A,0)),"")</f>
        <v/>
      </c>
      <c r="Y204" s="3" t="str">
        <f ca="1">IF(D204&lt;&gt;"",INDEX('Strategy Indirect'!$T:$T,MATCH(D204,'Strategy Indirect'!$A:$A,0)),"")</f>
        <v/>
      </c>
      <c r="Z204" s="3" t="str">
        <f t="shared" ca="1" si="3"/>
        <v/>
      </c>
      <c r="AA204" s="159" t="str">
        <f ca="1">IF($A204&lt;&gt;"", IF(B204&lt;&gt;"",$U204/$Z204,""),"")</f>
        <v/>
      </c>
      <c r="AB204" s="159" t="str">
        <f ca="1">IF($A204&lt;&gt;"", IF(C204&lt;&gt;"",$U204/$Z204,""),"")</f>
        <v/>
      </c>
      <c r="AC204" s="159" t="str">
        <f ca="1">IF($A204&lt;&gt;"", IF(D204&lt;&gt;"",$U204/$Z204,""),"")</f>
        <v/>
      </c>
    </row>
    <row r="205" spans="1:29"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159" t="str">
        <f ca="1">IF(B205&lt;&gt;"",SUMIF('Work Indirect'!B:B,'Initiative Indirect'!A205,'Work Indirect'!AC:AC),"")</f>
        <v/>
      </c>
      <c r="V205" s="3" t="str">
        <f ca="1">IF(A205&lt;&gt;"",IF(F205="",IF(E205="","",INDEX(Priorities[Color],MATCH(E205,Priorities[Priorities],0),0)),F205),"")</f>
        <v/>
      </c>
      <c r="W205" s="3" t="str">
        <f ca="1">IF(B205&lt;&gt;"",INDEX('Strategy Indirect'!$T:$T,MATCH(B205,'Strategy Indirect'!$A:$A,0)),"")</f>
        <v/>
      </c>
      <c r="X205" s="3" t="str">
        <f ca="1">IF(C205&lt;&gt;"",INDEX('Strategy Indirect'!$T:$T,MATCH(C205,'Strategy Indirect'!$A:$A,0)),"")</f>
        <v/>
      </c>
      <c r="Y205" s="3" t="str">
        <f ca="1">IF(D205&lt;&gt;"",INDEX('Strategy Indirect'!$T:$T,MATCH(D205,'Strategy Indirect'!$A:$A,0)),"")</f>
        <v/>
      </c>
      <c r="Z205" s="3" t="str">
        <f t="shared" ca="1" si="3"/>
        <v/>
      </c>
      <c r="AA205" s="159" t="str">
        <f ca="1">IF($A205&lt;&gt;"", IF(B205&lt;&gt;"",$U205/$Z205,""),"")</f>
        <v/>
      </c>
      <c r="AB205" s="159" t="str">
        <f ca="1">IF($A205&lt;&gt;"", IF(C205&lt;&gt;"",$U205/$Z205,""),"")</f>
        <v/>
      </c>
      <c r="AC205" s="159" t="str">
        <f ca="1">IF($A205&lt;&gt;"", IF(D205&lt;&gt;"",$U205/$Z205,""),"")</f>
        <v/>
      </c>
    </row>
    <row r="206" spans="1:29"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159" t="str">
        <f ca="1">IF(B206&lt;&gt;"",SUMIF('Work Indirect'!B:B,'Initiative Indirect'!A206,'Work Indirect'!AC:AC),"")</f>
        <v/>
      </c>
      <c r="V206" s="3" t="str">
        <f ca="1">IF(A206&lt;&gt;"",IF(F206="",IF(E206="","",INDEX(Priorities[Color],MATCH(E206,Priorities[Priorities],0),0)),F206),"")</f>
        <v/>
      </c>
      <c r="W206" s="3" t="str">
        <f ca="1">IF(B206&lt;&gt;"",INDEX('Strategy Indirect'!$T:$T,MATCH(B206,'Strategy Indirect'!$A:$A,0)),"")</f>
        <v/>
      </c>
      <c r="X206" s="3" t="str">
        <f ca="1">IF(C206&lt;&gt;"",INDEX('Strategy Indirect'!$T:$T,MATCH(C206,'Strategy Indirect'!$A:$A,0)),"")</f>
        <v/>
      </c>
      <c r="Y206" s="3" t="str">
        <f ca="1">IF(D206&lt;&gt;"",INDEX('Strategy Indirect'!$T:$T,MATCH(D206,'Strategy Indirect'!$A:$A,0)),"")</f>
        <v/>
      </c>
      <c r="Z206" s="3" t="str">
        <f t="shared" ca="1" si="3"/>
        <v/>
      </c>
      <c r="AA206" s="159" t="str">
        <f ca="1">IF($A206&lt;&gt;"", IF(B206&lt;&gt;"",$U206/$Z206,""),"")</f>
        <v/>
      </c>
      <c r="AB206" s="159" t="str">
        <f ca="1">IF($A206&lt;&gt;"", IF(C206&lt;&gt;"",$U206/$Z206,""),"")</f>
        <v/>
      </c>
      <c r="AC206" s="159" t="str">
        <f ca="1">IF($A206&lt;&gt;"", IF(D206&lt;&gt;"",$U206/$Z206,""),"")</f>
        <v/>
      </c>
    </row>
    <row r="207" spans="1:29"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159" t="str">
        <f ca="1">IF(B207&lt;&gt;"",SUMIF('Work Indirect'!B:B,'Initiative Indirect'!A207,'Work Indirect'!AC:AC),"")</f>
        <v/>
      </c>
      <c r="V207" s="3" t="str">
        <f ca="1">IF(A207&lt;&gt;"",IF(F207="",IF(E207="","",INDEX(Priorities[Color],MATCH(E207,Priorities[Priorities],0),0)),F207),"")</f>
        <v/>
      </c>
      <c r="W207" s="3" t="str">
        <f ca="1">IF(B207&lt;&gt;"",INDEX('Strategy Indirect'!$T:$T,MATCH(B207,'Strategy Indirect'!$A:$A,0)),"")</f>
        <v/>
      </c>
      <c r="X207" s="3" t="str">
        <f ca="1">IF(C207&lt;&gt;"",INDEX('Strategy Indirect'!$T:$T,MATCH(C207,'Strategy Indirect'!$A:$A,0)),"")</f>
        <v/>
      </c>
      <c r="Y207" s="3" t="str">
        <f ca="1">IF(D207&lt;&gt;"",INDEX('Strategy Indirect'!$T:$T,MATCH(D207,'Strategy Indirect'!$A:$A,0)),"")</f>
        <v/>
      </c>
      <c r="Z207" s="3" t="str">
        <f t="shared" ca="1" si="3"/>
        <v/>
      </c>
      <c r="AA207" s="159" t="str">
        <f ca="1">IF($A207&lt;&gt;"", IF(B207&lt;&gt;"",$U207/$Z207,""),"")</f>
        <v/>
      </c>
      <c r="AB207" s="159" t="str">
        <f ca="1">IF($A207&lt;&gt;"", IF(C207&lt;&gt;"",$U207/$Z207,""),"")</f>
        <v/>
      </c>
      <c r="AC207" s="159" t="str">
        <f ca="1">IF($A207&lt;&gt;"", IF(D207&lt;&gt;"",$U207/$Z207,""),"")</f>
        <v/>
      </c>
    </row>
    <row r="208" spans="1:29"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159" t="str">
        <f ca="1">IF(B208&lt;&gt;"",SUMIF('Work Indirect'!B:B,'Initiative Indirect'!A208,'Work Indirect'!AC:AC),"")</f>
        <v/>
      </c>
      <c r="V208" s="3" t="str">
        <f ca="1">IF(A208&lt;&gt;"",IF(F208="",IF(E208="","",INDEX(Priorities[Color],MATCH(E208,Priorities[Priorities],0),0)),F208),"")</f>
        <v/>
      </c>
      <c r="W208" s="3" t="str">
        <f ca="1">IF(B208&lt;&gt;"",INDEX('Strategy Indirect'!$T:$T,MATCH(B208,'Strategy Indirect'!$A:$A,0)),"")</f>
        <v/>
      </c>
      <c r="X208" s="3" t="str">
        <f ca="1">IF(C208&lt;&gt;"",INDEX('Strategy Indirect'!$T:$T,MATCH(C208,'Strategy Indirect'!$A:$A,0)),"")</f>
        <v/>
      </c>
      <c r="Y208" s="3" t="str">
        <f ca="1">IF(D208&lt;&gt;"",INDEX('Strategy Indirect'!$T:$T,MATCH(D208,'Strategy Indirect'!$A:$A,0)),"")</f>
        <v/>
      </c>
      <c r="Z208" s="3" t="str">
        <f t="shared" ca="1" si="3"/>
        <v/>
      </c>
      <c r="AA208" s="159" t="str">
        <f ca="1">IF($A208&lt;&gt;"", IF(B208&lt;&gt;"",$U208/$Z208,""),"")</f>
        <v/>
      </c>
      <c r="AB208" s="159" t="str">
        <f ca="1">IF($A208&lt;&gt;"", IF(C208&lt;&gt;"",$U208/$Z208,""),"")</f>
        <v/>
      </c>
      <c r="AC208" s="159" t="str">
        <f ca="1">IF($A208&lt;&gt;"", IF(D208&lt;&gt;"",$U208/$Z208,""),"")</f>
        <v/>
      </c>
    </row>
    <row r="209" spans="1:29"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159" t="str">
        <f ca="1">IF(B209&lt;&gt;"",SUMIF('Work Indirect'!B:B,'Initiative Indirect'!A209,'Work Indirect'!AC:AC),"")</f>
        <v/>
      </c>
      <c r="V209" s="3" t="str">
        <f ca="1">IF(A209&lt;&gt;"",IF(F209="",IF(E209="","",INDEX(Priorities[Color],MATCH(E209,Priorities[Priorities],0),0)),F209),"")</f>
        <v/>
      </c>
      <c r="W209" s="3" t="str">
        <f ca="1">IF(B209&lt;&gt;"",INDEX('Strategy Indirect'!$T:$T,MATCH(B209,'Strategy Indirect'!$A:$A,0)),"")</f>
        <v/>
      </c>
      <c r="X209" s="3" t="str">
        <f ca="1">IF(C209&lt;&gt;"",INDEX('Strategy Indirect'!$T:$T,MATCH(C209,'Strategy Indirect'!$A:$A,0)),"")</f>
        <v/>
      </c>
      <c r="Y209" s="3" t="str">
        <f ca="1">IF(D209&lt;&gt;"",INDEX('Strategy Indirect'!$T:$T,MATCH(D209,'Strategy Indirect'!$A:$A,0)),"")</f>
        <v/>
      </c>
      <c r="Z209" s="3" t="str">
        <f t="shared" ca="1" si="3"/>
        <v/>
      </c>
      <c r="AA209" s="159" t="str">
        <f ca="1">IF($A209&lt;&gt;"", IF(B209&lt;&gt;"",$U209/$Z209,""),"")</f>
        <v/>
      </c>
      <c r="AB209" s="159" t="str">
        <f ca="1">IF($A209&lt;&gt;"", IF(C209&lt;&gt;"",$U209/$Z209,""),"")</f>
        <v/>
      </c>
      <c r="AC209" s="159" t="str">
        <f ca="1">IF($A209&lt;&gt;"", IF(D209&lt;&gt;"",$U209/$Z209,""),"")</f>
        <v/>
      </c>
    </row>
    <row r="210" spans="1:29"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159" t="str">
        <f ca="1">IF(B210&lt;&gt;"",SUMIF('Work Indirect'!B:B,'Initiative Indirect'!A210,'Work Indirect'!AC:AC),"")</f>
        <v/>
      </c>
      <c r="V210" s="3" t="str">
        <f ca="1">IF(A210&lt;&gt;"",IF(F210="",IF(E210="","",INDEX(Priorities[Color],MATCH(E210,Priorities[Priorities],0),0)),F210),"")</f>
        <v/>
      </c>
      <c r="W210" s="3" t="str">
        <f ca="1">IF(B210&lt;&gt;"",INDEX('Strategy Indirect'!$T:$T,MATCH(B210,'Strategy Indirect'!$A:$A,0)),"")</f>
        <v/>
      </c>
      <c r="X210" s="3" t="str">
        <f ca="1">IF(C210&lt;&gt;"",INDEX('Strategy Indirect'!$T:$T,MATCH(C210,'Strategy Indirect'!$A:$A,0)),"")</f>
        <v/>
      </c>
      <c r="Y210" s="3" t="str">
        <f ca="1">IF(D210&lt;&gt;"",INDEX('Strategy Indirect'!$T:$T,MATCH(D210,'Strategy Indirect'!$A:$A,0)),"")</f>
        <v/>
      </c>
      <c r="Z210" s="3" t="str">
        <f t="shared" ca="1" si="3"/>
        <v/>
      </c>
      <c r="AA210" s="159" t="str">
        <f ca="1">IF($A210&lt;&gt;"", IF(B210&lt;&gt;"",$U210/$Z210,""),"")</f>
        <v/>
      </c>
      <c r="AB210" s="159" t="str">
        <f ca="1">IF($A210&lt;&gt;"", IF(C210&lt;&gt;"",$U210/$Z210,""),"")</f>
        <v/>
      </c>
      <c r="AC210" s="159" t="str">
        <f ca="1">IF($A210&lt;&gt;"", IF(D210&lt;&gt;"",$U210/$Z210,""),"")</f>
        <v/>
      </c>
    </row>
    <row r="211" spans="1:29"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159" t="str">
        <f ca="1">IF(B211&lt;&gt;"",SUMIF('Work Indirect'!B:B,'Initiative Indirect'!A211,'Work Indirect'!AC:AC),"")</f>
        <v/>
      </c>
      <c r="V211" s="3" t="str">
        <f ca="1">IF(A211&lt;&gt;"",IF(F211="",IF(E211="","",INDEX(Priorities[Color],MATCH(E211,Priorities[Priorities],0),0)),F211),"")</f>
        <v/>
      </c>
      <c r="W211" s="3" t="str">
        <f ca="1">IF(B211&lt;&gt;"",INDEX('Strategy Indirect'!$T:$T,MATCH(B211,'Strategy Indirect'!$A:$A,0)),"")</f>
        <v/>
      </c>
      <c r="X211" s="3" t="str">
        <f ca="1">IF(C211&lt;&gt;"",INDEX('Strategy Indirect'!$T:$T,MATCH(C211,'Strategy Indirect'!$A:$A,0)),"")</f>
        <v/>
      </c>
      <c r="Y211" s="3" t="str">
        <f ca="1">IF(D211&lt;&gt;"",INDEX('Strategy Indirect'!$T:$T,MATCH(D211,'Strategy Indirect'!$A:$A,0)),"")</f>
        <v/>
      </c>
      <c r="Z211" s="3" t="str">
        <f t="shared" ca="1" si="3"/>
        <v/>
      </c>
      <c r="AA211" s="159" t="str">
        <f ca="1">IF($A211&lt;&gt;"", IF(B211&lt;&gt;"",$U211/$Z211,""),"")</f>
        <v/>
      </c>
      <c r="AB211" s="159" t="str">
        <f ca="1">IF($A211&lt;&gt;"", IF(C211&lt;&gt;"",$U211/$Z211,""),"")</f>
        <v/>
      </c>
      <c r="AC211" s="159" t="str">
        <f ca="1">IF($A211&lt;&gt;"", IF(D211&lt;&gt;"",$U211/$Z211,""),"")</f>
        <v/>
      </c>
    </row>
    <row r="212" spans="1:29"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159" t="str">
        <f ca="1">IF(B212&lt;&gt;"",SUMIF('Work Indirect'!B:B,'Initiative Indirect'!A212,'Work Indirect'!AC:AC),"")</f>
        <v/>
      </c>
      <c r="V212" s="3" t="str">
        <f ca="1">IF(A212&lt;&gt;"",IF(F212="",IF(E212="","",INDEX(Priorities[Color],MATCH(E212,Priorities[Priorities],0),0)),F212),"")</f>
        <v/>
      </c>
      <c r="W212" s="3" t="str">
        <f ca="1">IF(B212&lt;&gt;"",INDEX('Strategy Indirect'!$T:$T,MATCH(B212,'Strategy Indirect'!$A:$A,0)),"")</f>
        <v/>
      </c>
      <c r="X212" s="3" t="str">
        <f ca="1">IF(C212&lt;&gt;"",INDEX('Strategy Indirect'!$T:$T,MATCH(C212,'Strategy Indirect'!$A:$A,0)),"")</f>
        <v/>
      </c>
      <c r="Y212" s="3" t="str">
        <f ca="1">IF(D212&lt;&gt;"",INDEX('Strategy Indirect'!$T:$T,MATCH(D212,'Strategy Indirect'!$A:$A,0)),"")</f>
        <v/>
      </c>
      <c r="Z212" s="3" t="str">
        <f t="shared" ca="1" si="3"/>
        <v/>
      </c>
      <c r="AA212" s="159" t="str">
        <f ca="1">IF($A212&lt;&gt;"", IF(B212&lt;&gt;"",$U212/$Z212,""),"")</f>
        <v/>
      </c>
      <c r="AB212" s="159" t="str">
        <f ca="1">IF($A212&lt;&gt;"", IF(C212&lt;&gt;"",$U212/$Z212,""),"")</f>
        <v/>
      </c>
      <c r="AC212" s="159" t="str">
        <f ca="1">IF($A212&lt;&gt;"", IF(D212&lt;&gt;"",$U212/$Z212,""),"")</f>
        <v/>
      </c>
    </row>
    <row r="213" spans="1:29"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159" t="str">
        <f ca="1">IF(B213&lt;&gt;"",SUMIF('Work Indirect'!B:B,'Initiative Indirect'!A213,'Work Indirect'!AC:AC),"")</f>
        <v/>
      </c>
      <c r="V213" s="3" t="str">
        <f ca="1">IF(A213&lt;&gt;"",IF(F213="",IF(E213="","",INDEX(Priorities[Color],MATCH(E213,Priorities[Priorities],0),0)),F213),"")</f>
        <v/>
      </c>
      <c r="W213" s="3" t="str">
        <f ca="1">IF(B213&lt;&gt;"",INDEX('Strategy Indirect'!$T:$T,MATCH(B213,'Strategy Indirect'!$A:$A,0)),"")</f>
        <v/>
      </c>
      <c r="X213" s="3" t="str">
        <f ca="1">IF(C213&lt;&gt;"",INDEX('Strategy Indirect'!$T:$T,MATCH(C213,'Strategy Indirect'!$A:$A,0)),"")</f>
        <v/>
      </c>
      <c r="Y213" s="3" t="str">
        <f ca="1">IF(D213&lt;&gt;"",INDEX('Strategy Indirect'!$T:$T,MATCH(D213,'Strategy Indirect'!$A:$A,0)),"")</f>
        <v/>
      </c>
      <c r="Z213" s="3" t="str">
        <f t="shared" ca="1" si="3"/>
        <v/>
      </c>
      <c r="AA213" s="159" t="str">
        <f ca="1">IF($A213&lt;&gt;"", IF(B213&lt;&gt;"",$U213/$Z213,""),"")</f>
        <v/>
      </c>
      <c r="AB213" s="159" t="str">
        <f ca="1">IF($A213&lt;&gt;"", IF(C213&lt;&gt;"",$U213/$Z213,""),"")</f>
        <v/>
      </c>
      <c r="AC213" s="159" t="str">
        <f ca="1">IF($A213&lt;&gt;"", IF(D213&lt;&gt;"",$U213/$Z213,""),"")</f>
        <v/>
      </c>
    </row>
    <row r="214" spans="1:29"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159" t="str">
        <f ca="1">IF(B214&lt;&gt;"",SUMIF('Work Indirect'!B:B,'Initiative Indirect'!A214,'Work Indirect'!AC:AC),"")</f>
        <v/>
      </c>
      <c r="V214" s="3" t="str">
        <f ca="1">IF(A214&lt;&gt;"",IF(F214="",IF(E214="","",INDEX(Priorities[Color],MATCH(E214,Priorities[Priorities],0),0)),F214),"")</f>
        <v/>
      </c>
      <c r="W214" s="3" t="str">
        <f ca="1">IF(B214&lt;&gt;"",INDEX('Strategy Indirect'!$T:$T,MATCH(B214,'Strategy Indirect'!$A:$A,0)),"")</f>
        <v/>
      </c>
      <c r="X214" s="3" t="str">
        <f ca="1">IF(C214&lt;&gt;"",INDEX('Strategy Indirect'!$T:$T,MATCH(C214,'Strategy Indirect'!$A:$A,0)),"")</f>
        <v/>
      </c>
      <c r="Y214" s="3" t="str">
        <f ca="1">IF(D214&lt;&gt;"",INDEX('Strategy Indirect'!$T:$T,MATCH(D214,'Strategy Indirect'!$A:$A,0)),"")</f>
        <v/>
      </c>
      <c r="Z214" s="3" t="str">
        <f t="shared" ca="1" si="3"/>
        <v/>
      </c>
      <c r="AA214" s="159" t="str">
        <f ca="1">IF($A214&lt;&gt;"", IF(B214&lt;&gt;"",$U214/$Z214,""),"")</f>
        <v/>
      </c>
      <c r="AB214" s="159" t="str">
        <f ca="1">IF($A214&lt;&gt;"", IF(C214&lt;&gt;"",$U214/$Z214,""),"")</f>
        <v/>
      </c>
      <c r="AC214" s="159" t="str">
        <f ca="1">IF($A214&lt;&gt;"", IF(D214&lt;&gt;"",$U214/$Z214,""),"")</f>
        <v/>
      </c>
    </row>
    <row r="215" spans="1:29"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159" t="str">
        <f ca="1">IF(B215&lt;&gt;"",SUMIF('Work Indirect'!B:B,'Initiative Indirect'!A215,'Work Indirect'!AC:AC),"")</f>
        <v/>
      </c>
      <c r="V215" s="3" t="str">
        <f ca="1">IF(A215&lt;&gt;"",IF(F215="",IF(E215="","",INDEX(Priorities[Color],MATCH(E215,Priorities[Priorities],0),0)),F215),"")</f>
        <v/>
      </c>
      <c r="W215" s="3" t="str">
        <f ca="1">IF(B215&lt;&gt;"",INDEX('Strategy Indirect'!$T:$T,MATCH(B215,'Strategy Indirect'!$A:$A,0)),"")</f>
        <v/>
      </c>
      <c r="X215" s="3" t="str">
        <f ca="1">IF(C215&lt;&gt;"",INDEX('Strategy Indirect'!$T:$T,MATCH(C215,'Strategy Indirect'!$A:$A,0)),"")</f>
        <v/>
      </c>
      <c r="Y215" s="3" t="str">
        <f ca="1">IF(D215&lt;&gt;"",INDEX('Strategy Indirect'!$T:$T,MATCH(D215,'Strategy Indirect'!$A:$A,0)),"")</f>
        <v/>
      </c>
      <c r="Z215" s="3" t="str">
        <f t="shared" ca="1" si="3"/>
        <v/>
      </c>
      <c r="AA215" s="159" t="str">
        <f ca="1">IF($A215&lt;&gt;"", IF(B215&lt;&gt;"",$U215/$Z215,""),"")</f>
        <v/>
      </c>
      <c r="AB215" s="159" t="str">
        <f ca="1">IF($A215&lt;&gt;"", IF(C215&lt;&gt;"",$U215/$Z215,""),"")</f>
        <v/>
      </c>
      <c r="AC215" s="159" t="str">
        <f ca="1">IF($A215&lt;&gt;"", IF(D215&lt;&gt;"",$U215/$Z215,""),"")</f>
        <v/>
      </c>
    </row>
    <row r="216" spans="1:29"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159" t="str">
        <f ca="1">IF(B216&lt;&gt;"",SUMIF('Work Indirect'!B:B,'Initiative Indirect'!A216,'Work Indirect'!AC:AC),"")</f>
        <v/>
      </c>
      <c r="V216" s="3" t="str">
        <f ca="1">IF(A216&lt;&gt;"",IF(F216="",IF(E216="","",INDEX(Priorities[Color],MATCH(E216,Priorities[Priorities],0),0)),F216),"")</f>
        <v/>
      </c>
      <c r="W216" s="3" t="str">
        <f ca="1">IF(B216&lt;&gt;"",INDEX('Strategy Indirect'!$T:$T,MATCH(B216,'Strategy Indirect'!$A:$A,0)),"")</f>
        <v/>
      </c>
      <c r="X216" s="3" t="str">
        <f ca="1">IF(C216&lt;&gt;"",INDEX('Strategy Indirect'!$T:$T,MATCH(C216,'Strategy Indirect'!$A:$A,0)),"")</f>
        <v/>
      </c>
      <c r="Y216" s="3" t="str">
        <f ca="1">IF(D216&lt;&gt;"",INDEX('Strategy Indirect'!$T:$T,MATCH(D216,'Strategy Indirect'!$A:$A,0)),"")</f>
        <v/>
      </c>
      <c r="Z216" s="3" t="str">
        <f t="shared" ca="1" si="3"/>
        <v/>
      </c>
      <c r="AA216" s="159" t="str">
        <f ca="1">IF($A216&lt;&gt;"", IF(B216&lt;&gt;"",$U216/$Z216,""),"")</f>
        <v/>
      </c>
      <c r="AB216" s="159" t="str">
        <f ca="1">IF($A216&lt;&gt;"", IF(C216&lt;&gt;"",$U216/$Z216,""),"")</f>
        <v/>
      </c>
      <c r="AC216" s="159" t="str">
        <f ca="1">IF($A216&lt;&gt;"", IF(D216&lt;&gt;"",$U216/$Z216,""),"")</f>
        <v/>
      </c>
    </row>
    <row r="217" spans="1:29"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159" t="str">
        <f ca="1">IF(B217&lt;&gt;"",SUMIF('Work Indirect'!B:B,'Initiative Indirect'!A217,'Work Indirect'!AC:AC),"")</f>
        <v/>
      </c>
      <c r="V217" s="3" t="str">
        <f ca="1">IF(A217&lt;&gt;"",IF(F217="",IF(E217="","",INDEX(Priorities[Color],MATCH(E217,Priorities[Priorities],0),0)),F217),"")</f>
        <v/>
      </c>
      <c r="W217" s="3" t="str">
        <f ca="1">IF(B217&lt;&gt;"",INDEX('Strategy Indirect'!$T:$T,MATCH(B217,'Strategy Indirect'!$A:$A,0)),"")</f>
        <v/>
      </c>
      <c r="X217" s="3" t="str">
        <f ca="1">IF(C217&lt;&gt;"",INDEX('Strategy Indirect'!$T:$T,MATCH(C217,'Strategy Indirect'!$A:$A,0)),"")</f>
        <v/>
      </c>
      <c r="Y217" s="3" t="str">
        <f ca="1">IF(D217&lt;&gt;"",INDEX('Strategy Indirect'!$T:$T,MATCH(D217,'Strategy Indirect'!$A:$A,0)),"")</f>
        <v/>
      </c>
      <c r="Z217" s="3" t="str">
        <f t="shared" ca="1" si="3"/>
        <v/>
      </c>
      <c r="AA217" s="159" t="str">
        <f ca="1">IF($A217&lt;&gt;"", IF(B217&lt;&gt;"",$U217/$Z217,""),"")</f>
        <v/>
      </c>
      <c r="AB217" s="159" t="str">
        <f ca="1">IF($A217&lt;&gt;"", IF(C217&lt;&gt;"",$U217/$Z217,""),"")</f>
        <v/>
      </c>
      <c r="AC217" s="159" t="str">
        <f ca="1">IF($A217&lt;&gt;"", IF(D217&lt;&gt;"",$U217/$Z217,""),"")</f>
        <v/>
      </c>
    </row>
    <row r="218" spans="1:29"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159" t="str">
        <f ca="1">IF(B218&lt;&gt;"",SUMIF('Work Indirect'!B:B,'Initiative Indirect'!A218,'Work Indirect'!AC:AC),"")</f>
        <v/>
      </c>
      <c r="V218" s="3" t="str">
        <f ca="1">IF(A218&lt;&gt;"",IF(F218="",IF(E218="","",INDEX(Priorities[Color],MATCH(E218,Priorities[Priorities],0),0)),F218),"")</f>
        <v/>
      </c>
      <c r="W218" s="3" t="str">
        <f ca="1">IF(B218&lt;&gt;"",INDEX('Strategy Indirect'!$T:$T,MATCH(B218,'Strategy Indirect'!$A:$A,0)),"")</f>
        <v/>
      </c>
      <c r="X218" s="3" t="str">
        <f ca="1">IF(C218&lt;&gt;"",INDEX('Strategy Indirect'!$T:$T,MATCH(C218,'Strategy Indirect'!$A:$A,0)),"")</f>
        <v/>
      </c>
      <c r="Y218" s="3" t="str">
        <f ca="1">IF(D218&lt;&gt;"",INDEX('Strategy Indirect'!$T:$T,MATCH(D218,'Strategy Indirect'!$A:$A,0)),"")</f>
        <v/>
      </c>
      <c r="Z218" s="3" t="str">
        <f t="shared" ca="1" si="3"/>
        <v/>
      </c>
      <c r="AA218" s="159" t="str">
        <f ca="1">IF($A218&lt;&gt;"", IF(B218&lt;&gt;"",$U218/$Z218,""),"")</f>
        <v/>
      </c>
      <c r="AB218" s="159" t="str">
        <f ca="1">IF($A218&lt;&gt;"", IF(C218&lt;&gt;"",$U218/$Z218,""),"")</f>
        <v/>
      </c>
      <c r="AC218" s="159" t="str">
        <f ca="1">IF($A218&lt;&gt;"", IF(D218&lt;&gt;"",$U218/$Z218,""),"")</f>
        <v/>
      </c>
    </row>
    <row r="219" spans="1:29"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159" t="str">
        <f ca="1">IF(B219&lt;&gt;"",SUMIF('Work Indirect'!B:B,'Initiative Indirect'!A219,'Work Indirect'!AC:AC),"")</f>
        <v/>
      </c>
      <c r="V219" s="3" t="str">
        <f ca="1">IF(A219&lt;&gt;"",IF(F219="",IF(E219="","",INDEX(Priorities[Color],MATCH(E219,Priorities[Priorities],0),0)),F219),"")</f>
        <v/>
      </c>
      <c r="W219" s="3" t="str">
        <f ca="1">IF(B219&lt;&gt;"",INDEX('Strategy Indirect'!$T:$T,MATCH(B219,'Strategy Indirect'!$A:$A,0)),"")</f>
        <v/>
      </c>
      <c r="X219" s="3" t="str">
        <f ca="1">IF(C219&lt;&gt;"",INDEX('Strategy Indirect'!$T:$T,MATCH(C219,'Strategy Indirect'!$A:$A,0)),"")</f>
        <v/>
      </c>
      <c r="Y219" s="3" t="str">
        <f ca="1">IF(D219&lt;&gt;"",INDEX('Strategy Indirect'!$T:$T,MATCH(D219,'Strategy Indirect'!$A:$A,0)),"")</f>
        <v/>
      </c>
      <c r="Z219" s="3" t="str">
        <f t="shared" ca="1" si="3"/>
        <v/>
      </c>
      <c r="AA219" s="159" t="str">
        <f ca="1">IF($A219&lt;&gt;"", IF(B219&lt;&gt;"",$U219/$Z219,""),"")</f>
        <v/>
      </c>
      <c r="AB219" s="159" t="str">
        <f ca="1">IF($A219&lt;&gt;"", IF(C219&lt;&gt;"",$U219/$Z219,""),"")</f>
        <v/>
      </c>
      <c r="AC219" s="159" t="str">
        <f ca="1">IF($A219&lt;&gt;"", IF(D219&lt;&gt;"",$U219/$Z219,""),"")</f>
        <v/>
      </c>
    </row>
    <row r="220" spans="1:29"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159" t="str">
        <f ca="1">IF(B220&lt;&gt;"",SUMIF('Work Indirect'!B:B,'Initiative Indirect'!A220,'Work Indirect'!AC:AC),"")</f>
        <v/>
      </c>
      <c r="V220" s="3" t="str">
        <f ca="1">IF(A220&lt;&gt;"",IF(F220="",IF(E220="","",INDEX(Priorities[Color],MATCH(E220,Priorities[Priorities],0),0)),F220),"")</f>
        <v/>
      </c>
      <c r="W220" s="3" t="str">
        <f ca="1">IF(B220&lt;&gt;"",INDEX('Strategy Indirect'!$T:$T,MATCH(B220,'Strategy Indirect'!$A:$A,0)),"")</f>
        <v/>
      </c>
      <c r="X220" s="3" t="str">
        <f ca="1">IF(C220&lt;&gt;"",INDEX('Strategy Indirect'!$T:$T,MATCH(C220,'Strategy Indirect'!$A:$A,0)),"")</f>
        <v/>
      </c>
      <c r="Y220" s="3" t="str">
        <f ca="1">IF(D220&lt;&gt;"",INDEX('Strategy Indirect'!$T:$T,MATCH(D220,'Strategy Indirect'!$A:$A,0)),"")</f>
        <v/>
      </c>
      <c r="Z220" s="3" t="str">
        <f t="shared" ca="1" si="3"/>
        <v/>
      </c>
      <c r="AA220" s="159" t="str">
        <f ca="1">IF($A220&lt;&gt;"", IF(B220&lt;&gt;"",$U220/$Z220,""),"")</f>
        <v/>
      </c>
      <c r="AB220" s="159" t="str">
        <f ca="1">IF($A220&lt;&gt;"", IF(C220&lt;&gt;"",$U220/$Z220,""),"")</f>
        <v/>
      </c>
      <c r="AC220" s="159" t="str">
        <f ca="1">IF($A220&lt;&gt;"", IF(D220&lt;&gt;"",$U220/$Z220,""),"")</f>
        <v/>
      </c>
    </row>
    <row r="221" spans="1:29"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159" t="str">
        <f ca="1">IF(B221&lt;&gt;"",SUMIF('Work Indirect'!B:B,'Initiative Indirect'!A221,'Work Indirect'!AC:AC),"")</f>
        <v/>
      </c>
      <c r="V221" s="3" t="str">
        <f ca="1">IF(A221&lt;&gt;"",IF(F221="",IF(E221="","",INDEX(Priorities[Color],MATCH(E221,Priorities[Priorities],0),0)),F221),"")</f>
        <v/>
      </c>
      <c r="W221" s="3" t="str">
        <f ca="1">IF(B221&lt;&gt;"",INDEX('Strategy Indirect'!$T:$T,MATCH(B221,'Strategy Indirect'!$A:$A,0)),"")</f>
        <v/>
      </c>
      <c r="X221" s="3" t="str">
        <f ca="1">IF(C221&lt;&gt;"",INDEX('Strategy Indirect'!$T:$T,MATCH(C221,'Strategy Indirect'!$A:$A,0)),"")</f>
        <v/>
      </c>
      <c r="Y221" s="3" t="str">
        <f ca="1">IF(D221&lt;&gt;"",INDEX('Strategy Indirect'!$T:$T,MATCH(D221,'Strategy Indirect'!$A:$A,0)),"")</f>
        <v/>
      </c>
      <c r="Z221" s="3" t="str">
        <f t="shared" ca="1" si="3"/>
        <v/>
      </c>
      <c r="AA221" s="159" t="str">
        <f ca="1">IF($A221&lt;&gt;"", IF(B221&lt;&gt;"",$U221/$Z221,""),"")</f>
        <v/>
      </c>
      <c r="AB221" s="159" t="str">
        <f ca="1">IF($A221&lt;&gt;"", IF(C221&lt;&gt;"",$U221/$Z221,""),"")</f>
        <v/>
      </c>
      <c r="AC221" s="159" t="str">
        <f ca="1">IF($A221&lt;&gt;"", IF(D221&lt;&gt;"",$U221/$Z221,""),"")</f>
        <v/>
      </c>
    </row>
    <row r="222" spans="1:29"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159" t="str">
        <f ca="1">IF(B222&lt;&gt;"",SUMIF('Work Indirect'!B:B,'Initiative Indirect'!A222,'Work Indirect'!AC:AC),"")</f>
        <v/>
      </c>
      <c r="V222" s="3" t="str">
        <f ca="1">IF(A222&lt;&gt;"",IF(F222="",IF(E222="","",INDEX(Priorities[Color],MATCH(E222,Priorities[Priorities],0),0)),F222),"")</f>
        <v/>
      </c>
      <c r="W222" s="3" t="str">
        <f ca="1">IF(B222&lt;&gt;"",INDEX('Strategy Indirect'!$T:$T,MATCH(B222,'Strategy Indirect'!$A:$A,0)),"")</f>
        <v/>
      </c>
      <c r="X222" s="3" t="str">
        <f ca="1">IF(C222&lt;&gt;"",INDEX('Strategy Indirect'!$T:$T,MATCH(C222,'Strategy Indirect'!$A:$A,0)),"")</f>
        <v/>
      </c>
      <c r="Y222" s="3" t="str">
        <f ca="1">IF(D222&lt;&gt;"",INDEX('Strategy Indirect'!$T:$T,MATCH(D222,'Strategy Indirect'!$A:$A,0)),"")</f>
        <v/>
      </c>
      <c r="Z222" s="3" t="str">
        <f t="shared" ca="1" si="3"/>
        <v/>
      </c>
      <c r="AA222" s="159" t="str">
        <f ca="1">IF($A222&lt;&gt;"", IF(B222&lt;&gt;"",$U222/$Z222,""),"")</f>
        <v/>
      </c>
      <c r="AB222" s="159" t="str">
        <f ca="1">IF($A222&lt;&gt;"", IF(C222&lt;&gt;"",$U222/$Z222,""),"")</f>
        <v/>
      </c>
      <c r="AC222" s="159" t="str">
        <f ca="1">IF($A222&lt;&gt;"", IF(D222&lt;&gt;"",$U222/$Z222,""),"")</f>
        <v/>
      </c>
    </row>
    <row r="223" spans="1:29"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159" t="str">
        <f ca="1">IF(B223&lt;&gt;"",SUMIF('Work Indirect'!B:B,'Initiative Indirect'!A223,'Work Indirect'!AC:AC),"")</f>
        <v/>
      </c>
      <c r="V223" s="3" t="str">
        <f ca="1">IF(A223&lt;&gt;"",IF(F223="",IF(E223="","",INDEX(Priorities[Color],MATCH(E223,Priorities[Priorities],0),0)),F223),"")</f>
        <v/>
      </c>
      <c r="W223" s="3" t="str">
        <f ca="1">IF(B223&lt;&gt;"",INDEX('Strategy Indirect'!$T:$T,MATCH(B223,'Strategy Indirect'!$A:$A,0)),"")</f>
        <v/>
      </c>
      <c r="X223" s="3" t="str">
        <f ca="1">IF(C223&lt;&gt;"",INDEX('Strategy Indirect'!$T:$T,MATCH(C223,'Strategy Indirect'!$A:$A,0)),"")</f>
        <v/>
      </c>
      <c r="Y223" s="3" t="str">
        <f ca="1">IF(D223&lt;&gt;"",INDEX('Strategy Indirect'!$T:$T,MATCH(D223,'Strategy Indirect'!$A:$A,0)),"")</f>
        <v/>
      </c>
      <c r="Z223" s="3" t="str">
        <f t="shared" ca="1" si="3"/>
        <v/>
      </c>
      <c r="AA223" s="159" t="str">
        <f ca="1">IF($A223&lt;&gt;"", IF(B223&lt;&gt;"",$U223/$Z223,""),"")</f>
        <v/>
      </c>
      <c r="AB223" s="159" t="str">
        <f ca="1">IF($A223&lt;&gt;"", IF(C223&lt;&gt;"",$U223/$Z223,""),"")</f>
        <v/>
      </c>
      <c r="AC223" s="159" t="str">
        <f ca="1">IF($A223&lt;&gt;"", IF(D223&lt;&gt;"",$U223/$Z223,""),"")</f>
        <v/>
      </c>
    </row>
    <row r="224" spans="1:29"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159" t="str">
        <f ca="1">IF(B224&lt;&gt;"",SUMIF('Work Indirect'!B:B,'Initiative Indirect'!A224,'Work Indirect'!AC:AC),"")</f>
        <v/>
      </c>
      <c r="V224" s="3" t="str">
        <f ca="1">IF(A224&lt;&gt;"",IF(F224="",IF(E224="","",INDEX(Priorities[Color],MATCH(E224,Priorities[Priorities],0),0)),F224),"")</f>
        <v/>
      </c>
      <c r="W224" s="3" t="str">
        <f ca="1">IF(B224&lt;&gt;"",INDEX('Strategy Indirect'!$T:$T,MATCH(B224,'Strategy Indirect'!$A:$A,0)),"")</f>
        <v/>
      </c>
      <c r="X224" s="3" t="str">
        <f ca="1">IF(C224&lt;&gt;"",INDEX('Strategy Indirect'!$T:$T,MATCH(C224,'Strategy Indirect'!$A:$A,0)),"")</f>
        <v/>
      </c>
      <c r="Y224" s="3" t="str">
        <f ca="1">IF(D224&lt;&gt;"",INDEX('Strategy Indirect'!$T:$T,MATCH(D224,'Strategy Indirect'!$A:$A,0)),"")</f>
        <v/>
      </c>
      <c r="Z224" s="3" t="str">
        <f t="shared" ca="1" si="3"/>
        <v/>
      </c>
      <c r="AA224" s="159" t="str">
        <f ca="1">IF($A224&lt;&gt;"", IF(B224&lt;&gt;"",$U224/$Z224,""),"")</f>
        <v/>
      </c>
      <c r="AB224" s="159" t="str">
        <f ca="1">IF($A224&lt;&gt;"", IF(C224&lt;&gt;"",$U224/$Z224,""),"")</f>
        <v/>
      </c>
      <c r="AC224" s="159" t="str">
        <f ca="1">IF($A224&lt;&gt;"", IF(D224&lt;&gt;"",$U224/$Z224,""),"")</f>
        <v/>
      </c>
    </row>
    <row r="225" spans="1:29"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159" t="str">
        <f ca="1">IF(B225&lt;&gt;"",SUMIF('Work Indirect'!B:B,'Initiative Indirect'!A225,'Work Indirect'!AC:AC),"")</f>
        <v/>
      </c>
      <c r="V225" s="3" t="str">
        <f ca="1">IF(A225&lt;&gt;"",IF(F225="",IF(E225="","",INDEX(Priorities[Color],MATCH(E225,Priorities[Priorities],0),0)),F225),"")</f>
        <v/>
      </c>
      <c r="W225" s="3" t="str">
        <f ca="1">IF(B225&lt;&gt;"",INDEX('Strategy Indirect'!$T:$T,MATCH(B225,'Strategy Indirect'!$A:$A,0)),"")</f>
        <v/>
      </c>
      <c r="X225" s="3" t="str">
        <f ca="1">IF(C225&lt;&gt;"",INDEX('Strategy Indirect'!$T:$T,MATCH(C225,'Strategy Indirect'!$A:$A,0)),"")</f>
        <v/>
      </c>
      <c r="Y225" s="3" t="str">
        <f ca="1">IF(D225&lt;&gt;"",INDEX('Strategy Indirect'!$T:$T,MATCH(D225,'Strategy Indirect'!$A:$A,0)),"")</f>
        <v/>
      </c>
      <c r="Z225" s="3" t="str">
        <f t="shared" ca="1" si="3"/>
        <v/>
      </c>
      <c r="AA225" s="159" t="str">
        <f ca="1">IF($A225&lt;&gt;"", IF(B225&lt;&gt;"",$U225/$Z225,""),"")</f>
        <v/>
      </c>
      <c r="AB225" s="159" t="str">
        <f ca="1">IF($A225&lt;&gt;"", IF(C225&lt;&gt;"",$U225/$Z225,""),"")</f>
        <v/>
      </c>
      <c r="AC225" s="159" t="str">
        <f ca="1">IF($A225&lt;&gt;"", IF(D225&lt;&gt;"",$U225/$Z225,""),"")</f>
        <v/>
      </c>
    </row>
    <row r="226" spans="1:29"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159" t="str">
        <f ca="1">IF(B226&lt;&gt;"",SUMIF('Work Indirect'!B:B,'Initiative Indirect'!A226,'Work Indirect'!AC:AC),"")</f>
        <v/>
      </c>
      <c r="V226" s="3" t="str">
        <f ca="1">IF(A226&lt;&gt;"",IF(F226="",IF(E226="","",INDEX(Priorities[Color],MATCH(E226,Priorities[Priorities],0),0)),F226),"")</f>
        <v/>
      </c>
      <c r="W226" s="3" t="str">
        <f ca="1">IF(B226&lt;&gt;"",INDEX('Strategy Indirect'!$T:$T,MATCH(B226,'Strategy Indirect'!$A:$A,0)),"")</f>
        <v/>
      </c>
      <c r="X226" s="3" t="str">
        <f ca="1">IF(C226&lt;&gt;"",INDEX('Strategy Indirect'!$T:$T,MATCH(C226,'Strategy Indirect'!$A:$A,0)),"")</f>
        <v/>
      </c>
      <c r="Y226" s="3" t="str">
        <f ca="1">IF(D226&lt;&gt;"",INDEX('Strategy Indirect'!$T:$T,MATCH(D226,'Strategy Indirect'!$A:$A,0)),"")</f>
        <v/>
      </c>
      <c r="Z226" s="3" t="str">
        <f t="shared" ca="1" si="3"/>
        <v/>
      </c>
      <c r="AA226" s="159" t="str">
        <f ca="1">IF($A226&lt;&gt;"", IF(B226&lt;&gt;"",$U226/$Z226,""),"")</f>
        <v/>
      </c>
      <c r="AB226" s="159" t="str">
        <f ca="1">IF($A226&lt;&gt;"", IF(C226&lt;&gt;"",$U226/$Z226,""),"")</f>
        <v/>
      </c>
      <c r="AC226" s="159" t="str">
        <f ca="1">IF($A226&lt;&gt;"", IF(D226&lt;&gt;"",$U226/$Z226,""),"")</f>
        <v/>
      </c>
    </row>
    <row r="227" spans="1:29"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159" t="str">
        <f ca="1">IF(B227&lt;&gt;"",SUMIF('Work Indirect'!B:B,'Initiative Indirect'!A227,'Work Indirect'!AC:AC),"")</f>
        <v/>
      </c>
      <c r="V227" s="3" t="str">
        <f ca="1">IF(A227&lt;&gt;"",IF(F227="",IF(E227="","",INDEX(Priorities[Color],MATCH(E227,Priorities[Priorities],0),0)),F227),"")</f>
        <v/>
      </c>
      <c r="W227" s="3" t="str">
        <f ca="1">IF(B227&lt;&gt;"",INDEX('Strategy Indirect'!$T:$T,MATCH(B227,'Strategy Indirect'!$A:$A,0)),"")</f>
        <v/>
      </c>
      <c r="X227" s="3" t="str">
        <f ca="1">IF(C227&lt;&gt;"",INDEX('Strategy Indirect'!$T:$T,MATCH(C227,'Strategy Indirect'!$A:$A,0)),"")</f>
        <v/>
      </c>
      <c r="Y227" s="3" t="str">
        <f ca="1">IF(D227&lt;&gt;"",INDEX('Strategy Indirect'!$T:$T,MATCH(D227,'Strategy Indirect'!$A:$A,0)),"")</f>
        <v/>
      </c>
      <c r="Z227" s="3" t="str">
        <f t="shared" ca="1" si="3"/>
        <v/>
      </c>
      <c r="AA227" s="159" t="str">
        <f ca="1">IF($A227&lt;&gt;"", IF(B227&lt;&gt;"",$U227/$Z227,""),"")</f>
        <v/>
      </c>
      <c r="AB227" s="159" t="str">
        <f ca="1">IF($A227&lt;&gt;"", IF(C227&lt;&gt;"",$U227/$Z227,""),"")</f>
        <v/>
      </c>
      <c r="AC227" s="159" t="str">
        <f ca="1">IF($A227&lt;&gt;"", IF(D227&lt;&gt;"",$U227/$Z227,""),"")</f>
        <v/>
      </c>
    </row>
    <row r="228" spans="1:29"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159" t="str">
        <f ca="1">IF(B228&lt;&gt;"",SUMIF('Work Indirect'!B:B,'Initiative Indirect'!A228,'Work Indirect'!AC:AC),"")</f>
        <v/>
      </c>
      <c r="V228" s="3" t="str">
        <f ca="1">IF(A228&lt;&gt;"",IF(F228="",IF(E228="","",INDEX(Priorities[Color],MATCH(E228,Priorities[Priorities],0),0)),F228),"")</f>
        <v/>
      </c>
      <c r="W228" s="3" t="str">
        <f ca="1">IF(B228&lt;&gt;"",INDEX('Strategy Indirect'!$T:$T,MATCH(B228,'Strategy Indirect'!$A:$A,0)),"")</f>
        <v/>
      </c>
      <c r="X228" s="3" t="str">
        <f ca="1">IF(C228&lt;&gt;"",INDEX('Strategy Indirect'!$T:$T,MATCH(C228,'Strategy Indirect'!$A:$A,0)),"")</f>
        <v/>
      </c>
      <c r="Y228" s="3" t="str">
        <f ca="1">IF(D228&lt;&gt;"",INDEX('Strategy Indirect'!$T:$T,MATCH(D228,'Strategy Indirect'!$A:$A,0)),"")</f>
        <v/>
      </c>
      <c r="Z228" s="3" t="str">
        <f t="shared" ca="1" si="3"/>
        <v/>
      </c>
      <c r="AA228" s="159" t="str">
        <f ca="1">IF($A228&lt;&gt;"", IF(B228&lt;&gt;"",$U228/$Z228,""),"")</f>
        <v/>
      </c>
      <c r="AB228" s="159" t="str">
        <f ca="1">IF($A228&lt;&gt;"", IF(C228&lt;&gt;"",$U228/$Z228,""),"")</f>
        <v/>
      </c>
      <c r="AC228" s="159" t="str">
        <f ca="1">IF($A228&lt;&gt;"", IF(D228&lt;&gt;"",$U228/$Z228,""),"")</f>
        <v/>
      </c>
    </row>
    <row r="229" spans="1:29"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159" t="str">
        <f ca="1">IF(B229&lt;&gt;"",SUMIF('Work Indirect'!B:B,'Initiative Indirect'!A229,'Work Indirect'!AC:AC),"")</f>
        <v/>
      </c>
      <c r="V229" s="3" t="str">
        <f ca="1">IF(A229&lt;&gt;"",IF(F229="",IF(E229="","",INDEX(Priorities[Color],MATCH(E229,Priorities[Priorities],0),0)),F229),"")</f>
        <v/>
      </c>
      <c r="W229" s="3" t="str">
        <f ca="1">IF(B229&lt;&gt;"",INDEX('Strategy Indirect'!$T:$T,MATCH(B229,'Strategy Indirect'!$A:$A,0)),"")</f>
        <v/>
      </c>
      <c r="X229" s="3" t="str">
        <f ca="1">IF(C229&lt;&gt;"",INDEX('Strategy Indirect'!$T:$T,MATCH(C229,'Strategy Indirect'!$A:$A,0)),"")</f>
        <v/>
      </c>
      <c r="Y229" s="3" t="str">
        <f ca="1">IF(D229&lt;&gt;"",INDEX('Strategy Indirect'!$T:$T,MATCH(D229,'Strategy Indirect'!$A:$A,0)),"")</f>
        <v/>
      </c>
      <c r="Z229" s="3" t="str">
        <f t="shared" ca="1" si="3"/>
        <v/>
      </c>
      <c r="AA229" s="159" t="str">
        <f ca="1">IF($A229&lt;&gt;"", IF(B229&lt;&gt;"",$U229/$Z229,""),"")</f>
        <v/>
      </c>
      <c r="AB229" s="159" t="str">
        <f ca="1">IF($A229&lt;&gt;"", IF(C229&lt;&gt;"",$U229/$Z229,""),"")</f>
        <v/>
      </c>
      <c r="AC229" s="159" t="str">
        <f ca="1">IF($A229&lt;&gt;"", IF(D229&lt;&gt;"",$U229/$Z229,""),"")</f>
        <v/>
      </c>
    </row>
    <row r="230" spans="1:29"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159" t="str">
        <f ca="1">IF(B230&lt;&gt;"",SUMIF('Work Indirect'!B:B,'Initiative Indirect'!A230,'Work Indirect'!AC:AC),"")</f>
        <v/>
      </c>
      <c r="V230" s="3" t="str">
        <f ca="1">IF(A230&lt;&gt;"",IF(F230="",IF(E230="","",INDEX(Priorities[Color],MATCH(E230,Priorities[Priorities],0),0)),F230),"")</f>
        <v/>
      </c>
      <c r="W230" s="3" t="str">
        <f ca="1">IF(B230&lt;&gt;"",INDEX('Strategy Indirect'!$T:$T,MATCH(B230,'Strategy Indirect'!$A:$A,0)),"")</f>
        <v/>
      </c>
      <c r="X230" s="3" t="str">
        <f ca="1">IF(C230&lt;&gt;"",INDEX('Strategy Indirect'!$T:$T,MATCH(C230,'Strategy Indirect'!$A:$A,0)),"")</f>
        <v/>
      </c>
      <c r="Y230" s="3" t="str">
        <f ca="1">IF(D230&lt;&gt;"",INDEX('Strategy Indirect'!$T:$T,MATCH(D230,'Strategy Indirect'!$A:$A,0)),"")</f>
        <v/>
      </c>
      <c r="Z230" s="3" t="str">
        <f t="shared" ca="1" si="3"/>
        <v/>
      </c>
      <c r="AA230" s="159" t="str">
        <f ca="1">IF($A230&lt;&gt;"", IF(B230&lt;&gt;"",$U230/$Z230,""),"")</f>
        <v/>
      </c>
      <c r="AB230" s="159" t="str">
        <f ca="1">IF($A230&lt;&gt;"", IF(C230&lt;&gt;"",$U230/$Z230,""),"")</f>
        <v/>
      </c>
      <c r="AC230" s="159" t="str">
        <f ca="1">IF($A230&lt;&gt;"", IF(D230&lt;&gt;"",$U230/$Z230,""),"")</f>
        <v/>
      </c>
    </row>
    <row r="231" spans="1:29"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159" t="str">
        <f ca="1">IF(B231&lt;&gt;"",SUMIF('Work Indirect'!B:B,'Initiative Indirect'!A231,'Work Indirect'!AC:AC),"")</f>
        <v/>
      </c>
      <c r="V231" s="3" t="str">
        <f ca="1">IF(A231&lt;&gt;"",IF(F231="",IF(E231="","",INDEX(Priorities[Color],MATCH(E231,Priorities[Priorities],0),0)),F231),"")</f>
        <v/>
      </c>
      <c r="W231" s="3" t="str">
        <f ca="1">IF(B231&lt;&gt;"",INDEX('Strategy Indirect'!$T:$T,MATCH(B231,'Strategy Indirect'!$A:$A,0)),"")</f>
        <v/>
      </c>
      <c r="X231" s="3" t="str">
        <f ca="1">IF(C231&lt;&gt;"",INDEX('Strategy Indirect'!$T:$T,MATCH(C231,'Strategy Indirect'!$A:$A,0)),"")</f>
        <v/>
      </c>
      <c r="Y231" s="3" t="str">
        <f ca="1">IF(D231&lt;&gt;"",INDEX('Strategy Indirect'!$T:$T,MATCH(D231,'Strategy Indirect'!$A:$A,0)),"")</f>
        <v/>
      </c>
      <c r="Z231" s="3" t="str">
        <f t="shared" ca="1" si="3"/>
        <v/>
      </c>
      <c r="AA231" s="159" t="str">
        <f ca="1">IF($A231&lt;&gt;"", IF(B231&lt;&gt;"",$U231/$Z231,""),"")</f>
        <v/>
      </c>
      <c r="AB231" s="159" t="str">
        <f ca="1">IF($A231&lt;&gt;"", IF(C231&lt;&gt;"",$U231/$Z231,""),"")</f>
        <v/>
      </c>
      <c r="AC231" s="159" t="str">
        <f ca="1">IF($A231&lt;&gt;"", IF(D231&lt;&gt;"",$U231/$Z231,""),"")</f>
        <v/>
      </c>
    </row>
    <row r="232" spans="1:29"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159" t="str">
        <f ca="1">IF(B232&lt;&gt;"",SUMIF('Work Indirect'!B:B,'Initiative Indirect'!A232,'Work Indirect'!AC:AC),"")</f>
        <v/>
      </c>
      <c r="V232" s="3" t="str">
        <f ca="1">IF(A232&lt;&gt;"",IF(F232="",IF(E232="","",INDEX(Priorities[Color],MATCH(E232,Priorities[Priorities],0),0)),F232),"")</f>
        <v/>
      </c>
      <c r="W232" s="3" t="str">
        <f ca="1">IF(B232&lt;&gt;"",INDEX('Strategy Indirect'!$T:$T,MATCH(B232,'Strategy Indirect'!$A:$A,0)),"")</f>
        <v/>
      </c>
      <c r="X232" s="3" t="str">
        <f ca="1">IF(C232&lt;&gt;"",INDEX('Strategy Indirect'!$T:$T,MATCH(C232,'Strategy Indirect'!$A:$A,0)),"")</f>
        <v/>
      </c>
      <c r="Y232" s="3" t="str">
        <f ca="1">IF(D232&lt;&gt;"",INDEX('Strategy Indirect'!$T:$T,MATCH(D232,'Strategy Indirect'!$A:$A,0)),"")</f>
        <v/>
      </c>
      <c r="Z232" s="3" t="str">
        <f t="shared" ca="1" si="3"/>
        <v/>
      </c>
      <c r="AA232" s="159" t="str">
        <f ca="1">IF($A232&lt;&gt;"", IF(B232&lt;&gt;"",$U232/$Z232,""),"")</f>
        <v/>
      </c>
      <c r="AB232" s="159" t="str">
        <f ca="1">IF($A232&lt;&gt;"", IF(C232&lt;&gt;"",$U232/$Z232,""),"")</f>
        <v/>
      </c>
      <c r="AC232" s="159" t="str">
        <f ca="1">IF($A232&lt;&gt;"", IF(D232&lt;&gt;"",$U232/$Z232,""),"")</f>
        <v/>
      </c>
    </row>
    <row r="233" spans="1:29"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159" t="str">
        <f ca="1">IF(B233&lt;&gt;"",SUMIF('Work Indirect'!B:B,'Initiative Indirect'!A233,'Work Indirect'!AC:AC),"")</f>
        <v/>
      </c>
      <c r="V233" s="3" t="str">
        <f ca="1">IF(A233&lt;&gt;"",IF(F233="",IF(E233="","",INDEX(Priorities[Color],MATCH(E233,Priorities[Priorities],0),0)),F233),"")</f>
        <v/>
      </c>
      <c r="W233" s="3" t="str">
        <f ca="1">IF(B233&lt;&gt;"",INDEX('Strategy Indirect'!$T:$T,MATCH(B233,'Strategy Indirect'!$A:$A,0)),"")</f>
        <v/>
      </c>
      <c r="X233" s="3" t="str">
        <f ca="1">IF(C233&lt;&gt;"",INDEX('Strategy Indirect'!$T:$T,MATCH(C233,'Strategy Indirect'!$A:$A,0)),"")</f>
        <v/>
      </c>
      <c r="Y233" s="3" t="str">
        <f ca="1">IF(D233&lt;&gt;"",INDEX('Strategy Indirect'!$T:$T,MATCH(D233,'Strategy Indirect'!$A:$A,0)),"")</f>
        <v/>
      </c>
      <c r="Z233" s="3" t="str">
        <f t="shared" ca="1" si="3"/>
        <v/>
      </c>
      <c r="AA233" s="159" t="str">
        <f ca="1">IF($A233&lt;&gt;"", IF(B233&lt;&gt;"",$U233/$Z233,""),"")</f>
        <v/>
      </c>
      <c r="AB233" s="159" t="str">
        <f ca="1">IF($A233&lt;&gt;"", IF(C233&lt;&gt;"",$U233/$Z233,""),"")</f>
        <v/>
      </c>
      <c r="AC233" s="159" t="str">
        <f ca="1">IF($A233&lt;&gt;"", IF(D233&lt;&gt;"",$U233/$Z233,""),"")</f>
        <v/>
      </c>
    </row>
    <row r="234" spans="1:29"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159" t="str">
        <f ca="1">IF(B234&lt;&gt;"",SUMIF('Work Indirect'!B:B,'Initiative Indirect'!A234,'Work Indirect'!AC:AC),"")</f>
        <v/>
      </c>
      <c r="V234" s="3" t="str">
        <f ca="1">IF(A234&lt;&gt;"",IF(F234="",IF(E234="","",INDEX(Priorities[Color],MATCH(E234,Priorities[Priorities],0),0)),F234),"")</f>
        <v/>
      </c>
      <c r="W234" s="3" t="str">
        <f ca="1">IF(B234&lt;&gt;"",INDEX('Strategy Indirect'!$T:$T,MATCH(B234,'Strategy Indirect'!$A:$A,0)),"")</f>
        <v/>
      </c>
      <c r="X234" s="3" t="str">
        <f ca="1">IF(C234&lt;&gt;"",INDEX('Strategy Indirect'!$T:$T,MATCH(C234,'Strategy Indirect'!$A:$A,0)),"")</f>
        <v/>
      </c>
      <c r="Y234" s="3" t="str">
        <f ca="1">IF(D234&lt;&gt;"",INDEX('Strategy Indirect'!$T:$T,MATCH(D234,'Strategy Indirect'!$A:$A,0)),"")</f>
        <v/>
      </c>
      <c r="Z234" s="3" t="str">
        <f t="shared" ca="1" si="3"/>
        <v/>
      </c>
      <c r="AA234" s="159" t="str">
        <f ca="1">IF($A234&lt;&gt;"", IF(B234&lt;&gt;"",$U234/$Z234,""),"")</f>
        <v/>
      </c>
      <c r="AB234" s="159" t="str">
        <f ca="1">IF($A234&lt;&gt;"", IF(C234&lt;&gt;"",$U234/$Z234,""),"")</f>
        <v/>
      </c>
      <c r="AC234" s="159" t="str">
        <f ca="1">IF($A234&lt;&gt;"", IF(D234&lt;&gt;"",$U234/$Z234,""),"")</f>
        <v/>
      </c>
    </row>
    <row r="235" spans="1:29"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159" t="str">
        <f ca="1">IF(B235&lt;&gt;"",SUMIF('Work Indirect'!B:B,'Initiative Indirect'!A235,'Work Indirect'!AC:AC),"")</f>
        <v/>
      </c>
      <c r="V235" s="3" t="str">
        <f ca="1">IF(A235&lt;&gt;"",IF(F235="",IF(E235="","",INDEX(Priorities[Color],MATCH(E235,Priorities[Priorities],0),0)),F235),"")</f>
        <v/>
      </c>
      <c r="W235" s="3" t="str">
        <f ca="1">IF(B235&lt;&gt;"",INDEX('Strategy Indirect'!$T:$T,MATCH(B235,'Strategy Indirect'!$A:$A,0)),"")</f>
        <v/>
      </c>
      <c r="X235" s="3" t="str">
        <f ca="1">IF(C235&lt;&gt;"",INDEX('Strategy Indirect'!$T:$T,MATCH(C235,'Strategy Indirect'!$A:$A,0)),"")</f>
        <v/>
      </c>
      <c r="Y235" s="3" t="str">
        <f ca="1">IF(D235&lt;&gt;"",INDEX('Strategy Indirect'!$T:$T,MATCH(D235,'Strategy Indirect'!$A:$A,0)),"")</f>
        <v/>
      </c>
      <c r="Z235" s="3" t="str">
        <f t="shared" ca="1" si="3"/>
        <v/>
      </c>
      <c r="AA235" s="159" t="str">
        <f ca="1">IF($A235&lt;&gt;"", IF(B235&lt;&gt;"",$U235/$Z235,""),"")</f>
        <v/>
      </c>
      <c r="AB235" s="159" t="str">
        <f ca="1">IF($A235&lt;&gt;"", IF(C235&lt;&gt;"",$U235/$Z235,""),"")</f>
        <v/>
      </c>
      <c r="AC235" s="159" t="str">
        <f ca="1">IF($A235&lt;&gt;"", IF(D235&lt;&gt;"",$U235/$Z235,""),"")</f>
        <v/>
      </c>
    </row>
    <row r="236" spans="1:29"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159" t="str">
        <f ca="1">IF(B236&lt;&gt;"",SUMIF('Work Indirect'!B:B,'Initiative Indirect'!A236,'Work Indirect'!AC:AC),"")</f>
        <v/>
      </c>
      <c r="V236" s="3" t="str">
        <f ca="1">IF(A236&lt;&gt;"",IF(F236="",IF(E236="","",INDEX(Priorities[Color],MATCH(E236,Priorities[Priorities],0),0)),F236),"")</f>
        <v/>
      </c>
      <c r="W236" s="3" t="str">
        <f ca="1">IF(B236&lt;&gt;"",INDEX('Strategy Indirect'!$T:$T,MATCH(B236,'Strategy Indirect'!$A:$A,0)),"")</f>
        <v/>
      </c>
      <c r="X236" s="3" t="str">
        <f ca="1">IF(C236&lt;&gt;"",INDEX('Strategy Indirect'!$T:$T,MATCH(C236,'Strategy Indirect'!$A:$A,0)),"")</f>
        <v/>
      </c>
      <c r="Y236" s="3" t="str">
        <f ca="1">IF(D236&lt;&gt;"",INDEX('Strategy Indirect'!$T:$T,MATCH(D236,'Strategy Indirect'!$A:$A,0)),"")</f>
        <v/>
      </c>
      <c r="Z236" s="3" t="str">
        <f t="shared" ca="1" si="3"/>
        <v/>
      </c>
      <c r="AA236" s="159" t="str">
        <f ca="1">IF($A236&lt;&gt;"", IF(B236&lt;&gt;"",$U236/$Z236,""),"")</f>
        <v/>
      </c>
      <c r="AB236" s="159" t="str">
        <f ca="1">IF($A236&lt;&gt;"", IF(C236&lt;&gt;"",$U236/$Z236,""),"")</f>
        <v/>
      </c>
      <c r="AC236" s="159" t="str">
        <f ca="1">IF($A236&lt;&gt;"", IF(D236&lt;&gt;"",$U236/$Z236,""),"")</f>
        <v/>
      </c>
    </row>
    <row r="237" spans="1:29"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159" t="str">
        <f ca="1">IF(B237&lt;&gt;"",SUMIF('Work Indirect'!B:B,'Initiative Indirect'!A237,'Work Indirect'!AC:AC),"")</f>
        <v/>
      </c>
      <c r="V237" s="3" t="str">
        <f ca="1">IF(A237&lt;&gt;"",IF(F237="",IF(E237="","",INDEX(Priorities[Color],MATCH(E237,Priorities[Priorities],0),0)),F237),"")</f>
        <v/>
      </c>
      <c r="W237" s="3" t="str">
        <f ca="1">IF(B237&lt;&gt;"",INDEX('Strategy Indirect'!$T:$T,MATCH(B237,'Strategy Indirect'!$A:$A,0)),"")</f>
        <v/>
      </c>
      <c r="X237" s="3" t="str">
        <f ca="1">IF(C237&lt;&gt;"",INDEX('Strategy Indirect'!$T:$T,MATCH(C237,'Strategy Indirect'!$A:$A,0)),"")</f>
        <v/>
      </c>
      <c r="Y237" s="3" t="str">
        <f ca="1">IF(D237&lt;&gt;"",INDEX('Strategy Indirect'!$T:$T,MATCH(D237,'Strategy Indirect'!$A:$A,0)),"")</f>
        <v/>
      </c>
      <c r="Z237" s="3" t="str">
        <f t="shared" ca="1" si="3"/>
        <v/>
      </c>
      <c r="AA237" s="159" t="str">
        <f ca="1">IF($A237&lt;&gt;"", IF(B237&lt;&gt;"",$U237/$Z237,""),"")</f>
        <v/>
      </c>
      <c r="AB237" s="159" t="str">
        <f ca="1">IF($A237&lt;&gt;"", IF(C237&lt;&gt;"",$U237/$Z237,""),"")</f>
        <v/>
      </c>
      <c r="AC237" s="159" t="str">
        <f ca="1">IF($A237&lt;&gt;"", IF(D237&lt;&gt;"",$U237/$Z237,""),"")</f>
        <v/>
      </c>
    </row>
    <row r="238" spans="1:29"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159" t="str">
        <f ca="1">IF(B238&lt;&gt;"",SUMIF('Work Indirect'!B:B,'Initiative Indirect'!A238,'Work Indirect'!AC:AC),"")</f>
        <v/>
      </c>
      <c r="V238" s="3" t="str">
        <f ca="1">IF(A238&lt;&gt;"",IF(F238="",IF(E238="","",INDEX(Priorities[Color],MATCH(E238,Priorities[Priorities],0),0)),F238),"")</f>
        <v/>
      </c>
      <c r="W238" s="3" t="str">
        <f ca="1">IF(B238&lt;&gt;"",INDEX('Strategy Indirect'!$T:$T,MATCH(B238,'Strategy Indirect'!$A:$A,0)),"")</f>
        <v/>
      </c>
      <c r="X238" s="3" t="str">
        <f ca="1">IF(C238&lt;&gt;"",INDEX('Strategy Indirect'!$T:$T,MATCH(C238,'Strategy Indirect'!$A:$A,0)),"")</f>
        <v/>
      </c>
      <c r="Y238" s="3" t="str">
        <f ca="1">IF(D238&lt;&gt;"",INDEX('Strategy Indirect'!$T:$T,MATCH(D238,'Strategy Indirect'!$A:$A,0)),"")</f>
        <v/>
      </c>
      <c r="Z238" s="3" t="str">
        <f t="shared" ca="1" si="3"/>
        <v/>
      </c>
      <c r="AA238" s="159" t="str">
        <f ca="1">IF($A238&lt;&gt;"", IF(B238&lt;&gt;"",$U238/$Z238,""),"")</f>
        <v/>
      </c>
      <c r="AB238" s="159" t="str">
        <f ca="1">IF($A238&lt;&gt;"", IF(C238&lt;&gt;"",$U238/$Z238,""),"")</f>
        <v/>
      </c>
      <c r="AC238" s="159" t="str">
        <f ca="1">IF($A238&lt;&gt;"", IF(D238&lt;&gt;"",$U238/$Z238,""),"")</f>
        <v/>
      </c>
    </row>
    <row r="239" spans="1:29"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159" t="str">
        <f ca="1">IF(B239&lt;&gt;"",SUMIF('Work Indirect'!B:B,'Initiative Indirect'!A239,'Work Indirect'!AC:AC),"")</f>
        <v/>
      </c>
      <c r="V239" s="3" t="str">
        <f ca="1">IF(A239&lt;&gt;"",IF(F239="",IF(E239="","",INDEX(Priorities[Color],MATCH(E239,Priorities[Priorities],0),0)),F239),"")</f>
        <v/>
      </c>
      <c r="W239" s="3" t="str">
        <f ca="1">IF(B239&lt;&gt;"",INDEX('Strategy Indirect'!$T:$T,MATCH(B239,'Strategy Indirect'!$A:$A,0)),"")</f>
        <v/>
      </c>
      <c r="X239" s="3" t="str">
        <f ca="1">IF(C239&lt;&gt;"",INDEX('Strategy Indirect'!$T:$T,MATCH(C239,'Strategy Indirect'!$A:$A,0)),"")</f>
        <v/>
      </c>
      <c r="Y239" s="3" t="str">
        <f ca="1">IF(D239&lt;&gt;"",INDEX('Strategy Indirect'!$T:$T,MATCH(D239,'Strategy Indirect'!$A:$A,0)),"")</f>
        <v/>
      </c>
      <c r="Z239" s="3" t="str">
        <f t="shared" ca="1" si="3"/>
        <v/>
      </c>
      <c r="AA239" s="159" t="str">
        <f ca="1">IF($A239&lt;&gt;"", IF(B239&lt;&gt;"",$U239/$Z239,""),"")</f>
        <v/>
      </c>
      <c r="AB239" s="159" t="str">
        <f ca="1">IF($A239&lt;&gt;"", IF(C239&lt;&gt;"",$U239/$Z239,""),"")</f>
        <v/>
      </c>
      <c r="AC239" s="159" t="str">
        <f ca="1">IF($A239&lt;&gt;"", IF(D239&lt;&gt;"",$U239/$Z239,""),"")</f>
        <v/>
      </c>
    </row>
    <row r="240" spans="1:29"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159" t="str">
        <f ca="1">IF(B240&lt;&gt;"",SUMIF('Work Indirect'!B:B,'Initiative Indirect'!A240,'Work Indirect'!AC:AC),"")</f>
        <v/>
      </c>
      <c r="V240" s="3" t="str">
        <f ca="1">IF(A240&lt;&gt;"",IF(F240="",IF(E240="","",INDEX(Priorities[Color],MATCH(E240,Priorities[Priorities],0),0)),F240),"")</f>
        <v/>
      </c>
      <c r="W240" s="3" t="str">
        <f ca="1">IF(B240&lt;&gt;"",INDEX('Strategy Indirect'!$T:$T,MATCH(B240,'Strategy Indirect'!$A:$A,0)),"")</f>
        <v/>
      </c>
      <c r="X240" s="3" t="str">
        <f ca="1">IF(C240&lt;&gt;"",INDEX('Strategy Indirect'!$T:$T,MATCH(C240,'Strategy Indirect'!$A:$A,0)),"")</f>
        <v/>
      </c>
      <c r="Y240" s="3" t="str">
        <f ca="1">IF(D240&lt;&gt;"",INDEX('Strategy Indirect'!$T:$T,MATCH(D240,'Strategy Indirect'!$A:$A,0)),"")</f>
        <v/>
      </c>
      <c r="Z240" s="3" t="str">
        <f t="shared" ca="1" si="3"/>
        <v/>
      </c>
      <c r="AA240" s="159" t="str">
        <f ca="1">IF($A240&lt;&gt;"", IF(B240&lt;&gt;"",$U240/$Z240,""),"")</f>
        <v/>
      </c>
      <c r="AB240" s="159" t="str">
        <f ca="1">IF($A240&lt;&gt;"", IF(C240&lt;&gt;"",$U240/$Z240,""),"")</f>
        <v/>
      </c>
      <c r="AC240" s="159" t="str">
        <f ca="1">IF($A240&lt;&gt;"", IF(D240&lt;&gt;"",$U240/$Z240,""),"")</f>
        <v/>
      </c>
    </row>
    <row r="241" spans="1:29"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159" t="str">
        <f ca="1">IF(B241&lt;&gt;"",SUMIF('Work Indirect'!B:B,'Initiative Indirect'!A241,'Work Indirect'!AC:AC),"")</f>
        <v/>
      </c>
      <c r="V241" s="3" t="str">
        <f ca="1">IF(A241&lt;&gt;"",IF(F241="",IF(E241="","",INDEX(Priorities[Color],MATCH(E241,Priorities[Priorities],0),0)),F241),"")</f>
        <v/>
      </c>
      <c r="W241" s="3" t="str">
        <f ca="1">IF(B241&lt;&gt;"",INDEX('Strategy Indirect'!$T:$T,MATCH(B241,'Strategy Indirect'!$A:$A,0)),"")</f>
        <v/>
      </c>
      <c r="X241" s="3" t="str">
        <f ca="1">IF(C241&lt;&gt;"",INDEX('Strategy Indirect'!$T:$T,MATCH(C241,'Strategy Indirect'!$A:$A,0)),"")</f>
        <v/>
      </c>
      <c r="Y241" s="3" t="str">
        <f ca="1">IF(D241&lt;&gt;"",INDEX('Strategy Indirect'!$T:$T,MATCH(D241,'Strategy Indirect'!$A:$A,0)),"")</f>
        <v/>
      </c>
      <c r="Z241" s="3" t="str">
        <f t="shared" ca="1" si="3"/>
        <v/>
      </c>
      <c r="AA241" s="159" t="str">
        <f ca="1">IF($A241&lt;&gt;"", IF(B241&lt;&gt;"",$U241/$Z241,""),"")</f>
        <v/>
      </c>
      <c r="AB241" s="159" t="str">
        <f ca="1">IF($A241&lt;&gt;"", IF(C241&lt;&gt;"",$U241/$Z241,""),"")</f>
        <v/>
      </c>
      <c r="AC241" s="159" t="str">
        <f ca="1">IF($A241&lt;&gt;"", IF(D241&lt;&gt;"",$U241/$Z241,""),"")</f>
        <v/>
      </c>
    </row>
    <row r="242" spans="1:29"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159" t="str">
        <f ca="1">IF(B242&lt;&gt;"",SUMIF('Work Indirect'!B:B,'Initiative Indirect'!A242,'Work Indirect'!AC:AC),"")</f>
        <v/>
      </c>
      <c r="V242" s="3" t="str">
        <f ca="1">IF(A242&lt;&gt;"",IF(F242="",IF(E242="","",INDEX(Priorities[Color],MATCH(E242,Priorities[Priorities],0),0)),F242),"")</f>
        <v/>
      </c>
      <c r="W242" s="3" t="str">
        <f ca="1">IF(B242&lt;&gt;"",INDEX('Strategy Indirect'!$T:$T,MATCH(B242,'Strategy Indirect'!$A:$A,0)),"")</f>
        <v/>
      </c>
      <c r="X242" s="3" t="str">
        <f ca="1">IF(C242&lt;&gt;"",INDEX('Strategy Indirect'!$T:$T,MATCH(C242,'Strategy Indirect'!$A:$A,0)),"")</f>
        <v/>
      </c>
      <c r="Y242" s="3" t="str">
        <f ca="1">IF(D242&lt;&gt;"",INDEX('Strategy Indirect'!$T:$T,MATCH(D242,'Strategy Indirect'!$A:$A,0)),"")</f>
        <v/>
      </c>
      <c r="Z242" s="3" t="str">
        <f t="shared" ca="1" si="3"/>
        <v/>
      </c>
      <c r="AA242" s="159" t="str">
        <f ca="1">IF($A242&lt;&gt;"", IF(B242&lt;&gt;"",$U242/$Z242,""),"")</f>
        <v/>
      </c>
      <c r="AB242" s="159" t="str">
        <f ca="1">IF($A242&lt;&gt;"", IF(C242&lt;&gt;"",$U242/$Z242,""),"")</f>
        <v/>
      </c>
      <c r="AC242" s="159" t="str">
        <f ca="1">IF($A242&lt;&gt;"", IF(D242&lt;&gt;"",$U242/$Z242,""),"")</f>
        <v/>
      </c>
    </row>
    <row r="243" spans="1:29"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159" t="str">
        <f ca="1">IF(B243&lt;&gt;"",SUMIF('Work Indirect'!B:B,'Initiative Indirect'!A243,'Work Indirect'!AC:AC),"")</f>
        <v/>
      </c>
      <c r="V243" s="3" t="str">
        <f ca="1">IF(A243&lt;&gt;"",IF(F243="",IF(E243="","",INDEX(Priorities[Color],MATCH(E243,Priorities[Priorities],0),0)),F243),"")</f>
        <v/>
      </c>
      <c r="W243" s="3" t="str">
        <f ca="1">IF(B243&lt;&gt;"",INDEX('Strategy Indirect'!$T:$T,MATCH(B243,'Strategy Indirect'!$A:$A,0)),"")</f>
        <v/>
      </c>
      <c r="X243" s="3" t="str">
        <f ca="1">IF(C243&lt;&gt;"",INDEX('Strategy Indirect'!$T:$T,MATCH(C243,'Strategy Indirect'!$A:$A,0)),"")</f>
        <v/>
      </c>
      <c r="Y243" s="3" t="str">
        <f ca="1">IF(D243&lt;&gt;"",INDEX('Strategy Indirect'!$T:$T,MATCH(D243,'Strategy Indirect'!$A:$A,0)),"")</f>
        <v/>
      </c>
      <c r="Z243" s="3" t="str">
        <f t="shared" ca="1" si="3"/>
        <v/>
      </c>
      <c r="AA243" s="159" t="str">
        <f ca="1">IF($A243&lt;&gt;"", IF(B243&lt;&gt;"",$U243/$Z243,""),"")</f>
        <v/>
      </c>
      <c r="AB243" s="159" t="str">
        <f ca="1">IF($A243&lt;&gt;"", IF(C243&lt;&gt;"",$U243/$Z243,""),"")</f>
        <v/>
      </c>
      <c r="AC243" s="159" t="str">
        <f ca="1">IF($A243&lt;&gt;"", IF(D243&lt;&gt;"",$U243/$Z243,""),"")</f>
        <v/>
      </c>
    </row>
    <row r="244" spans="1:29"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159" t="str">
        <f ca="1">IF(B244&lt;&gt;"",SUMIF('Work Indirect'!B:B,'Initiative Indirect'!A244,'Work Indirect'!AC:AC),"")</f>
        <v/>
      </c>
      <c r="V244" s="3" t="str">
        <f ca="1">IF(A244&lt;&gt;"",IF(F244="",IF(E244="","",INDEX(Priorities[Color],MATCH(E244,Priorities[Priorities],0),0)),F244),"")</f>
        <v/>
      </c>
      <c r="W244" s="3" t="str">
        <f ca="1">IF(B244&lt;&gt;"",INDEX('Strategy Indirect'!$T:$T,MATCH(B244,'Strategy Indirect'!$A:$A,0)),"")</f>
        <v/>
      </c>
      <c r="X244" s="3" t="str">
        <f ca="1">IF(C244&lt;&gt;"",INDEX('Strategy Indirect'!$T:$T,MATCH(C244,'Strategy Indirect'!$A:$A,0)),"")</f>
        <v/>
      </c>
      <c r="Y244" s="3" t="str">
        <f ca="1">IF(D244&lt;&gt;"",INDEX('Strategy Indirect'!$T:$T,MATCH(D244,'Strategy Indirect'!$A:$A,0)),"")</f>
        <v/>
      </c>
      <c r="Z244" s="3" t="str">
        <f t="shared" ca="1" si="3"/>
        <v/>
      </c>
      <c r="AA244" s="159" t="str">
        <f ca="1">IF($A244&lt;&gt;"", IF(B244&lt;&gt;"",$U244/$Z244,""),"")</f>
        <v/>
      </c>
      <c r="AB244" s="159" t="str">
        <f ca="1">IF($A244&lt;&gt;"", IF(C244&lt;&gt;"",$U244/$Z244,""),"")</f>
        <v/>
      </c>
      <c r="AC244" s="159" t="str">
        <f ca="1">IF($A244&lt;&gt;"", IF(D244&lt;&gt;"",$U244/$Z244,""),"")</f>
        <v/>
      </c>
    </row>
    <row r="245" spans="1:29"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159" t="str">
        <f ca="1">IF(B245&lt;&gt;"",SUMIF('Work Indirect'!B:B,'Initiative Indirect'!A245,'Work Indirect'!AC:AC),"")</f>
        <v/>
      </c>
      <c r="V245" s="3" t="str">
        <f ca="1">IF(A245&lt;&gt;"",IF(F245="",IF(E245="","",INDEX(Priorities[Color],MATCH(E245,Priorities[Priorities],0),0)),F245),"")</f>
        <v/>
      </c>
      <c r="W245" s="3" t="str">
        <f ca="1">IF(B245&lt;&gt;"",INDEX('Strategy Indirect'!$T:$T,MATCH(B245,'Strategy Indirect'!$A:$A,0)),"")</f>
        <v/>
      </c>
      <c r="X245" s="3" t="str">
        <f ca="1">IF(C245&lt;&gt;"",INDEX('Strategy Indirect'!$T:$T,MATCH(C245,'Strategy Indirect'!$A:$A,0)),"")</f>
        <v/>
      </c>
      <c r="Y245" s="3" t="str">
        <f ca="1">IF(D245&lt;&gt;"",INDEX('Strategy Indirect'!$T:$T,MATCH(D245,'Strategy Indirect'!$A:$A,0)),"")</f>
        <v/>
      </c>
      <c r="Z245" s="3" t="str">
        <f t="shared" ca="1" si="3"/>
        <v/>
      </c>
      <c r="AA245" s="159" t="str">
        <f ca="1">IF($A245&lt;&gt;"", IF(B245&lt;&gt;"",$U245/$Z245,""),"")</f>
        <v/>
      </c>
      <c r="AB245" s="159" t="str">
        <f ca="1">IF($A245&lt;&gt;"", IF(C245&lt;&gt;"",$U245/$Z245,""),"")</f>
        <v/>
      </c>
      <c r="AC245" s="159" t="str">
        <f ca="1">IF($A245&lt;&gt;"", IF(D245&lt;&gt;"",$U245/$Z245,""),"")</f>
        <v/>
      </c>
    </row>
    <row r="246" spans="1:29"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159" t="str">
        <f ca="1">IF(B246&lt;&gt;"",SUMIF('Work Indirect'!B:B,'Initiative Indirect'!A246,'Work Indirect'!AC:AC),"")</f>
        <v/>
      </c>
      <c r="V246" s="3" t="str">
        <f ca="1">IF(A246&lt;&gt;"",IF(F246="",IF(E246="","",INDEX(Priorities[Color],MATCH(E246,Priorities[Priorities],0),0)),F246),"")</f>
        <v/>
      </c>
      <c r="W246" s="3" t="str">
        <f ca="1">IF(B246&lt;&gt;"",INDEX('Strategy Indirect'!$T:$T,MATCH(B246,'Strategy Indirect'!$A:$A,0)),"")</f>
        <v/>
      </c>
      <c r="X246" s="3" t="str">
        <f ca="1">IF(C246&lt;&gt;"",INDEX('Strategy Indirect'!$T:$T,MATCH(C246,'Strategy Indirect'!$A:$A,0)),"")</f>
        <v/>
      </c>
      <c r="Y246" s="3" t="str">
        <f ca="1">IF(D246&lt;&gt;"",INDEX('Strategy Indirect'!$T:$T,MATCH(D246,'Strategy Indirect'!$A:$A,0)),"")</f>
        <v/>
      </c>
      <c r="Z246" s="3" t="str">
        <f t="shared" ca="1" si="3"/>
        <v/>
      </c>
      <c r="AA246" s="159" t="str">
        <f ca="1">IF($A246&lt;&gt;"", IF(B246&lt;&gt;"",$U246/$Z246,""),"")</f>
        <v/>
      </c>
      <c r="AB246" s="159" t="str">
        <f ca="1">IF($A246&lt;&gt;"", IF(C246&lt;&gt;"",$U246/$Z246,""),"")</f>
        <v/>
      </c>
      <c r="AC246" s="159" t="str">
        <f ca="1">IF($A246&lt;&gt;"", IF(D246&lt;&gt;"",$U246/$Z246,""),"")</f>
        <v/>
      </c>
    </row>
    <row r="247" spans="1:29"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159" t="str">
        <f ca="1">IF(B247&lt;&gt;"",SUMIF('Work Indirect'!B:B,'Initiative Indirect'!A247,'Work Indirect'!AC:AC),"")</f>
        <v/>
      </c>
      <c r="V247" s="3" t="str">
        <f ca="1">IF(A247&lt;&gt;"",IF(F247="",IF(E247="","",INDEX(Priorities[Color],MATCH(E247,Priorities[Priorities],0),0)),F247),"")</f>
        <v/>
      </c>
      <c r="W247" s="3" t="str">
        <f ca="1">IF(B247&lt;&gt;"",INDEX('Strategy Indirect'!$T:$T,MATCH(B247,'Strategy Indirect'!$A:$A,0)),"")</f>
        <v/>
      </c>
      <c r="X247" s="3" t="str">
        <f ca="1">IF(C247&lt;&gt;"",INDEX('Strategy Indirect'!$T:$T,MATCH(C247,'Strategy Indirect'!$A:$A,0)),"")</f>
        <v/>
      </c>
      <c r="Y247" s="3" t="str">
        <f ca="1">IF(D247&lt;&gt;"",INDEX('Strategy Indirect'!$T:$T,MATCH(D247,'Strategy Indirect'!$A:$A,0)),"")</f>
        <v/>
      </c>
      <c r="Z247" s="3" t="str">
        <f t="shared" ca="1" si="3"/>
        <v/>
      </c>
      <c r="AA247" s="159" t="str">
        <f ca="1">IF($A247&lt;&gt;"", IF(B247&lt;&gt;"",$U247/$Z247,""),"")</f>
        <v/>
      </c>
      <c r="AB247" s="159" t="str">
        <f ca="1">IF($A247&lt;&gt;"", IF(C247&lt;&gt;"",$U247/$Z247,""),"")</f>
        <v/>
      </c>
      <c r="AC247" s="159" t="str">
        <f ca="1">IF($A247&lt;&gt;"", IF(D247&lt;&gt;"",$U247/$Z247,""),"")</f>
        <v/>
      </c>
    </row>
    <row r="248" spans="1:29"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159" t="str">
        <f ca="1">IF(B248&lt;&gt;"",SUMIF('Work Indirect'!B:B,'Initiative Indirect'!A248,'Work Indirect'!AC:AC),"")</f>
        <v/>
      </c>
      <c r="V248" s="3" t="str">
        <f ca="1">IF(A248&lt;&gt;"",IF(F248="",IF(E248="","",INDEX(Priorities[Color],MATCH(E248,Priorities[Priorities],0),0)),F248),"")</f>
        <v/>
      </c>
      <c r="W248" s="3" t="str">
        <f ca="1">IF(B248&lt;&gt;"",INDEX('Strategy Indirect'!$T:$T,MATCH(B248,'Strategy Indirect'!$A:$A,0)),"")</f>
        <v/>
      </c>
      <c r="X248" s="3" t="str">
        <f ca="1">IF(C248&lt;&gt;"",INDEX('Strategy Indirect'!$T:$T,MATCH(C248,'Strategy Indirect'!$A:$A,0)),"")</f>
        <v/>
      </c>
      <c r="Y248" s="3" t="str">
        <f ca="1">IF(D248&lt;&gt;"",INDEX('Strategy Indirect'!$T:$T,MATCH(D248,'Strategy Indirect'!$A:$A,0)),"")</f>
        <v/>
      </c>
      <c r="Z248" s="3" t="str">
        <f t="shared" ca="1" si="3"/>
        <v/>
      </c>
      <c r="AA248" s="159" t="str">
        <f ca="1">IF($A248&lt;&gt;"", IF(B248&lt;&gt;"",$U248/$Z248,""),"")</f>
        <v/>
      </c>
      <c r="AB248" s="159" t="str">
        <f ca="1">IF($A248&lt;&gt;"", IF(C248&lt;&gt;"",$U248/$Z248,""),"")</f>
        <v/>
      </c>
      <c r="AC248" s="159" t="str">
        <f ca="1">IF($A248&lt;&gt;"", IF(D248&lt;&gt;"",$U248/$Z248,""),"")</f>
        <v/>
      </c>
    </row>
    <row r="249" spans="1:29"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159" t="str">
        <f ca="1">IF(B249&lt;&gt;"",SUMIF('Work Indirect'!B:B,'Initiative Indirect'!A249,'Work Indirect'!AC:AC),"")</f>
        <v/>
      </c>
      <c r="V249" s="3" t="str">
        <f ca="1">IF(A249&lt;&gt;"",IF(F249="",IF(E249="","",INDEX(Priorities[Color],MATCH(E249,Priorities[Priorities],0),0)),F249),"")</f>
        <v/>
      </c>
      <c r="W249" s="3" t="str">
        <f ca="1">IF(B249&lt;&gt;"",INDEX('Strategy Indirect'!$T:$T,MATCH(B249,'Strategy Indirect'!$A:$A,0)),"")</f>
        <v/>
      </c>
      <c r="X249" s="3" t="str">
        <f ca="1">IF(C249&lt;&gt;"",INDEX('Strategy Indirect'!$T:$T,MATCH(C249,'Strategy Indirect'!$A:$A,0)),"")</f>
        <v/>
      </c>
      <c r="Y249" s="3" t="str">
        <f ca="1">IF(D249&lt;&gt;"",INDEX('Strategy Indirect'!$T:$T,MATCH(D249,'Strategy Indirect'!$A:$A,0)),"")</f>
        <v/>
      </c>
      <c r="Z249" s="3" t="str">
        <f t="shared" ca="1" si="3"/>
        <v/>
      </c>
      <c r="AA249" s="159" t="str">
        <f ca="1">IF($A249&lt;&gt;"", IF(B249&lt;&gt;"",$U249/$Z249,""),"")</f>
        <v/>
      </c>
      <c r="AB249" s="159" t="str">
        <f ca="1">IF($A249&lt;&gt;"", IF(C249&lt;&gt;"",$U249/$Z249,""),"")</f>
        <v/>
      </c>
      <c r="AC249" s="159" t="str">
        <f ca="1">IF($A249&lt;&gt;"", IF(D249&lt;&gt;"",$U249/$Z249,""),"")</f>
        <v/>
      </c>
    </row>
    <row r="250" spans="1:29"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159" t="str">
        <f ca="1">IF(B250&lt;&gt;"",SUMIF('Work Indirect'!B:B,'Initiative Indirect'!A250,'Work Indirect'!AC:AC),"")</f>
        <v/>
      </c>
      <c r="V250" s="3" t="str">
        <f ca="1">IF(A250&lt;&gt;"",IF(F250="",IF(E250="","",INDEX(Priorities[Color],MATCH(E250,Priorities[Priorities],0),0)),F250),"")</f>
        <v/>
      </c>
      <c r="W250" s="3" t="str">
        <f ca="1">IF(B250&lt;&gt;"",INDEX('Strategy Indirect'!$T:$T,MATCH(B250,'Strategy Indirect'!$A:$A,0)),"")</f>
        <v/>
      </c>
      <c r="X250" s="3" t="str">
        <f ca="1">IF(C250&lt;&gt;"",INDEX('Strategy Indirect'!$T:$T,MATCH(C250,'Strategy Indirect'!$A:$A,0)),"")</f>
        <v/>
      </c>
      <c r="Y250" s="3" t="str">
        <f ca="1">IF(D250&lt;&gt;"",INDEX('Strategy Indirect'!$T:$T,MATCH(D250,'Strategy Indirect'!$A:$A,0)),"")</f>
        <v/>
      </c>
      <c r="Z250" s="3" t="str">
        <f t="shared" ca="1" si="3"/>
        <v/>
      </c>
      <c r="AA250" s="159" t="str">
        <f ca="1">IF($A250&lt;&gt;"", IF(B250&lt;&gt;"",$U250/$Z250,""),"")</f>
        <v/>
      </c>
      <c r="AB250" s="159" t="str">
        <f ca="1">IF($A250&lt;&gt;"", IF(C250&lt;&gt;"",$U250/$Z250,""),"")</f>
        <v/>
      </c>
      <c r="AC250" s="159" t="str">
        <f ca="1">IF($A250&lt;&gt;"", IF(D250&lt;&gt;"",$U250/$Z250,""),"")</f>
        <v/>
      </c>
    </row>
    <row r="251" spans="1:29"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159" t="str">
        <f ca="1">IF(B251&lt;&gt;"",SUMIF('Work Indirect'!B:B,'Initiative Indirect'!A251,'Work Indirect'!AC:AC),"")</f>
        <v/>
      </c>
      <c r="V251" s="3" t="str">
        <f ca="1">IF(A251&lt;&gt;"",IF(F251="",IF(E251="","",INDEX(Priorities[Color],MATCH(E251,Priorities[Priorities],0),0)),F251),"")</f>
        <v/>
      </c>
      <c r="W251" s="3" t="str">
        <f ca="1">IF(B251&lt;&gt;"",INDEX('Strategy Indirect'!$T:$T,MATCH(B251,'Strategy Indirect'!$A:$A,0)),"")</f>
        <v/>
      </c>
      <c r="X251" s="3" t="str">
        <f ca="1">IF(C251&lt;&gt;"",INDEX('Strategy Indirect'!$T:$T,MATCH(C251,'Strategy Indirect'!$A:$A,0)),"")</f>
        <v/>
      </c>
      <c r="Y251" s="3" t="str">
        <f ca="1">IF(D251&lt;&gt;"",INDEX('Strategy Indirect'!$T:$T,MATCH(D251,'Strategy Indirect'!$A:$A,0)),"")</f>
        <v/>
      </c>
      <c r="Z251" s="3" t="str">
        <f t="shared" ca="1" si="3"/>
        <v/>
      </c>
      <c r="AA251" s="159" t="str">
        <f ca="1">IF($A251&lt;&gt;"", IF(B251&lt;&gt;"",$U251/$Z251,""),"")</f>
        <v/>
      </c>
      <c r="AB251" s="159" t="str">
        <f ca="1">IF($A251&lt;&gt;"", IF(C251&lt;&gt;"",$U251/$Z251,""),"")</f>
        <v/>
      </c>
      <c r="AC251" s="159" t="str">
        <f ca="1">IF($A251&lt;&gt;"", IF(D251&lt;&gt;"",$U251/$Z251,""),"")</f>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AC1001"/>
  <sheetViews>
    <sheetView workbookViewId="0">
      <selection activeCell="G1" sqref="G1"/>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9" max="9" width="28.42578125" customWidth="1"/>
    <col min="20" max="20" width="12.7109375" customWidth="1"/>
    <col min="21" max="21" width="15" customWidth="1"/>
    <col min="22" max="22" width="11.140625" customWidth="1"/>
    <col min="23" max="23" width="13" customWidth="1"/>
    <col min="24" max="24" width="15.28515625" customWidth="1"/>
  </cols>
  <sheetData>
    <row r="1" spans="1:29"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 (Stories/Points)</v>
      </c>
      <c r="G1" s="3" t="str">
        <f ca="1">IF(OFFSET('4. Work'!$A$1,ROW(G1)-1,COLUMN(G1)-1)="","",OFFSET('4. Work'!$A$1,ROW(G1)-1,COLUMN(G1)-1))</f>
        <v>Color Override</v>
      </c>
      <c r="H1" s="3" t="str">
        <f ca="1">IF(OFFSET('4. Work'!$A$1,ROW(H1)-1,COLUMN(H1)-1)="","",OFFSET('4. Work'!$A$1,ROW(H1)-1,COLUMN(H1)-1))</f>
        <v>Description</v>
      </c>
      <c r="I1" s="3" t="str">
        <f ca="1">IF(OFFSET('4. Work'!$A$1,ROW(I1)-1,COLUMN(I1)-1)="","",OFFSET('4. Work'!$A$1,ROW(I1)-1,COLUMN(I1)-1))</f>
        <v>URL</v>
      </c>
      <c r="T1" s="1" t="s">
        <v>51</v>
      </c>
      <c r="U1" s="1" t="s">
        <v>54</v>
      </c>
      <c r="V1" s="1" t="s">
        <v>52</v>
      </c>
      <c r="W1" s="146"/>
      <c r="X1" s="146"/>
      <c r="Y1" s="146" t="s">
        <v>247</v>
      </c>
      <c r="Z1" s="146" t="s">
        <v>248</v>
      </c>
      <c r="AA1" s="146" t="s">
        <v>249</v>
      </c>
      <c r="AB1" s="146" t="s">
        <v>250</v>
      </c>
      <c r="AC1" s="146" t="s">
        <v>256</v>
      </c>
    </row>
    <row r="2" spans="1:29"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7">
        <f ca="1">IF(OFFSET('4. Work'!$A$1,ROW(D2)-1,COLUMN(D2)-1)="","",OFFSET('4. Work'!$A$1,ROW(D2)-1,COLUMN(D2)-1))</f>
        <v>43101</v>
      </c>
      <c r="E2" s="147">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I2" s="3" t="str">
        <f ca="1">IF(OFFSET('4. Work'!$A$1,ROW(I2)-1,COLUMN(I2)-1)="","",OFFSET('4. Work'!$A$1,ROW(I2)-1,COLUMN(I2)-1))</f>
        <v/>
      </c>
      <c r="T2" s="3">
        <f ca="1">IF(A2&lt;&gt;"",MAX('Initiative Indirect'!$T:$T)+(ROW(A2)-1),"")</f>
        <v>12</v>
      </c>
      <c r="U2" s="3">
        <f ca="1">IF(B2&lt;&gt;"",INDEX('Initiative Indirect'!$T:$T,MATCH(B2,'Initiative Indirect'!$A:$A,0)),"")</f>
        <v>4</v>
      </c>
      <c r="V2" s="3">
        <f ca="1">IF(C2&lt;&gt;"",INDEX('Team Indirect'!$T:$T,MATCH(C2,'Team Indirect'!$A:$A,0)),"")</f>
        <v>35</v>
      </c>
      <c r="W2" s="3"/>
      <c r="X2" s="3"/>
      <c r="Y2" s="3">
        <f ca="1">IF($C2&lt;&gt;"",INDEX('Team Indirect'!$D:$D,MATCH($C2,'Team Indirect'!$A:$A,0)),"")</f>
        <v>10</v>
      </c>
      <c r="Z2" s="3">
        <f ca="1">IF($C2&lt;&gt;"",INDEX('Team Indirect'!$E:$E,MATCH($C2,'Team Indirect'!$A:$A,0)),"")</f>
        <v>20</v>
      </c>
      <c r="AA2" s="3">
        <f ca="1">IF($C2&lt;&gt;"",INDEX('Team Indirect'!$F:$F,MATCH($C2,'Team Indirect'!$A:$A,0)),"")</f>
        <v>0.2</v>
      </c>
      <c r="AB2" s="3">
        <f t="shared" ref="AB2:AB65" ca="1" si="0">IF(AND(Y2&lt;&gt;"",Z2&lt;&gt;""),Y2+((Z2-Y2)*(1-MAX(0,AA2))*(1-Probability)),"")</f>
        <v>12</v>
      </c>
      <c r="AC2" s="3">
        <f ca="1">IF(OR(AllocationUnits="Stories", AllocationUnits="Points"),'Work Indirect'!F2,F2/MAX('Work Indirect'!AB2,1))</f>
        <v>0.41666666666666669</v>
      </c>
    </row>
    <row r="3" spans="1:29"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7">
        <f ca="1">IF(OFFSET('4. Work'!$A$1,ROW(D3)-1,COLUMN(D3)-1)="","",OFFSET('4. Work'!$A$1,ROW(D3)-1,COLUMN(D3)-1))</f>
        <v>43103</v>
      </c>
      <c r="E3" s="147">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I3" s="3" t="str">
        <f ca="1">IF(OFFSET('4. Work'!$A$1,ROW(I3)-1,COLUMN(I3)-1)="","",OFFSET('4. Work'!$A$1,ROW(I3)-1,COLUMN(I3)-1))</f>
        <v/>
      </c>
      <c r="T3" s="3">
        <f ca="1">IF(A3&lt;&gt;"",MAX('Initiative Indirect'!$T:$T)+(ROW(A3)-1),"")</f>
        <v>13</v>
      </c>
      <c r="U3" s="3">
        <f ca="1">IF(B3&lt;&gt;"",INDEX('Initiative Indirect'!$T:$T,MATCH(B3,'Initiative Indirect'!$A:$A,0)),"")</f>
        <v>4</v>
      </c>
      <c r="V3" s="3">
        <f ca="1">IF(C3&lt;&gt;"",INDEX('Team Indirect'!$T:$T,MATCH(C3,'Team Indirect'!$A:$A,0)),"")</f>
        <v>35</v>
      </c>
      <c r="W3" s="3"/>
      <c r="X3" s="3"/>
      <c r="Y3" s="3">
        <f ca="1">IF($C3&lt;&gt;"",INDEX('Team Indirect'!$D:$D,MATCH($C3,'Team Indirect'!$A:$A,0)),"")</f>
        <v>10</v>
      </c>
      <c r="Z3" s="3">
        <f ca="1">IF($C3&lt;&gt;"",INDEX('Team Indirect'!$E:$E,MATCH($C3,'Team Indirect'!$A:$A,0)),"")</f>
        <v>20</v>
      </c>
      <c r="AA3" s="3">
        <f ca="1">IF($C3&lt;&gt;"",INDEX('Team Indirect'!$F:$F,MATCH($C3,'Team Indirect'!$A:$A,0)),"")</f>
        <v>0.2</v>
      </c>
      <c r="AB3" s="3">
        <f t="shared" ca="1" si="0"/>
        <v>12</v>
      </c>
      <c r="AC3" s="3">
        <f ca="1">IF(OR(AllocationUnits="Stories", AllocationUnits="Points"),'Work Indirect'!F3,F3/MAX('Work Indirect'!AB3,1))</f>
        <v>0.16666666666666666</v>
      </c>
    </row>
    <row r="4" spans="1:29"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7">
        <f ca="1">IF(OFFSET('4. Work'!$A$1,ROW(D4)-1,COLUMN(D4)-1)="","",OFFSET('4. Work'!$A$1,ROW(D4)-1,COLUMN(D4)-1))</f>
        <v>43110</v>
      </c>
      <c r="E4" s="147"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I4" s="3" t="str">
        <f ca="1">IF(OFFSET('4. Work'!$A$1,ROW(I4)-1,COLUMN(I4)-1)="","",OFFSET('4. Work'!$A$1,ROW(I4)-1,COLUMN(I4)-1))</f>
        <v/>
      </c>
      <c r="T4" s="3">
        <f ca="1">IF(A4&lt;&gt;"",MAX('Initiative Indirect'!$T:$T)+(ROW(A4)-1),"")</f>
        <v>14</v>
      </c>
      <c r="U4" s="3">
        <f ca="1">IF(B4&lt;&gt;"",INDEX('Initiative Indirect'!$T:$T,MATCH(B4,'Initiative Indirect'!$A:$A,0)),"")</f>
        <v>4</v>
      </c>
      <c r="V4" s="3">
        <f ca="1">IF(C4&lt;&gt;"",INDEX('Team Indirect'!$T:$T,MATCH(C4,'Team Indirect'!$A:$A,0)),"")</f>
        <v>33</v>
      </c>
      <c r="W4" s="3"/>
      <c r="X4" s="3"/>
      <c r="Y4" s="3">
        <f ca="1">IF($C4&lt;&gt;"",INDEX('Team Indirect'!$D:$D,MATCH($C4,'Team Indirect'!$A:$A,0)),"")</f>
        <v>2</v>
      </c>
      <c r="Z4" s="3">
        <f ca="1">IF($C4&lt;&gt;"",INDEX('Team Indirect'!$E:$E,MATCH($C4,'Team Indirect'!$A:$A,0)),"")</f>
        <v>6</v>
      </c>
      <c r="AA4" s="3">
        <f ca="1">IF($C4&lt;&gt;"",INDEX('Team Indirect'!$F:$F,MATCH($C4,'Team Indirect'!$A:$A,0)),"")</f>
        <v>0</v>
      </c>
      <c r="AB4" s="3">
        <f t="shared" ca="1" si="0"/>
        <v>3</v>
      </c>
      <c r="AC4" s="3">
        <f ca="1">IF(OR(AllocationUnits="Stories", AllocationUnits="Points"),'Work Indirect'!F4,F4/MAX('Work Indirect'!AB4,1))</f>
        <v>3.3333333333333335</v>
      </c>
    </row>
    <row r="5" spans="1:29"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7">
        <f ca="1">IF(OFFSET('4. Work'!$A$1,ROW(D5)-1,COLUMN(D5)-1)="","",OFFSET('4. Work'!$A$1,ROW(D5)-1,COLUMN(D5)-1))</f>
        <v>43110</v>
      </c>
      <c r="E5" s="147"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I5" s="3" t="str">
        <f ca="1">IF(OFFSET('4. Work'!$A$1,ROW(I5)-1,COLUMN(I5)-1)="","",OFFSET('4. Work'!$A$1,ROW(I5)-1,COLUMN(I5)-1))</f>
        <v/>
      </c>
      <c r="T5" s="3">
        <f ca="1">IF(A5&lt;&gt;"",MAX('Initiative Indirect'!$T:$T)+(ROW(A5)-1),"")</f>
        <v>15</v>
      </c>
      <c r="U5" s="3">
        <f ca="1">IF(B5&lt;&gt;"",INDEX('Initiative Indirect'!$T:$T,MATCH(B5,'Initiative Indirect'!$A:$A,0)),"")</f>
        <v>4</v>
      </c>
      <c r="V5" s="3">
        <f ca="1">IF(C5&lt;&gt;"",INDEX('Team Indirect'!$T:$T,MATCH(C5,'Team Indirect'!$A:$A,0)),"")</f>
        <v>33</v>
      </c>
      <c r="W5" s="3"/>
      <c r="X5" s="3"/>
      <c r="Y5" s="3">
        <f ca="1">IF($C5&lt;&gt;"",INDEX('Team Indirect'!$D:$D,MATCH($C5,'Team Indirect'!$A:$A,0)),"")</f>
        <v>2</v>
      </c>
      <c r="Z5" s="3">
        <f ca="1">IF($C5&lt;&gt;"",INDEX('Team Indirect'!$E:$E,MATCH($C5,'Team Indirect'!$A:$A,0)),"")</f>
        <v>6</v>
      </c>
      <c r="AA5" s="3">
        <f ca="1">IF($C5&lt;&gt;"",INDEX('Team Indirect'!$F:$F,MATCH($C5,'Team Indirect'!$A:$A,0)),"")</f>
        <v>0</v>
      </c>
      <c r="AB5" s="3">
        <f t="shared" ca="1" si="0"/>
        <v>3</v>
      </c>
      <c r="AC5" s="3">
        <f ca="1">IF(OR(AllocationUnits="Stories", AllocationUnits="Points"),'Work Indirect'!F5,F5/MAX('Work Indirect'!AB5,1))</f>
        <v>1.6666666666666667</v>
      </c>
    </row>
    <row r="6" spans="1:29"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7" t="str">
        <f ca="1">IF(OFFSET('4. Work'!$A$1,ROW(D6)-1,COLUMN(D6)-1)="","",OFFSET('4. Work'!$A$1,ROW(D6)-1,COLUMN(D6)-1))</f>
        <v/>
      </c>
      <c r="E6" s="147"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I6" s="3" t="str">
        <f ca="1">IF(OFFSET('4. Work'!$A$1,ROW(I6)-1,COLUMN(I6)-1)="","",OFFSET('4. Work'!$A$1,ROW(I6)-1,COLUMN(I6)-1))</f>
        <v/>
      </c>
      <c r="T6" s="3">
        <f ca="1">IF(A6&lt;&gt;"",MAX('Initiative Indirect'!$T:$T)+(ROW(A6)-1),"")</f>
        <v>16</v>
      </c>
      <c r="U6" s="3">
        <f ca="1">IF(B6&lt;&gt;"",INDEX('Initiative Indirect'!$T:$T,MATCH(B6,'Initiative Indirect'!$A:$A,0)),"")</f>
        <v>5</v>
      </c>
      <c r="V6" s="3">
        <f ca="1">IF(C6&lt;&gt;"",INDEX('Team Indirect'!$T:$T,MATCH(C6,'Team Indirect'!$A:$A,0)),"")</f>
        <v>34</v>
      </c>
      <c r="W6" s="3"/>
      <c r="X6" s="3"/>
      <c r="Y6" s="3">
        <f ca="1">IF($C6&lt;&gt;"",INDEX('Team Indirect'!$D:$D,MATCH($C6,'Team Indirect'!$A:$A,0)),"")</f>
        <v>4</v>
      </c>
      <c r="Z6" s="3">
        <f ca="1">IF($C6&lt;&gt;"",INDEX('Team Indirect'!$E:$E,MATCH($C6,'Team Indirect'!$A:$A,0)),"")</f>
        <v>6</v>
      </c>
      <c r="AA6" s="3">
        <f ca="1">IF($C6&lt;&gt;"",INDEX('Team Indirect'!$F:$F,MATCH($C6,'Team Indirect'!$A:$A,0)),"")</f>
        <v>0.2</v>
      </c>
      <c r="AB6" s="3">
        <f t="shared" ca="1" si="0"/>
        <v>4.4000000000000004</v>
      </c>
      <c r="AC6" s="3">
        <f ca="1">IF(OR(AllocationUnits="Stories", AllocationUnits="Points"),'Work Indirect'!F6,F6/MAX('Work Indirect'!AB6,1))</f>
        <v>0.68181818181818177</v>
      </c>
    </row>
    <row r="7" spans="1:29"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7" t="str">
        <f ca="1">IF(OFFSET('4. Work'!$A$1,ROW(D7)-1,COLUMN(D7)-1)="","",OFFSET('4. Work'!$A$1,ROW(D7)-1,COLUMN(D7)-1))</f>
        <v/>
      </c>
      <c r="E7" s="147"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I7" s="3" t="str">
        <f ca="1">IF(OFFSET('4. Work'!$A$1,ROW(I7)-1,COLUMN(I7)-1)="","",OFFSET('4. Work'!$A$1,ROW(I7)-1,COLUMN(I7)-1))</f>
        <v/>
      </c>
      <c r="T7" s="3">
        <f ca="1">IF(A7&lt;&gt;"",MAX('Initiative Indirect'!$T:$T)+(ROW(A7)-1),"")</f>
        <v>17</v>
      </c>
      <c r="U7" s="3">
        <f ca="1">IF(B7&lt;&gt;"",INDEX('Initiative Indirect'!$T:$T,MATCH(B7,'Initiative Indirect'!$A:$A,0)),"")</f>
        <v>5</v>
      </c>
      <c r="V7" s="3">
        <f ca="1">IF(C7&lt;&gt;"",INDEX('Team Indirect'!$T:$T,MATCH(C7,'Team Indirect'!$A:$A,0)),"")</f>
        <v>35</v>
      </c>
      <c r="W7" s="3"/>
      <c r="X7" s="3"/>
      <c r="Y7" s="3">
        <f ca="1">IF($C7&lt;&gt;"",INDEX('Team Indirect'!$D:$D,MATCH($C7,'Team Indirect'!$A:$A,0)),"")</f>
        <v>10</v>
      </c>
      <c r="Z7" s="3">
        <f ca="1">IF($C7&lt;&gt;"",INDEX('Team Indirect'!$E:$E,MATCH($C7,'Team Indirect'!$A:$A,0)),"")</f>
        <v>20</v>
      </c>
      <c r="AA7" s="3">
        <f ca="1">IF($C7&lt;&gt;"",INDEX('Team Indirect'!$F:$F,MATCH($C7,'Team Indirect'!$A:$A,0)),"")</f>
        <v>0.2</v>
      </c>
      <c r="AB7" s="3">
        <f t="shared" ca="1" si="0"/>
        <v>12</v>
      </c>
      <c r="AC7" s="3">
        <f ca="1">IF(OR(AllocationUnits="Stories", AllocationUnits="Points"),'Work Indirect'!F7,F7/MAX('Work Indirect'!AB7,1))</f>
        <v>0.25</v>
      </c>
    </row>
    <row r="8" spans="1:29"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7" t="str">
        <f ca="1">IF(OFFSET('4. Work'!$A$1,ROW(D8)-1,COLUMN(D8)-1)="","",OFFSET('4. Work'!$A$1,ROW(D8)-1,COLUMN(D8)-1))</f>
        <v/>
      </c>
      <c r="E8" s="147"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I8" s="3" t="str">
        <f ca="1">IF(OFFSET('4. Work'!$A$1,ROW(I8)-1,COLUMN(I8)-1)="","",OFFSET('4. Work'!$A$1,ROW(I8)-1,COLUMN(I8)-1))</f>
        <v/>
      </c>
      <c r="T8" s="3">
        <f ca="1">IF(A8&lt;&gt;"",MAX('Initiative Indirect'!$T:$T)+(ROW(A8)-1),"")</f>
        <v>18</v>
      </c>
      <c r="U8" s="3">
        <f ca="1">IF(B8&lt;&gt;"",INDEX('Initiative Indirect'!$T:$T,MATCH(B8,'Initiative Indirect'!$A:$A,0)),"")</f>
        <v>5</v>
      </c>
      <c r="V8" s="3">
        <f ca="1">IF(C8&lt;&gt;"",INDEX('Team Indirect'!$T:$T,MATCH(C8,'Team Indirect'!$A:$A,0)),"")</f>
        <v>34</v>
      </c>
      <c r="W8" s="3"/>
      <c r="X8" s="3"/>
      <c r="Y8" s="3">
        <f ca="1">IF($C8&lt;&gt;"",INDEX('Team Indirect'!$D:$D,MATCH($C8,'Team Indirect'!$A:$A,0)),"")</f>
        <v>4</v>
      </c>
      <c r="Z8" s="3">
        <f ca="1">IF($C8&lt;&gt;"",INDEX('Team Indirect'!$E:$E,MATCH($C8,'Team Indirect'!$A:$A,0)),"")</f>
        <v>6</v>
      </c>
      <c r="AA8" s="3">
        <f ca="1">IF($C8&lt;&gt;"",INDEX('Team Indirect'!$F:$F,MATCH($C8,'Team Indirect'!$A:$A,0)),"")</f>
        <v>0.2</v>
      </c>
      <c r="AB8" s="3">
        <f t="shared" ca="1" si="0"/>
        <v>4.4000000000000004</v>
      </c>
      <c r="AC8" s="3">
        <f ca="1">IF(OR(AllocationUnits="Stories", AllocationUnits="Points"),'Work Indirect'!F8,F8/MAX('Work Indirect'!AB8,1))</f>
        <v>0.45454545454545453</v>
      </c>
    </row>
    <row r="9" spans="1:29"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7">
        <f ca="1">IF(OFFSET('4. Work'!$A$1,ROW(D9)-1,COLUMN(D9)-1)="","",OFFSET('4. Work'!$A$1,ROW(D9)-1,COLUMN(D9)-1))</f>
        <v>43101</v>
      </c>
      <c r="E9" s="147"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I9" s="3" t="str">
        <f ca="1">IF(OFFSET('4. Work'!$A$1,ROW(I9)-1,COLUMN(I9)-1)="","",OFFSET('4. Work'!$A$1,ROW(I9)-1,COLUMN(I9)-1))</f>
        <v/>
      </c>
      <c r="T9" s="3">
        <f ca="1">IF(A9&lt;&gt;"",MAX('Initiative Indirect'!$T:$T)+(ROW(A9)-1),"")</f>
        <v>19</v>
      </c>
      <c r="U9" s="3">
        <f ca="1">IF(B9&lt;&gt;"",INDEX('Initiative Indirect'!$T:$T,MATCH(B9,'Initiative Indirect'!$A:$A,0)),"")</f>
        <v>6</v>
      </c>
      <c r="V9" s="3">
        <f ca="1">IF(C9&lt;&gt;"",INDEX('Team Indirect'!$T:$T,MATCH(C9,'Team Indirect'!$A:$A,0)),"")</f>
        <v>32</v>
      </c>
      <c r="W9" s="3"/>
      <c r="X9" s="3"/>
      <c r="Y9" s="3">
        <f ca="1">IF($C9&lt;&gt;"",INDEX('Team Indirect'!$D:$D,MATCH($C9,'Team Indirect'!$A:$A,0)),"")</f>
        <v>1</v>
      </c>
      <c r="Z9" s="3">
        <f ca="1">IF($C9&lt;&gt;"",INDEX('Team Indirect'!$E:$E,MATCH($C9,'Team Indirect'!$A:$A,0)),"")</f>
        <v>6</v>
      </c>
      <c r="AA9" s="3">
        <f ca="1">IF($C9&lt;&gt;"",INDEX('Team Indirect'!$F:$F,MATCH($C9,'Team Indirect'!$A:$A,0)),"")</f>
        <v>0</v>
      </c>
      <c r="AB9" s="3">
        <f t="shared" ca="1" si="0"/>
        <v>2.25</v>
      </c>
      <c r="AC9" s="3">
        <f ca="1">IF(OR(AllocationUnits="Stories", AllocationUnits="Points"),'Work Indirect'!F9,F9/MAX('Work Indirect'!AB9,1))</f>
        <v>4.4444444444444446</v>
      </c>
    </row>
    <row r="10" spans="1:29"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7" t="str">
        <f ca="1">IF(OFFSET('4. Work'!$A$1,ROW(D10)-1,COLUMN(D10)-1)="","",OFFSET('4. Work'!$A$1,ROW(D10)-1,COLUMN(D10)-1))</f>
        <v/>
      </c>
      <c r="E10" s="147"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I10" s="3" t="str">
        <f ca="1">IF(OFFSET('4. Work'!$A$1,ROW(I10)-1,COLUMN(I10)-1)="","",OFFSET('4. Work'!$A$1,ROW(I10)-1,COLUMN(I10)-1))</f>
        <v/>
      </c>
      <c r="T10" s="3">
        <f ca="1">IF(A10&lt;&gt;"",MAX('Initiative Indirect'!$T:$T)+(ROW(A10)-1),"")</f>
        <v>20</v>
      </c>
      <c r="U10" s="3">
        <f ca="1">IF(B10&lt;&gt;"",INDEX('Initiative Indirect'!$T:$T,MATCH(B10,'Initiative Indirect'!$A:$A,0)),"")</f>
        <v>7</v>
      </c>
      <c r="V10" s="3">
        <f ca="1">IF(C10&lt;&gt;"",INDEX('Team Indirect'!$T:$T,MATCH(C10,'Team Indirect'!$A:$A,0)),"")</f>
        <v>35</v>
      </c>
      <c r="W10" s="3"/>
      <c r="X10" s="3"/>
      <c r="Y10" s="3">
        <f ca="1">IF($C10&lt;&gt;"",INDEX('Team Indirect'!$D:$D,MATCH($C10,'Team Indirect'!$A:$A,0)),"")</f>
        <v>10</v>
      </c>
      <c r="Z10" s="3">
        <f ca="1">IF($C10&lt;&gt;"",INDEX('Team Indirect'!$E:$E,MATCH($C10,'Team Indirect'!$A:$A,0)),"")</f>
        <v>20</v>
      </c>
      <c r="AA10" s="3">
        <f ca="1">IF($C10&lt;&gt;"",INDEX('Team Indirect'!$F:$F,MATCH($C10,'Team Indirect'!$A:$A,0)),"")</f>
        <v>0.2</v>
      </c>
      <c r="AB10" s="3">
        <f t="shared" ca="1" si="0"/>
        <v>12</v>
      </c>
      <c r="AC10" s="3">
        <f ca="1">IF(OR(AllocationUnits="Stories", AllocationUnits="Points"),'Work Indirect'!F10,F10/MAX('Work Indirect'!AB10,1))</f>
        <v>0.66666666666666663</v>
      </c>
    </row>
    <row r="11" spans="1:29"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7" t="str">
        <f ca="1">IF(OFFSET('4. Work'!$A$1,ROW(D11)-1,COLUMN(D11)-1)="","",OFFSET('4. Work'!$A$1,ROW(D11)-1,COLUMN(D11)-1))</f>
        <v/>
      </c>
      <c r="E11" s="147"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I11" s="3" t="str">
        <f ca="1">IF(OFFSET('4. Work'!$A$1,ROW(I11)-1,COLUMN(I11)-1)="","",OFFSET('4. Work'!$A$1,ROW(I11)-1,COLUMN(I11)-1))</f>
        <v/>
      </c>
      <c r="T11" s="3">
        <f ca="1">IF(A11&lt;&gt;"",MAX('Initiative Indirect'!$T:$T)+(ROW(A11)-1),"")</f>
        <v>21</v>
      </c>
      <c r="U11" s="3">
        <f ca="1">IF(B11&lt;&gt;"",INDEX('Initiative Indirect'!$T:$T,MATCH(B11,'Initiative Indirect'!$A:$A,0)),"")</f>
        <v>7</v>
      </c>
      <c r="V11" s="3">
        <f ca="1">IF(C11&lt;&gt;"",INDEX('Team Indirect'!$T:$T,MATCH(C11,'Team Indirect'!$A:$A,0)),"")</f>
        <v>32</v>
      </c>
      <c r="W11" s="3"/>
      <c r="X11" s="3"/>
      <c r="Y11" s="3">
        <f ca="1">IF($C11&lt;&gt;"",INDEX('Team Indirect'!$D:$D,MATCH($C11,'Team Indirect'!$A:$A,0)),"")</f>
        <v>1</v>
      </c>
      <c r="Z11" s="3">
        <f ca="1">IF($C11&lt;&gt;"",INDEX('Team Indirect'!$E:$E,MATCH($C11,'Team Indirect'!$A:$A,0)),"")</f>
        <v>6</v>
      </c>
      <c r="AA11" s="3">
        <f ca="1">IF($C11&lt;&gt;"",INDEX('Team Indirect'!$F:$F,MATCH($C11,'Team Indirect'!$A:$A,0)),"")</f>
        <v>0</v>
      </c>
      <c r="AB11" s="3">
        <f t="shared" ca="1" si="0"/>
        <v>2.25</v>
      </c>
      <c r="AC11" s="3">
        <f ca="1">IF(OR(AllocationUnits="Stories", AllocationUnits="Points"),'Work Indirect'!F11,F11/MAX('Work Indirect'!AB11,1))</f>
        <v>1.7777777777777777</v>
      </c>
    </row>
    <row r="12" spans="1:29"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7">
        <f ca="1">IF(OFFSET('4. Work'!$A$1,ROW(D12)-1,COLUMN(D12)-1)="","",OFFSET('4. Work'!$A$1,ROW(D12)-1,COLUMN(D12)-1))</f>
        <v>43101</v>
      </c>
      <c r="E12" s="147"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I12" s="3" t="str">
        <f ca="1">IF(OFFSET('4. Work'!$A$1,ROW(I12)-1,COLUMN(I12)-1)="","",OFFSET('4. Work'!$A$1,ROW(I12)-1,COLUMN(I12)-1))</f>
        <v/>
      </c>
      <c r="T12" s="3">
        <f ca="1">IF(A12&lt;&gt;"",MAX('Initiative Indirect'!$T:$T)+(ROW(A12)-1),"")</f>
        <v>22</v>
      </c>
      <c r="U12" s="3">
        <f ca="1">IF(B12&lt;&gt;"",INDEX('Initiative Indirect'!$T:$T,MATCH(B12,'Initiative Indirect'!$A:$A,0)),"")</f>
        <v>8</v>
      </c>
      <c r="V12" s="3">
        <f ca="1">IF(C12&lt;&gt;"",INDEX('Team Indirect'!$T:$T,MATCH(C12,'Team Indirect'!$A:$A,0)),"")</f>
        <v>34</v>
      </c>
      <c r="W12" s="3"/>
      <c r="X12" s="3"/>
      <c r="Y12" s="3">
        <f ca="1">IF($C12&lt;&gt;"",INDEX('Team Indirect'!$D:$D,MATCH($C12,'Team Indirect'!$A:$A,0)),"")</f>
        <v>4</v>
      </c>
      <c r="Z12" s="3">
        <f ca="1">IF($C12&lt;&gt;"",INDEX('Team Indirect'!$E:$E,MATCH($C12,'Team Indirect'!$A:$A,0)),"")</f>
        <v>6</v>
      </c>
      <c r="AA12" s="3">
        <f ca="1">IF($C12&lt;&gt;"",INDEX('Team Indirect'!$F:$F,MATCH($C12,'Team Indirect'!$A:$A,0)),"")</f>
        <v>0.2</v>
      </c>
      <c r="AB12" s="3">
        <f t="shared" ca="1" si="0"/>
        <v>4.4000000000000004</v>
      </c>
      <c r="AC12" s="3">
        <f ca="1">IF(OR(AllocationUnits="Stories", AllocationUnits="Points"),'Work Indirect'!F12,F12/MAX('Work Indirect'!AB12,1))</f>
        <v>2.2727272727272725</v>
      </c>
    </row>
    <row r="13" spans="1:29"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7" t="str">
        <f ca="1">IF(OFFSET('4. Work'!$A$1,ROW(D13)-1,COLUMN(D13)-1)="","",OFFSET('4. Work'!$A$1,ROW(D13)-1,COLUMN(D13)-1))</f>
        <v/>
      </c>
      <c r="E13" s="147"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I13" s="3" t="str">
        <f ca="1">IF(OFFSET('4. Work'!$A$1,ROW(I13)-1,COLUMN(I13)-1)="","",OFFSET('4. Work'!$A$1,ROW(I13)-1,COLUMN(I13)-1))</f>
        <v/>
      </c>
      <c r="T13" s="3">
        <f ca="1">IF(A13&lt;&gt;"",MAX('Initiative Indirect'!$T:$T)+(ROW(A13)-1),"")</f>
        <v>23</v>
      </c>
      <c r="U13" s="3">
        <f ca="1">IF(B13&lt;&gt;"",INDEX('Initiative Indirect'!$T:$T,MATCH(B13,'Initiative Indirect'!$A:$A,0)),"")</f>
        <v>8</v>
      </c>
      <c r="V13" s="3">
        <f ca="1">IF(C13&lt;&gt;"",INDEX('Team Indirect'!$T:$T,MATCH(C13,'Team Indirect'!$A:$A,0)),"")</f>
        <v>35</v>
      </c>
      <c r="W13" s="3"/>
      <c r="X13" s="3"/>
      <c r="Y13" s="3">
        <f ca="1">IF($C13&lt;&gt;"",INDEX('Team Indirect'!$D:$D,MATCH($C13,'Team Indirect'!$A:$A,0)),"")</f>
        <v>10</v>
      </c>
      <c r="Z13" s="3">
        <f ca="1">IF($C13&lt;&gt;"",INDEX('Team Indirect'!$E:$E,MATCH($C13,'Team Indirect'!$A:$A,0)),"")</f>
        <v>20</v>
      </c>
      <c r="AA13" s="3">
        <f ca="1">IF($C13&lt;&gt;"",INDEX('Team Indirect'!$F:$F,MATCH($C13,'Team Indirect'!$A:$A,0)),"")</f>
        <v>0.2</v>
      </c>
      <c r="AB13" s="3">
        <f t="shared" ca="1" si="0"/>
        <v>12</v>
      </c>
      <c r="AC13" s="3">
        <f ca="1">IF(OR(AllocationUnits="Stories", AllocationUnits="Points"),'Work Indirect'!F13,F13/MAX('Work Indirect'!AB13,1))</f>
        <v>0.41666666666666669</v>
      </c>
    </row>
    <row r="14" spans="1:29"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7" t="str">
        <f ca="1">IF(OFFSET('4. Work'!$A$1,ROW(D14)-1,COLUMN(D14)-1)="","",OFFSET('4. Work'!$A$1,ROW(D14)-1,COLUMN(D14)-1))</f>
        <v/>
      </c>
      <c r="E14" s="147"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I14" s="3" t="str">
        <f ca="1">IF(OFFSET('4. Work'!$A$1,ROW(I14)-1,COLUMN(I14)-1)="","",OFFSET('4. Work'!$A$1,ROW(I14)-1,COLUMN(I14)-1))</f>
        <v/>
      </c>
      <c r="T14" s="3">
        <f ca="1">IF(A14&lt;&gt;"",MAX('Initiative Indirect'!$T:$T)+(ROW(A14)-1),"")</f>
        <v>24</v>
      </c>
      <c r="U14" s="3">
        <f ca="1">IF(B14&lt;&gt;"",INDEX('Initiative Indirect'!$T:$T,MATCH(B14,'Initiative Indirect'!$A:$A,0)),"")</f>
        <v>9</v>
      </c>
      <c r="V14" s="3">
        <f ca="1">IF(C14&lt;&gt;"",INDEX('Team Indirect'!$T:$T,MATCH(C14,'Team Indirect'!$A:$A,0)),"")</f>
        <v>36</v>
      </c>
      <c r="W14" s="3"/>
      <c r="X14" s="3"/>
      <c r="Y14" s="3">
        <f ca="1">IF($C14&lt;&gt;"",INDEX('Team Indirect'!$D:$D,MATCH($C14,'Team Indirect'!$A:$A,0)),"")</f>
        <v>2</v>
      </c>
      <c r="Z14" s="3">
        <f ca="1">IF($C14&lt;&gt;"",INDEX('Team Indirect'!$E:$E,MATCH($C14,'Team Indirect'!$A:$A,0)),"")</f>
        <v>2</v>
      </c>
      <c r="AA14" s="3">
        <f ca="1">IF($C14&lt;&gt;"",INDEX('Team Indirect'!$F:$F,MATCH($C14,'Team Indirect'!$A:$A,0)),"")</f>
        <v>0</v>
      </c>
      <c r="AB14" s="3">
        <f t="shared" ca="1" si="0"/>
        <v>2</v>
      </c>
      <c r="AC14" s="3">
        <f ca="1">IF(OR(AllocationUnits="Stories", AllocationUnits="Points"),'Work Indirect'!F14,F14/MAX('Work Indirect'!AB14,1))</f>
        <v>1.5</v>
      </c>
    </row>
    <row r="15" spans="1:29"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7" t="str">
        <f ca="1">IF(OFFSET('4. Work'!$A$1,ROW(D15)-1,COLUMN(D15)-1)="","",OFFSET('4. Work'!$A$1,ROW(D15)-1,COLUMN(D15)-1))</f>
        <v/>
      </c>
      <c r="E15" s="147"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I15" s="3" t="str">
        <f ca="1">IF(OFFSET('4. Work'!$A$1,ROW(I15)-1,COLUMN(I15)-1)="","",OFFSET('4. Work'!$A$1,ROW(I15)-1,COLUMN(I15)-1))</f>
        <v/>
      </c>
      <c r="T15" s="3">
        <f ca="1">IF(A15&lt;&gt;"",MAX('Initiative Indirect'!$T:$T)+(ROW(A15)-1),"")</f>
        <v>25</v>
      </c>
      <c r="U15" s="3">
        <f ca="1">IF(B15&lt;&gt;"",INDEX('Initiative Indirect'!$T:$T,MATCH(B15,'Initiative Indirect'!$A:$A,0)),"")</f>
        <v>9</v>
      </c>
      <c r="V15" s="3">
        <f ca="1">IF(C15&lt;&gt;"",INDEX('Team Indirect'!$T:$T,MATCH(C15,'Team Indirect'!$A:$A,0)),"")</f>
        <v>36</v>
      </c>
      <c r="W15" s="3"/>
      <c r="X15" s="3"/>
      <c r="Y15" s="3">
        <f ca="1">IF($C15&lt;&gt;"",INDEX('Team Indirect'!$D:$D,MATCH($C15,'Team Indirect'!$A:$A,0)),"")</f>
        <v>2</v>
      </c>
      <c r="Z15" s="3">
        <f ca="1">IF($C15&lt;&gt;"",INDEX('Team Indirect'!$E:$E,MATCH($C15,'Team Indirect'!$A:$A,0)),"")</f>
        <v>2</v>
      </c>
      <c r="AA15" s="3">
        <f ca="1">IF($C15&lt;&gt;"",INDEX('Team Indirect'!$F:$F,MATCH($C15,'Team Indirect'!$A:$A,0)),"")</f>
        <v>0</v>
      </c>
      <c r="AB15" s="3">
        <f t="shared" ca="1" si="0"/>
        <v>2</v>
      </c>
      <c r="AC15" s="3">
        <f ca="1">IF(OR(AllocationUnits="Stories", AllocationUnits="Points"),'Work Indirect'!F15,F15/MAX('Work Indirect'!AB15,1))</f>
        <v>1.5</v>
      </c>
    </row>
    <row r="16" spans="1:29"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7" t="str">
        <f ca="1">IF(OFFSET('4. Work'!$A$1,ROW(D16)-1,COLUMN(D16)-1)="","",OFFSET('4. Work'!$A$1,ROW(D16)-1,COLUMN(D16)-1))</f>
        <v/>
      </c>
      <c r="E16" s="147"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I16" s="3" t="str">
        <f ca="1">IF(OFFSET('4. Work'!$A$1,ROW(I16)-1,COLUMN(I16)-1)="","",OFFSET('4. Work'!$A$1,ROW(I16)-1,COLUMN(I16)-1))</f>
        <v/>
      </c>
      <c r="T16" s="3">
        <f ca="1">IF(A16&lt;&gt;"",MAX('Initiative Indirect'!$T:$T)+(ROW(A16)-1),"")</f>
        <v>26</v>
      </c>
      <c r="U16" s="3">
        <f ca="1">IF(B16&lt;&gt;"",INDEX('Initiative Indirect'!$T:$T,MATCH(B16,'Initiative Indirect'!$A:$A,0)),"")</f>
        <v>11</v>
      </c>
      <c r="V16" s="3">
        <f ca="1">IF(C16&lt;&gt;"",INDEX('Team Indirect'!$T:$T,MATCH(C16,'Team Indirect'!$A:$A,0)),"")</f>
        <v>35</v>
      </c>
      <c r="W16" s="3"/>
      <c r="X16" s="3"/>
      <c r="Y16" s="3">
        <f ca="1">IF($C16&lt;&gt;"",INDEX('Team Indirect'!$D:$D,MATCH($C16,'Team Indirect'!$A:$A,0)),"")</f>
        <v>10</v>
      </c>
      <c r="Z16" s="3">
        <f ca="1">IF($C16&lt;&gt;"",INDEX('Team Indirect'!$E:$E,MATCH($C16,'Team Indirect'!$A:$A,0)),"")</f>
        <v>20</v>
      </c>
      <c r="AA16" s="3">
        <f ca="1">IF($C16&lt;&gt;"",INDEX('Team Indirect'!$F:$F,MATCH($C16,'Team Indirect'!$A:$A,0)),"")</f>
        <v>0.2</v>
      </c>
      <c r="AB16" s="3">
        <f t="shared" ca="1" si="0"/>
        <v>12</v>
      </c>
      <c r="AC16" s="3">
        <f ca="1">IF(OR(AllocationUnits="Stories", AllocationUnits="Points"),'Work Indirect'!F16,F16/MAX('Work Indirect'!AB16,1))</f>
        <v>0.25</v>
      </c>
    </row>
    <row r="17" spans="1:29"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7" t="str">
        <f ca="1">IF(OFFSET('4. Work'!$A$1,ROW(D17)-1,COLUMN(D17)-1)="","",OFFSET('4. Work'!$A$1,ROW(D17)-1,COLUMN(D17)-1))</f>
        <v/>
      </c>
      <c r="E17" s="147"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I17" s="3" t="str">
        <f ca="1">IF(OFFSET('4. Work'!$A$1,ROW(I17)-1,COLUMN(I17)-1)="","",OFFSET('4. Work'!$A$1,ROW(I17)-1,COLUMN(I17)-1))</f>
        <v/>
      </c>
      <c r="T17" s="3">
        <f ca="1">IF(A17&lt;&gt;"",MAX('Initiative Indirect'!$T:$T)+(ROW(A17)-1),"")</f>
        <v>27</v>
      </c>
      <c r="U17" s="3">
        <f ca="1">IF(B17&lt;&gt;"",INDEX('Initiative Indirect'!$T:$T,MATCH(B17,'Initiative Indirect'!$A:$A,0)),"")</f>
        <v>11</v>
      </c>
      <c r="V17" s="3">
        <f ca="1">IF(C17&lt;&gt;"",INDEX('Team Indirect'!$T:$T,MATCH(C17,'Team Indirect'!$A:$A,0)),"")</f>
        <v>35</v>
      </c>
      <c r="W17" s="3"/>
      <c r="X17" s="3"/>
      <c r="Y17" s="3">
        <f ca="1">IF($C17&lt;&gt;"",INDEX('Team Indirect'!$D:$D,MATCH($C17,'Team Indirect'!$A:$A,0)),"")</f>
        <v>10</v>
      </c>
      <c r="Z17" s="3">
        <f ca="1">IF($C17&lt;&gt;"",INDEX('Team Indirect'!$E:$E,MATCH($C17,'Team Indirect'!$A:$A,0)),"")</f>
        <v>20</v>
      </c>
      <c r="AA17" s="3">
        <f ca="1">IF($C17&lt;&gt;"",INDEX('Team Indirect'!$F:$F,MATCH($C17,'Team Indirect'!$A:$A,0)),"")</f>
        <v>0.2</v>
      </c>
      <c r="AB17" s="3">
        <f t="shared" ca="1" si="0"/>
        <v>12</v>
      </c>
      <c r="AC17" s="3">
        <f ca="1">IF(OR(AllocationUnits="Stories", AllocationUnits="Points"),'Work Indirect'!F17,F17/MAX('Work Indirect'!AB17,1))</f>
        <v>0.16666666666666666</v>
      </c>
    </row>
    <row r="18" spans="1:29"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7" t="str">
        <f ca="1">IF(OFFSET('4. Work'!$A$1,ROW(D18)-1,COLUMN(D18)-1)="","",OFFSET('4. Work'!$A$1,ROW(D18)-1,COLUMN(D18)-1))</f>
        <v/>
      </c>
      <c r="E18" s="147"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I18" s="3" t="str">
        <f ca="1">IF(OFFSET('4. Work'!$A$1,ROW(I18)-1,COLUMN(I18)-1)="","",OFFSET('4. Work'!$A$1,ROW(I18)-1,COLUMN(I18)-1))</f>
        <v/>
      </c>
      <c r="T18" s="3">
        <f ca="1">IF(A18&lt;&gt;"",MAX('Initiative Indirect'!$T:$T)+(ROW(A18)-1),"")</f>
        <v>28</v>
      </c>
      <c r="U18" s="3">
        <f ca="1">IF(B18&lt;&gt;"",INDEX('Initiative Indirect'!$T:$T,MATCH(B18,'Initiative Indirect'!$A:$A,0)),"")</f>
        <v>11</v>
      </c>
      <c r="V18" s="3">
        <f ca="1">IF(C18&lt;&gt;"",INDEX('Team Indirect'!$T:$T,MATCH(C18,'Team Indirect'!$A:$A,0)),"")</f>
        <v>33</v>
      </c>
      <c r="W18" s="3"/>
      <c r="X18" s="3"/>
      <c r="Y18" s="3">
        <f ca="1">IF($C18&lt;&gt;"",INDEX('Team Indirect'!$D:$D,MATCH($C18,'Team Indirect'!$A:$A,0)),"")</f>
        <v>2</v>
      </c>
      <c r="Z18" s="3">
        <f ca="1">IF($C18&lt;&gt;"",INDEX('Team Indirect'!$E:$E,MATCH($C18,'Team Indirect'!$A:$A,0)),"")</f>
        <v>6</v>
      </c>
      <c r="AA18" s="3">
        <f ca="1">IF($C18&lt;&gt;"",INDEX('Team Indirect'!$F:$F,MATCH($C18,'Team Indirect'!$A:$A,0)),"")</f>
        <v>0</v>
      </c>
      <c r="AB18" s="3">
        <f t="shared" ca="1" si="0"/>
        <v>3</v>
      </c>
      <c r="AC18" s="3">
        <f ca="1">IF(OR(AllocationUnits="Stories", AllocationUnits="Points"),'Work Indirect'!F18,F18/MAX('Work Indirect'!AB18,1))</f>
        <v>1</v>
      </c>
    </row>
    <row r="19" spans="1:29"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7" t="str">
        <f ca="1">IF(OFFSET('4. Work'!$A$1,ROW(D19)-1,COLUMN(D19)-1)="","",OFFSET('4. Work'!$A$1,ROW(D19)-1,COLUMN(D19)-1))</f>
        <v/>
      </c>
      <c r="E19" s="147"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I19" s="3" t="str">
        <f ca="1">IF(OFFSET('4. Work'!$A$1,ROW(I19)-1,COLUMN(I19)-1)="","",OFFSET('4. Work'!$A$1,ROW(I19)-1,COLUMN(I19)-1))</f>
        <v/>
      </c>
      <c r="T19" s="3">
        <f ca="1">IF(A19&lt;&gt;"",MAX('Initiative Indirect'!$T:$T)+(ROW(A19)-1),"")</f>
        <v>29</v>
      </c>
      <c r="U19" s="3">
        <f ca="1">IF(B19&lt;&gt;"",INDEX('Initiative Indirect'!$T:$T,MATCH(B19,'Initiative Indirect'!$A:$A,0)),"")</f>
        <v>10</v>
      </c>
      <c r="V19" s="3">
        <f ca="1">IF(C19&lt;&gt;"",INDEX('Team Indirect'!$T:$T,MATCH(C19,'Team Indirect'!$A:$A,0)),"")</f>
        <v>35</v>
      </c>
      <c r="W19" s="3"/>
      <c r="X19" s="3"/>
      <c r="Y19" s="3">
        <f ca="1">IF($C19&lt;&gt;"",INDEX('Team Indirect'!$D:$D,MATCH($C19,'Team Indirect'!$A:$A,0)),"")</f>
        <v>10</v>
      </c>
      <c r="Z19" s="3">
        <f ca="1">IF($C19&lt;&gt;"",INDEX('Team Indirect'!$E:$E,MATCH($C19,'Team Indirect'!$A:$A,0)),"")</f>
        <v>20</v>
      </c>
      <c r="AA19" s="3">
        <f ca="1">IF($C19&lt;&gt;"",INDEX('Team Indirect'!$F:$F,MATCH($C19,'Team Indirect'!$A:$A,0)),"")</f>
        <v>0.2</v>
      </c>
      <c r="AB19" s="3">
        <f t="shared" ca="1" si="0"/>
        <v>12</v>
      </c>
      <c r="AC19" s="3">
        <f ca="1">IF(OR(AllocationUnits="Stories", AllocationUnits="Points"),'Work Indirect'!F19,F19/MAX('Work Indirect'!AB19,1))</f>
        <v>0.83333333333333337</v>
      </c>
    </row>
    <row r="20" spans="1:29"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7" t="str">
        <f ca="1">IF(OFFSET('4. Work'!$A$1,ROW(D20)-1,COLUMN(D20)-1)="","",OFFSET('4. Work'!$A$1,ROW(D20)-1,COLUMN(D20)-1))</f>
        <v/>
      </c>
      <c r="E20" s="147"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I20" s="3" t="str">
        <f ca="1">IF(OFFSET('4. Work'!$A$1,ROW(I20)-1,COLUMN(I20)-1)="","",OFFSET('4. Work'!$A$1,ROW(I20)-1,COLUMN(I20)-1))</f>
        <v/>
      </c>
      <c r="T20" s="3">
        <f ca="1">IF(A20&lt;&gt;"",MAX('Initiative Indirect'!$T:$T)+(ROW(A20)-1),"")</f>
        <v>30</v>
      </c>
      <c r="U20" s="3">
        <f ca="1">IF(B20&lt;&gt;"",INDEX('Initiative Indirect'!$T:$T,MATCH(B20,'Initiative Indirect'!$A:$A,0)),"")</f>
        <v>10</v>
      </c>
      <c r="V20" s="3">
        <f ca="1">IF(C20&lt;&gt;"",INDEX('Team Indirect'!$T:$T,MATCH(C20,'Team Indirect'!$A:$A,0)),"")</f>
        <v>35</v>
      </c>
      <c r="W20" s="3"/>
      <c r="X20" s="3"/>
      <c r="Y20" s="3">
        <f ca="1">IF($C20&lt;&gt;"",INDEX('Team Indirect'!$D:$D,MATCH($C20,'Team Indirect'!$A:$A,0)),"")</f>
        <v>10</v>
      </c>
      <c r="Z20" s="3">
        <f ca="1">IF($C20&lt;&gt;"",INDEX('Team Indirect'!$E:$E,MATCH($C20,'Team Indirect'!$A:$A,0)),"")</f>
        <v>20</v>
      </c>
      <c r="AA20" s="3">
        <f ca="1">IF($C20&lt;&gt;"",INDEX('Team Indirect'!$F:$F,MATCH($C20,'Team Indirect'!$A:$A,0)),"")</f>
        <v>0.2</v>
      </c>
      <c r="AB20" s="3">
        <f t="shared" ca="1" si="0"/>
        <v>12</v>
      </c>
      <c r="AC20" s="3">
        <f ca="1">IF(OR(AllocationUnits="Stories", AllocationUnits="Points"),'Work Indirect'!F20,F20/MAX('Work Indirect'!AB20,1))</f>
        <v>0.41666666666666669</v>
      </c>
    </row>
    <row r="21" spans="1:29"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7" t="str">
        <f ca="1">IF(OFFSET('4. Work'!$A$1,ROW(D21)-1,COLUMN(D21)-1)="","",OFFSET('4. Work'!$A$1,ROW(D21)-1,COLUMN(D21)-1))</f>
        <v/>
      </c>
      <c r="E21" s="147"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I21" s="3" t="str">
        <f ca="1">IF(OFFSET('4. Work'!$A$1,ROW(I21)-1,COLUMN(I21)-1)="","",OFFSET('4. Work'!$A$1,ROW(I21)-1,COLUMN(I21)-1))</f>
        <v/>
      </c>
      <c r="T21" s="3">
        <f ca="1">IF(A21&lt;&gt;"",MAX('Initiative Indirect'!$T:$T)+(ROW(A21)-1),"")</f>
        <v>31</v>
      </c>
      <c r="U21" s="3">
        <f ca="1">IF(B21&lt;&gt;"",INDEX('Initiative Indirect'!$T:$T,MATCH(B21,'Initiative Indirect'!$A:$A,0)),"")</f>
        <v>10</v>
      </c>
      <c r="V21" s="3">
        <f ca="1">IF(C21&lt;&gt;"",INDEX('Team Indirect'!$T:$T,MATCH(C21,'Team Indirect'!$A:$A,0)),"")</f>
        <v>33</v>
      </c>
      <c r="W21" s="3"/>
      <c r="X21" s="3"/>
      <c r="Y21" s="3">
        <f ca="1">IF($C21&lt;&gt;"",INDEX('Team Indirect'!$D:$D,MATCH($C21,'Team Indirect'!$A:$A,0)),"")</f>
        <v>2</v>
      </c>
      <c r="Z21" s="3">
        <f ca="1">IF($C21&lt;&gt;"",INDEX('Team Indirect'!$E:$E,MATCH($C21,'Team Indirect'!$A:$A,0)),"")</f>
        <v>6</v>
      </c>
      <c r="AA21" s="3">
        <f ca="1">IF($C21&lt;&gt;"",INDEX('Team Indirect'!$F:$F,MATCH($C21,'Team Indirect'!$A:$A,0)),"")</f>
        <v>0</v>
      </c>
      <c r="AB21" s="3">
        <f t="shared" ca="1" si="0"/>
        <v>3</v>
      </c>
      <c r="AC21" s="3">
        <f ca="1">IF(OR(AllocationUnits="Stories", AllocationUnits="Points"),'Work Indirect'!F21,F21/MAX('Work Indirect'!AB21,1))</f>
        <v>1</v>
      </c>
    </row>
    <row r="22" spans="1:29"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7" t="str">
        <f ca="1">IF(OFFSET('4. Work'!$A$1,ROW(D22)-1,COLUMN(D22)-1)="","",OFFSET('4. Work'!$A$1,ROW(D22)-1,COLUMN(D22)-1))</f>
        <v/>
      </c>
      <c r="E22" s="147"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I22" s="3" t="str">
        <f ca="1">IF(OFFSET('4. Work'!$A$1,ROW(I22)-1,COLUMN(I22)-1)="","",OFFSET('4. Work'!$A$1,ROW(I22)-1,COLUMN(I22)-1))</f>
        <v/>
      </c>
      <c r="T22" s="3" t="str">
        <f ca="1">IF(A22&lt;&gt;"",MAX('Initiative Indirect'!$T:$T)+(ROW(A22)-1),"")</f>
        <v/>
      </c>
      <c r="U22" s="3" t="str">
        <f ca="1">IF(B22&lt;&gt;"",INDEX('Initiative Indirect'!$T:$T,MATCH(B22,'Initiative Indirect'!$A:$A,0)),"")</f>
        <v/>
      </c>
      <c r="V22" s="3" t="str">
        <f ca="1">IF(C22&lt;&gt;"",INDEX('Team Indirect'!$T:$T,MATCH(C22,'Team Indirect'!$A:$A,0)),"")</f>
        <v/>
      </c>
      <c r="W22" s="3"/>
      <c r="X22" s="3"/>
      <c r="Y22" s="3" t="str">
        <f ca="1">IF($C22&lt;&gt;"",INDEX('Team Indirect'!$D:$D,MATCH($C22,'Team Indirect'!$A:$A,0)),"")</f>
        <v/>
      </c>
      <c r="Z22" s="3" t="str">
        <f ca="1">IF($C22&lt;&gt;"",INDEX('Team Indirect'!$E:$E,MATCH($C22,'Team Indirect'!$A:$A,0)),"")</f>
        <v/>
      </c>
      <c r="AA22" s="3" t="str">
        <f ca="1">IF($C22&lt;&gt;"",INDEX('Team Indirect'!$F:$F,MATCH($C22,'Team Indirect'!$A:$A,0)),"")</f>
        <v/>
      </c>
      <c r="AB22" s="3" t="str">
        <f t="shared" ca="1" si="0"/>
        <v/>
      </c>
      <c r="AC22" s="3">
        <f ca="1">IF(OR(AllocationUnits="Stories", AllocationUnits="Points"),'Work Indirect'!F22,F22/MAX('Work Indirect'!AB22,1))</f>
        <v>1</v>
      </c>
    </row>
    <row r="23" spans="1:29"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7" t="str">
        <f ca="1">IF(OFFSET('4. Work'!$A$1,ROW(D23)-1,COLUMN(D23)-1)="","",OFFSET('4. Work'!$A$1,ROW(D23)-1,COLUMN(D23)-1))</f>
        <v/>
      </c>
      <c r="E23" s="147"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I23" s="3" t="str">
        <f ca="1">IF(OFFSET('4. Work'!$A$1,ROW(I23)-1,COLUMN(I23)-1)="","",OFFSET('4. Work'!$A$1,ROW(I23)-1,COLUMN(I23)-1))</f>
        <v/>
      </c>
      <c r="T23" s="3" t="str">
        <f ca="1">IF(A23&lt;&gt;"",MAX('Initiative Indirect'!$T:$T)+(ROW(A23)-1),"")</f>
        <v/>
      </c>
      <c r="U23" s="3" t="str">
        <f ca="1">IF(B23&lt;&gt;"",INDEX('Initiative Indirect'!$T:$T,MATCH(B23,'Initiative Indirect'!$A:$A,0)),"")</f>
        <v/>
      </c>
      <c r="V23" s="3" t="str">
        <f ca="1">IF(C23&lt;&gt;"",INDEX('Team Indirect'!$T:$T,MATCH(C23,'Team Indirect'!$A:$A,0)),"")</f>
        <v/>
      </c>
      <c r="W23" s="3"/>
      <c r="X23" s="3"/>
      <c r="Y23" s="3" t="str">
        <f ca="1">IF($C23&lt;&gt;"",INDEX('Team Indirect'!$D:$D,MATCH($C23,'Team Indirect'!$A:$A,0)),"")</f>
        <v/>
      </c>
      <c r="Z23" s="3" t="str">
        <f ca="1">IF($C23&lt;&gt;"",INDEX('Team Indirect'!$E:$E,MATCH($C23,'Team Indirect'!$A:$A,0)),"")</f>
        <v/>
      </c>
      <c r="AA23" s="3" t="str">
        <f ca="1">IF($C23&lt;&gt;"",INDEX('Team Indirect'!$F:$F,MATCH($C23,'Team Indirect'!$A:$A,0)),"")</f>
        <v/>
      </c>
      <c r="AB23" s="3" t="str">
        <f t="shared" ca="1" si="0"/>
        <v/>
      </c>
      <c r="AC23" s="3">
        <f ca="1">IF(OR(AllocationUnits="Stories", AllocationUnits="Points"),'Work Indirect'!F23,F23/MAX('Work Indirect'!AB23,1))</f>
        <v>1</v>
      </c>
    </row>
    <row r="24" spans="1:29"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7" t="str">
        <f ca="1">IF(OFFSET('4. Work'!$A$1,ROW(D24)-1,COLUMN(D24)-1)="","",OFFSET('4. Work'!$A$1,ROW(D24)-1,COLUMN(D24)-1))</f>
        <v/>
      </c>
      <c r="E24" s="147"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I24" s="3" t="str">
        <f ca="1">IF(OFFSET('4. Work'!$A$1,ROW(I24)-1,COLUMN(I24)-1)="","",OFFSET('4. Work'!$A$1,ROW(I24)-1,COLUMN(I24)-1))</f>
        <v/>
      </c>
      <c r="T24" s="3" t="str">
        <f ca="1">IF(A24&lt;&gt;"",MAX('Initiative Indirect'!$T:$T)+(ROW(A24)-1),"")</f>
        <v/>
      </c>
      <c r="U24" s="3" t="str">
        <f ca="1">IF(B24&lt;&gt;"",INDEX('Initiative Indirect'!$T:$T,MATCH(B24,'Initiative Indirect'!$A:$A,0)),"")</f>
        <v/>
      </c>
      <c r="V24" s="3" t="str">
        <f ca="1">IF(C24&lt;&gt;"",INDEX('Team Indirect'!$T:$T,MATCH(C24,'Team Indirect'!$A:$A,0)),"")</f>
        <v/>
      </c>
      <c r="W24" s="3"/>
      <c r="X24" s="3"/>
      <c r="Y24" s="3" t="str">
        <f ca="1">IF($C24&lt;&gt;"",INDEX('Team Indirect'!$D:$D,MATCH($C24,'Team Indirect'!$A:$A,0)),"")</f>
        <v/>
      </c>
      <c r="Z24" s="3" t="str">
        <f ca="1">IF($C24&lt;&gt;"",INDEX('Team Indirect'!$E:$E,MATCH($C24,'Team Indirect'!$A:$A,0)),"")</f>
        <v/>
      </c>
      <c r="AA24" s="3" t="str">
        <f ca="1">IF($C24&lt;&gt;"",INDEX('Team Indirect'!$F:$F,MATCH($C24,'Team Indirect'!$A:$A,0)),"")</f>
        <v/>
      </c>
      <c r="AB24" s="3" t="str">
        <f t="shared" ca="1" si="0"/>
        <v/>
      </c>
      <c r="AC24" s="3">
        <f ca="1">IF(OR(AllocationUnits="Stories", AllocationUnits="Points"),'Work Indirect'!F24,F24/MAX('Work Indirect'!AB24,1))</f>
        <v>1</v>
      </c>
    </row>
    <row r="25" spans="1:29"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7" t="str">
        <f ca="1">IF(OFFSET('4. Work'!$A$1,ROW(D25)-1,COLUMN(D25)-1)="","",OFFSET('4. Work'!$A$1,ROW(D25)-1,COLUMN(D25)-1))</f>
        <v/>
      </c>
      <c r="E25" s="147"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I25" s="3" t="str">
        <f ca="1">IF(OFFSET('4. Work'!$A$1,ROW(I25)-1,COLUMN(I25)-1)="","",OFFSET('4. Work'!$A$1,ROW(I25)-1,COLUMN(I25)-1))</f>
        <v/>
      </c>
      <c r="T25" s="3" t="str">
        <f ca="1">IF(A25&lt;&gt;"",MAX('Initiative Indirect'!$T:$T)+(ROW(A25)-1),"")</f>
        <v/>
      </c>
      <c r="U25" s="3" t="str">
        <f ca="1">IF(B25&lt;&gt;"",INDEX('Initiative Indirect'!$T:$T,MATCH(B25,'Initiative Indirect'!$A:$A,0)),"")</f>
        <v/>
      </c>
      <c r="V25" s="3" t="str">
        <f ca="1">IF(C25&lt;&gt;"",INDEX('Team Indirect'!$T:$T,MATCH(C25,'Team Indirect'!$A:$A,0)),"")</f>
        <v/>
      </c>
      <c r="W25" s="3"/>
      <c r="X25" s="3"/>
      <c r="Y25" s="3" t="str">
        <f ca="1">IF($C25&lt;&gt;"",INDEX('Team Indirect'!$D:$D,MATCH($C25,'Team Indirect'!$A:$A,0)),"")</f>
        <v/>
      </c>
      <c r="Z25" s="3" t="str">
        <f ca="1">IF($C25&lt;&gt;"",INDEX('Team Indirect'!$E:$E,MATCH($C25,'Team Indirect'!$A:$A,0)),"")</f>
        <v/>
      </c>
      <c r="AA25" s="3" t="str">
        <f ca="1">IF($C25&lt;&gt;"",INDEX('Team Indirect'!$F:$F,MATCH($C25,'Team Indirect'!$A:$A,0)),"")</f>
        <v/>
      </c>
      <c r="AB25" s="3" t="str">
        <f t="shared" ca="1" si="0"/>
        <v/>
      </c>
      <c r="AC25" s="3">
        <f ca="1">IF(OR(AllocationUnits="Stories", AllocationUnits="Points"),'Work Indirect'!F25,F25/MAX('Work Indirect'!AB25,1))</f>
        <v>1</v>
      </c>
    </row>
    <row r="26" spans="1:29"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7" t="str">
        <f ca="1">IF(OFFSET('4. Work'!$A$1,ROW(D26)-1,COLUMN(D26)-1)="","",OFFSET('4. Work'!$A$1,ROW(D26)-1,COLUMN(D26)-1))</f>
        <v/>
      </c>
      <c r="E26" s="147"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I26" s="3" t="str">
        <f ca="1">IF(OFFSET('4. Work'!$A$1,ROW(I26)-1,COLUMN(I26)-1)="","",OFFSET('4. Work'!$A$1,ROW(I26)-1,COLUMN(I26)-1))</f>
        <v/>
      </c>
      <c r="T26" s="3" t="str">
        <f ca="1">IF(A26&lt;&gt;"",MAX('Initiative Indirect'!$T:$T)+(ROW(A26)-1),"")</f>
        <v/>
      </c>
      <c r="U26" s="3" t="str">
        <f ca="1">IF(B26&lt;&gt;"",INDEX('Initiative Indirect'!$T:$T,MATCH(B26,'Initiative Indirect'!$A:$A,0)),"")</f>
        <v/>
      </c>
      <c r="V26" s="3" t="str">
        <f ca="1">IF(C26&lt;&gt;"",INDEX('Team Indirect'!$T:$T,MATCH(C26,'Team Indirect'!$A:$A,0)),"")</f>
        <v/>
      </c>
      <c r="W26" s="3"/>
      <c r="X26" s="3"/>
      <c r="Y26" s="3" t="str">
        <f ca="1">IF($C26&lt;&gt;"",INDEX('Team Indirect'!$D:$D,MATCH($C26,'Team Indirect'!$A:$A,0)),"")</f>
        <v/>
      </c>
      <c r="Z26" s="3" t="str">
        <f ca="1">IF($C26&lt;&gt;"",INDEX('Team Indirect'!$E:$E,MATCH($C26,'Team Indirect'!$A:$A,0)),"")</f>
        <v/>
      </c>
      <c r="AA26" s="3" t="str">
        <f ca="1">IF($C26&lt;&gt;"",INDEX('Team Indirect'!$F:$F,MATCH($C26,'Team Indirect'!$A:$A,0)),"")</f>
        <v/>
      </c>
      <c r="AB26" s="3" t="str">
        <f t="shared" ca="1" si="0"/>
        <v/>
      </c>
      <c r="AC26" s="3">
        <f ca="1">IF(OR(AllocationUnits="Stories", AllocationUnits="Points"),'Work Indirect'!F26,F26/MAX('Work Indirect'!AB26,1))</f>
        <v>1</v>
      </c>
    </row>
    <row r="27" spans="1:29"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7" t="str">
        <f ca="1">IF(OFFSET('4. Work'!$A$1,ROW(D27)-1,COLUMN(D27)-1)="","",OFFSET('4. Work'!$A$1,ROW(D27)-1,COLUMN(D27)-1))</f>
        <v/>
      </c>
      <c r="E27" s="147"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I27" s="3" t="str">
        <f ca="1">IF(OFFSET('4. Work'!$A$1,ROW(I27)-1,COLUMN(I27)-1)="","",OFFSET('4. Work'!$A$1,ROW(I27)-1,COLUMN(I27)-1))</f>
        <v/>
      </c>
      <c r="T27" s="3" t="str">
        <f ca="1">IF(A27&lt;&gt;"",MAX('Initiative Indirect'!$T:$T)+(ROW(A27)-1),"")</f>
        <v/>
      </c>
      <c r="U27" s="3" t="str">
        <f ca="1">IF(B27&lt;&gt;"",INDEX('Initiative Indirect'!$T:$T,MATCH(B27,'Initiative Indirect'!$A:$A,0)),"")</f>
        <v/>
      </c>
      <c r="V27" s="3" t="str">
        <f ca="1">IF(C27&lt;&gt;"",INDEX('Team Indirect'!$T:$T,MATCH(C27,'Team Indirect'!$A:$A,0)),"")</f>
        <v/>
      </c>
      <c r="W27" s="3"/>
      <c r="X27" s="3"/>
      <c r="Y27" s="3" t="str">
        <f ca="1">IF($C27&lt;&gt;"",INDEX('Team Indirect'!$D:$D,MATCH($C27,'Team Indirect'!$A:$A,0)),"")</f>
        <v/>
      </c>
      <c r="Z27" s="3" t="str">
        <f ca="1">IF($C27&lt;&gt;"",INDEX('Team Indirect'!$E:$E,MATCH($C27,'Team Indirect'!$A:$A,0)),"")</f>
        <v/>
      </c>
      <c r="AA27" s="3" t="str">
        <f ca="1">IF($C27&lt;&gt;"",INDEX('Team Indirect'!$F:$F,MATCH($C27,'Team Indirect'!$A:$A,0)),"")</f>
        <v/>
      </c>
      <c r="AB27" s="3" t="str">
        <f t="shared" ca="1" si="0"/>
        <v/>
      </c>
      <c r="AC27" s="3">
        <f ca="1">IF(OR(AllocationUnits="Stories", AllocationUnits="Points"),'Work Indirect'!F27,F27/MAX('Work Indirect'!AB27,1))</f>
        <v>1</v>
      </c>
    </row>
    <row r="28" spans="1:29"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7" t="str">
        <f ca="1">IF(OFFSET('4. Work'!$A$1,ROW(D28)-1,COLUMN(D28)-1)="","",OFFSET('4. Work'!$A$1,ROW(D28)-1,COLUMN(D28)-1))</f>
        <v/>
      </c>
      <c r="E28" s="147"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I28" s="3" t="str">
        <f ca="1">IF(OFFSET('4. Work'!$A$1,ROW(I28)-1,COLUMN(I28)-1)="","",OFFSET('4. Work'!$A$1,ROW(I28)-1,COLUMN(I28)-1))</f>
        <v/>
      </c>
      <c r="T28" s="3" t="str">
        <f ca="1">IF(A28&lt;&gt;"",MAX('Initiative Indirect'!$T:$T)+(ROW(A28)-1),"")</f>
        <v/>
      </c>
      <c r="U28" s="3" t="str">
        <f ca="1">IF(B28&lt;&gt;"",INDEX('Initiative Indirect'!$T:$T,MATCH(B28,'Initiative Indirect'!$A:$A,0)),"")</f>
        <v/>
      </c>
      <c r="V28" s="3" t="str">
        <f ca="1">IF(C28&lt;&gt;"",INDEX('Team Indirect'!$T:$T,MATCH(C28,'Team Indirect'!$A:$A,0)),"")</f>
        <v/>
      </c>
      <c r="W28" s="3"/>
      <c r="X28" s="3"/>
      <c r="Y28" s="3" t="str">
        <f ca="1">IF($C28&lt;&gt;"",INDEX('Team Indirect'!$D:$D,MATCH($C28,'Team Indirect'!$A:$A,0)),"")</f>
        <v/>
      </c>
      <c r="Z28" s="3" t="str">
        <f ca="1">IF($C28&lt;&gt;"",INDEX('Team Indirect'!$E:$E,MATCH($C28,'Team Indirect'!$A:$A,0)),"")</f>
        <v/>
      </c>
      <c r="AA28" s="3" t="str">
        <f ca="1">IF($C28&lt;&gt;"",INDEX('Team Indirect'!$F:$F,MATCH($C28,'Team Indirect'!$A:$A,0)),"")</f>
        <v/>
      </c>
      <c r="AB28" s="3" t="str">
        <f t="shared" ca="1" si="0"/>
        <v/>
      </c>
      <c r="AC28" s="3">
        <f ca="1">IF(OR(AllocationUnits="Stories", AllocationUnits="Points"),'Work Indirect'!F28,F28/MAX('Work Indirect'!AB28,1))</f>
        <v>1</v>
      </c>
    </row>
    <row r="29" spans="1:29"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7" t="str">
        <f ca="1">IF(OFFSET('4. Work'!$A$1,ROW(D29)-1,COLUMN(D29)-1)="","",OFFSET('4. Work'!$A$1,ROW(D29)-1,COLUMN(D29)-1))</f>
        <v/>
      </c>
      <c r="E29" s="147"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I29" s="3" t="str">
        <f ca="1">IF(OFFSET('4. Work'!$A$1,ROW(I29)-1,COLUMN(I29)-1)="","",OFFSET('4. Work'!$A$1,ROW(I29)-1,COLUMN(I29)-1))</f>
        <v/>
      </c>
      <c r="T29" s="3" t="str">
        <f ca="1">IF(A29&lt;&gt;"",MAX('Initiative Indirect'!$T:$T)+(ROW(A29)-1),"")</f>
        <v/>
      </c>
      <c r="U29" s="3" t="str">
        <f ca="1">IF(B29&lt;&gt;"",INDEX('Initiative Indirect'!$T:$T,MATCH(B29,'Initiative Indirect'!$A:$A,0)),"")</f>
        <v/>
      </c>
      <c r="V29" s="3" t="str">
        <f ca="1">IF(C29&lt;&gt;"",INDEX('Team Indirect'!$T:$T,MATCH(C29,'Team Indirect'!$A:$A,0)),"")</f>
        <v/>
      </c>
      <c r="W29" s="3"/>
      <c r="X29" s="3"/>
      <c r="Y29" s="3" t="str">
        <f ca="1">IF($C29&lt;&gt;"",INDEX('Team Indirect'!$D:$D,MATCH($C29,'Team Indirect'!$A:$A,0)),"")</f>
        <v/>
      </c>
      <c r="Z29" s="3" t="str">
        <f ca="1">IF($C29&lt;&gt;"",INDEX('Team Indirect'!$E:$E,MATCH($C29,'Team Indirect'!$A:$A,0)),"")</f>
        <v/>
      </c>
      <c r="AA29" s="3" t="str">
        <f ca="1">IF($C29&lt;&gt;"",INDEX('Team Indirect'!$F:$F,MATCH($C29,'Team Indirect'!$A:$A,0)),"")</f>
        <v/>
      </c>
      <c r="AB29" s="3" t="str">
        <f t="shared" ca="1" si="0"/>
        <v/>
      </c>
      <c r="AC29" s="3">
        <f ca="1">IF(OR(AllocationUnits="Stories", AllocationUnits="Points"),'Work Indirect'!F29,F29/MAX('Work Indirect'!AB29,1))</f>
        <v>1</v>
      </c>
    </row>
    <row r="30" spans="1:29"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7" t="str">
        <f ca="1">IF(OFFSET('4. Work'!$A$1,ROW(D30)-1,COLUMN(D30)-1)="","",OFFSET('4. Work'!$A$1,ROW(D30)-1,COLUMN(D30)-1))</f>
        <v/>
      </c>
      <c r="E30" s="147"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I30" s="3" t="str">
        <f ca="1">IF(OFFSET('4. Work'!$A$1,ROW(I30)-1,COLUMN(I30)-1)="","",OFFSET('4. Work'!$A$1,ROW(I30)-1,COLUMN(I30)-1))</f>
        <v/>
      </c>
      <c r="T30" s="3" t="str">
        <f ca="1">IF(A30&lt;&gt;"",MAX('Initiative Indirect'!$T:$T)+(ROW(A30)-1),"")</f>
        <v/>
      </c>
      <c r="U30" s="3" t="str">
        <f ca="1">IF(B30&lt;&gt;"",INDEX('Initiative Indirect'!$T:$T,MATCH(B30,'Initiative Indirect'!$A:$A,0)),"")</f>
        <v/>
      </c>
      <c r="V30" s="3" t="str">
        <f ca="1">IF(C30&lt;&gt;"",INDEX('Team Indirect'!$T:$T,MATCH(C30,'Team Indirect'!$A:$A,0)),"")</f>
        <v/>
      </c>
      <c r="W30" s="3"/>
      <c r="X30" s="3"/>
      <c r="Y30" s="3" t="str">
        <f ca="1">IF($C30&lt;&gt;"",INDEX('Team Indirect'!$D:$D,MATCH($C30,'Team Indirect'!$A:$A,0)),"")</f>
        <v/>
      </c>
      <c r="Z30" s="3" t="str">
        <f ca="1">IF($C30&lt;&gt;"",INDEX('Team Indirect'!$E:$E,MATCH($C30,'Team Indirect'!$A:$A,0)),"")</f>
        <v/>
      </c>
      <c r="AA30" s="3" t="str">
        <f ca="1">IF($C30&lt;&gt;"",INDEX('Team Indirect'!$F:$F,MATCH($C30,'Team Indirect'!$A:$A,0)),"")</f>
        <v/>
      </c>
      <c r="AB30" s="3" t="str">
        <f t="shared" ca="1" si="0"/>
        <v/>
      </c>
      <c r="AC30" s="3">
        <f ca="1">IF(OR(AllocationUnits="Stories", AllocationUnits="Points"),'Work Indirect'!F30,F30/MAX('Work Indirect'!AB30,1))</f>
        <v>1</v>
      </c>
    </row>
    <row r="31" spans="1:29"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7" t="str">
        <f ca="1">IF(OFFSET('4. Work'!$A$1,ROW(D31)-1,COLUMN(D31)-1)="","",OFFSET('4. Work'!$A$1,ROW(D31)-1,COLUMN(D31)-1))</f>
        <v/>
      </c>
      <c r="E31" s="147"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I31" s="3" t="str">
        <f ca="1">IF(OFFSET('4. Work'!$A$1,ROW(I31)-1,COLUMN(I31)-1)="","",OFFSET('4. Work'!$A$1,ROW(I31)-1,COLUMN(I31)-1))</f>
        <v/>
      </c>
      <c r="T31" s="3" t="str">
        <f ca="1">IF(A31&lt;&gt;"",MAX('Initiative Indirect'!$T:$T)+(ROW(A31)-1),"")</f>
        <v/>
      </c>
      <c r="U31" s="3" t="str">
        <f ca="1">IF(B31&lt;&gt;"",INDEX('Initiative Indirect'!$T:$T,MATCH(B31,'Initiative Indirect'!$A:$A,0)),"")</f>
        <v/>
      </c>
      <c r="V31" s="3" t="str">
        <f ca="1">IF(C31&lt;&gt;"",INDEX('Team Indirect'!$T:$T,MATCH(C31,'Team Indirect'!$A:$A,0)),"")</f>
        <v/>
      </c>
      <c r="W31" s="3"/>
      <c r="X31" s="3"/>
      <c r="Y31" s="3" t="str">
        <f ca="1">IF($C31&lt;&gt;"",INDEX('Team Indirect'!$D:$D,MATCH($C31,'Team Indirect'!$A:$A,0)),"")</f>
        <v/>
      </c>
      <c r="Z31" s="3" t="str">
        <f ca="1">IF($C31&lt;&gt;"",INDEX('Team Indirect'!$E:$E,MATCH($C31,'Team Indirect'!$A:$A,0)),"")</f>
        <v/>
      </c>
      <c r="AA31" s="3" t="str">
        <f ca="1">IF($C31&lt;&gt;"",INDEX('Team Indirect'!$F:$F,MATCH($C31,'Team Indirect'!$A:$A,0)),"")</f>
        <v/>
      </c>
      <c r="AB31" s="3" t="str">
        <f t="shared" ca="1" si="0"/>
        <v/>
      </c>
      <c r="AC31" s="3">
        <f ca="1">IF(OR(AllocationUnits="Stories", AllocationUnits="Points"),'Work Indirect'!F31,F31/MAX('Work Indirect'!AB31,1))</f>
        <v>1</v>
      </c>
    </row>
    <row r="32" spans="1:29"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7" t="str">
        <f ca="1">IF(OFFSET('4. Work'!$A$1,ROW(D32)-1,COLUMN(D32)-1)="","",OFFSET('4. Work'!$A$1,ROW(D32)-1,COLUMN(D32)-1))</f>
        <v/>
      </c>
      <c r="E32" s="147"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I32" s="3" t="str">
        <f ca="1">IF(OFFSET('4. Work'!$A$1,ROW(I32)-1,COLUMN(I32)-1)="","",OFFSET('4. Work'!$A$1,ROW(I32)-1,COLUMN(I32)-1))</f>
        <v/>
      </c>
      <c r="T32" s="3" t="str">
        <f ca="1">IF(A32&lt;&gt;"",MAX('Initiative Indirect'!$T:$T)+(ROW(A32)-1),"")</f>
        <v/>
      </c>
      <c r="U32" s="3" t="str">
        <f ca="1">IF(B32&lt;&gt;"",INDEX('Initiative Indirect'!$T:$T,MATCH(B32,'Initiative Indirect'!$A:$A,0)),"")</f>
        <v/>
      </c>
      <c r="V32" s="3" t="str">
        <f ca="1">IF(C32&lt;&gt;"",INDEX('Team Indirect'!$T:$T,MATCH(C32,'Team Indirect'!$A:$A,0)),"")</f>
        <v/>
      </c>
      <c r="W32" s="3"/>
      <c r="X32" s="3"/>
      <c r="Y32" s="3" t="str">
        <f ca="1">IF($C32&lt;&gt;"",INDEX('Team Indirect'!$D:$D,MATCH($C32,'Team Indirect'!$A:$A,0)),"")</f>
        <v/>
      </c>
      <c r="Z32" s="3" t="str">
        <f ca="1">IF($C32&lt;&gt;"",INDEX('Team Indirect'!$E:$E,MATCH($C32,'Team Indirect'!$A:$A,0)),"")</f>
        <v/>
      </c>
      <c r="AA32" s="3" t="str">
        <f ca="1">IF($C32&lt;&gt;"",INDEX('Team Indirect'!$F:$F,MATCH($C32,'Team Indirect'!$A:$A,0)),"")</f>
        <v/>
      </c>
      <c r="AB32" s="3" t="str">
        <f t="shared" ca="1" si="0"/>
        <v/>
      </c>
      <c r="AC32" s="3">
        <f ca="1">IF(OR(AllocationUnits="Stories", AllocationUnits="Points"),'Work Indirect'!F32,F32/MAX('Work Indirect'!AB32,1))</f>
        <v>1</v>
      </c>
    </row>
    <row r="33" spans="1:29"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7" t="str">
        <f ca="1">IF(OFFSET('4. Work'!$A$1,ROW(D33)-1,COLUMN(D33)-1)="","",OFFSET('4. Work'!$A$1,ROW(D33)-1,COLUMN(D33)-1))</f>
        <v/>
      </c>
      <c r="E33" s="147"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I33" s="3" t="str">
        <f ca="1">IF(OFFSET('4. Work'!$A$1,ROW(I33)-1,COLUMN(I33)-1)="","",OFFSET('4. Work'!$A$1,ROW(I33)-1,COLUMN(I33)-1))</f>
        <v/>
      </c>
      <c r="T33" s="3" t="str">
        <f ca="1">IF(A33&lt;&gt;"",MAX('Initiative Indirect'!$T:$T)+(ROW(A33)-1),"")</f>
        <v/>
      </c>
      <c r="U33" s="3" t="str">
        <f ca="1">IF(B33&lt;&gt;"",INDEX('Initiative Indirect'!$T:$T,MATCH(B33,'Initiative Indirect'!$A:$A,0)),"")</f>
        <v/>
      </c>
      <c r="V33" s="3" t="str">
        <f ca="1">IF(C33&lt;&gt;"",INDEX('Team Indirect'!$T:$T,MATCH(C33,'Team Indirect'!$A:$A,0)),"")</f>
        <v/>
      </c>
      <c r="W33" s="3"/>
      <c r="X33" s="3"/>
      <c r="Y33" s="3" t="str">
        <f ca="1">IF($C33&lt;&gt;"",INDEX('Team Indirect'!$D:$D,MATCH($C33,'Team Indirect'!$A:$A,0)),"")</f>
        <v/>
      </c>
      <c r="Z33" s="3" t="str">
        <f ca="1">IF($C33&lt;&gt;"",INDEX('Team Indirect'!$E:$E,MATCH($C33,'Team Indirect'!$A:$A,0)),"")</f>
        <v/>
      </c>
      <c r="AA33" s="3" t="str">
        <f ca="1">IF($C33&lt;&gt;"",INDEX('Team Indirect'!$F:$F,MATCH($C33,'Team Indirect'!$A:$A,0)),"")</f>
        <v/>
      </c>
      <c r="AB33" s="3" t="str">
        <f t="shared" ca="1" si="0"/>
        <v/>
      </c>
      <c r="AC33" s="3">
        <f ca="1">IF(OR(AllocationUnits="Stories", AllocationUnits="Points"),'Work Indirect'!F33,F33/MAX('Work Indirect'!AB33,1))</f>
        <v>1</v>
      </c>
    </row>
    <row r="34" spans="1:29"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7" t="str">
        <f ca="1">IF(OFFSET('4. Work'!$A$1,ROW(D34)-1,COLUMN(D34)-1)="","",OFFSET('4. Work'!$A$1,ROW(D34)-1,COLUMN(D34)-1))</f>
        <v/>
      </c>
      <c r="E34" s="147"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I34" s="3" t="str">
        <f ca="1">IF(OFFSET('4. Work'!$A$1,ROW(I34)-1,COLUMN(I34)-1)="","",OFFSET('4. Work'!$A$1,ROW(I34)-1,COLUMN(I34)-1))</f>
        <v/>
      </c>
      <c r="T34" s="3" t="str">
        <f ca="1">IF(A34&lt;&gt;"",MAX('Initiative Indirect'!$T:$T)+(ROW(A34)-1),"")</f>
        <v/>
      </c>
      <c r="U34" s="3" t="str">
        <f ca="1">IF(B34&lt;&gt;"",INDEX('Initiative Indirect'!$T:$T,MATCH(B34,'Initiative Indirect'!$A:$A,0)),"")</f>
        <v/>
      </c>
      <c r="V34" s="3" t="str">
        <f ca="1">IF(C34&lt;&gt;"",INDEX('Team Indirect'!$T:$T,MATCH(C34,'Team Indirect'!$A:$A,0)),"")</f>
        <v/>
      </c>
      <c r="W34" s="3"/>
      <c r="X34" s="3"/>
      <c r="Y34" s="3" t="str">
        <f ca="1">IF($C34&lt;&gt;"",INDEX('Team Indirect'!$D:$D,MATCH($C34,'Team Indirect'!$A:$A,0)),"")</f>
        <v/>
      </c>
      <c r="Z34" s="3" t="str">
        <f ca="1">IF($C34&lt;&gt;"",INDEX('Team Indirect'!$E:$E,MATCH($C34,'Team Indirect'!$A:$A,0)),"")</f>
        <v/>
      </c>
      <c r="AA34" s="3" t="str">
        <f ca="1">IF($C34&lt;&gt;"",INDEX('Team Indirect'!$F:$F,MATCH($C34,'Team Indirect'!$A:$A,0)),"")</f>
        <v/>
      </c>
      <c r="AB34" s="3" t="str">
        <f t="shared" ca="1" si="0"/>
        <v/>
      </c>
      <c r="AC34" s="3">
        <f ca="1">IF(OR(AllocationUnits="Stories", AllocationUnits="Points"),'Work Indirect'!F34,F34/MAX('Work Indirect'!AB34,1))</f>
        <v>1</v>
      </c>
    </row>
    <row r="35" spans="1:29"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7" t="str">
        <f ca="1">IF(OFFSET('4. Work'!$A$1,ROW(D35)-1,COLUMN(D35)-1)="","",OFFSET('4. Work'!$A$1,ROW(D35)-1,COLUMN(D35)-1))</f>
        <v/>
      </c>
      <c r="E35" s="147"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I35" s="3" t="str">
        <f ca="1">IF(OFFSET('4. Work'!$A$1,ROW(I35)-1,COLUMN(I35)-1)="","",OFFSET('4. Work'!$A$1,ROW(I35)-1,COLUMN(I35)-1))</f>
        <v/>
      </c>
      <c r="T35" s="3" t="str">
        <f ca="1">IF(A35&lt;&gt;"",MAX('Initiative Indirect'!$T:$T)+(ROW(A35)-1),"")</f>
        <v/>
      </c>
      <c r="U35" s="3" t="str">
        <f ca="1">IF(B35&lt;&gt;"",INDEX('Initiative Indirect'!$T:$T,MATCH(B35,'Initiative Indirect'!$A:$A,0)),"")</f>
        <v/>
      </c>
      <c r="V35" s="3" t="str">
        <f ca="1">IF(C35&lt;&gt;"",INDEX('Team Indirect'!$T:$T,MATCH(C35,'Team Indirect'!$A:$A,0)),"")</f>
        <v/>
      </c>
      <c r="W35" s="3"/>
      <c r="X35" s="3"/>
      <c r="Y35" s="3" t="str">
        <f ca="1">IF($C35&lt;&gt;"",INDEX('Team Indirect'!$D:$D,MATCH($C35,'Team Indirect'!$A:$A,0)),"")</f>
        <v/>
      </c>
      <c r="Z35" s="3" t="str">
        <f ca="1">IF($C35&lt;&gt;"",INDEX('Team Indirect'!$E:$E,MATCH($C35,'Team Indirect'!$A:$A,0)),"")</f>
        <v/>
      </c>
      <c r="AA35" s="3" t="str">
        <f ca="1">IF($C35&lt;&gt;"",INDEX('Team Indirect'!$F:$F,MATCH($C35,'Team Indirect'!$A:$A,0)),"")</f>
        <v/>
      </c>
      <c r="AB35" s="3" t="str">
        <f t="shared" ca="1" si="0"/>
        <v/>
      </c>
      <c r="AC35" s="3">
        <f ca="1">IF(OR(AllocationUnits="Stories", AllocationUnits="Points"),'Work Indirect'!F35,F35/MAX('Work Indirect'!AB35,1))</f>
        <v>1</v>
      </c>
    </row>
    <row r="36" spans="1:29"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7" t="str">
        <f ca="1">IF(OFFSET('4. Work'!$A$1,ROW(D36)-1,COLUMN(D36)-1)="","",OFFSET('4. Work'!$A$1,ROW(D36)-1,COLUMN(D36)-1))</f>
        <v/>
      </c>
      <c r="E36" s="147"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I36" s="3" t="str">
        <f ca="1">IF(OFFSET('4. Work'!$A$1,ROW(I36)-1,COLUMN(I36)-1)="","",OFFSET('4. Work'!$A$1,ROW(I36)-1,COLUMN(I36)-1))</f>
        <v/>
      </c>
      <c r="T36" s="3" t="str">
        <f ca="1">IF(A36&lt;&gt;"",MAX('Initiative Indirect'!$T:$T)+(ROW(A36)-1),"")</f>
        <v/>
      </c>
      <c r="U36" s="3" t="str">
        <f ca="1">IF(B36&lt;&gt;"",INDEX('Initiative Indirect'!$T:$T,MATCH(B36,'Initiative Indirect'!$A:$A,0)),"")</f>
        <v/>
      </c>
      <c r="V36" s="3" t="str">
        <f ca="1">IF(C36&lt;&gt;"",INDEX('Team Indirect'!$T:$T,MATCH(C36,'Team Indirect'!$A:$A,0)),"")</f>
        <v/>
      </c>
      <c r="W36" s="3"/>
      <c r="X36" s="3"/>
      <c r="Y36" s="3" t="str">
        <f ca="1">IF($C36&lt;&gt;"",INDEX('Team Indirect'!$D:$D,MATCH($C36,'Team Indirect'!$A:$A,0)),"")</f>
        <v/>
      </c>
      <c r="Z36" s="3" t="str">
        <f ca="1">IF($C36&lt;&gt;"",INDEX('Team Indirect'!$E:$E,MATCH($C36,'Team Indirect'!$A:$A,0)),"")</f>
        <v/>
      </c>
      <c r="AA36" s="3" t="str">
        <f ca="1">IF($C36&lt;&gt;"",INDEX('Team Indirect'!$F:$F,MATCH($C36,'Team Indirect'!$A:$A,0)),"")</f>
        <v/>
      </c>
      <c r="AB36" s="3" t="str">
        <f t="shared" ca="1" si="0"/>
        <v/>
      </c>
      <c r="AC36" s="3">
        <f ca="1">IF(OR(AllocationUnits="Stories", AllocationUnits="Points"),'Work Indirect'!F36,F36/MAX('Work Indirect'!AB36,1))</f>
        <v>1</v>
      </c>
    </row>
    <row r="37" spans="1:29"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7" t="str">
        <f ca="1">IF(OFFSET('4. Work'!$A$1,ROW(D37)-1,COLUMN(D37)-1)="","",OFFSET('4. Work'!$A$1,ROW(D37)-1,COLUMN(D37)-1))</f>
        <v/>
      </c>
      <c r="E37" s="147"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I37" s="3" t="str">
        <f ca="1">IF(OFFSET('4. Work'!$A$1,ROW(I37)-1,COLUMN(I37)-1)="","",OFFSET('4. Work'!$A$1,ROW(I37)-1,COLUMN(I37)-1))</f>
        <v/>
      </c>
      <c r="T37" s="3" t="str">
        <f ca="1">IF(A37&lt;&gt;"",MAX('Initiative Indirect'!$T:$T)+(ROW(A37)-1),"")</f>
        <v/>
      </c>
      <c r="U37" s="3" t="str">
        <f ca="1">IF(B37&lt;&gt;"",INDEX('Initiative Indirect'!$T:$T,MATCH(B37,'Initiative Indirect'!$A:$A,0)),"")</f>
        <v/>
      </c>
      <c r="V37" s="3" t="str">
        <f ca="1">IF(C37&lt;&gt;"",INDEX('Team Indirect'!$T:$T,MATCH(C37,'Team Indirect'!$A:$A,0)),"")</f>
        <v/>
      </c>
      <c r="W37" s="3"/>
      <c r="X37" s="3"/>
      <c r="Y37" s="3" t="str">
        <f ca="1">IF($C37&lt;&gt;"",INDEX('Team Indirect'!$D:$D,MATCH($C37,'Team Indirect'!$A:$A,0)),"")</f>
        <v/>
      </c>
      <c r="Z37" s="3" t="str">
        <f ca="1">IF($C37&lt;&gt;"",INDEX('Team Indirect'!$E:$E,MATCH($C37,'Team Indirect'!$A:$A,0)),"")</f>
        <v/>
      </c>
      <c r="AA37" s="3" t="str">
        <f ca="1">IF($C37&lt;&gt;"",INDEX('Team Indirect'!$F:$F,MATCH($C37,'Team Indirect'!$A:$A,0)),"")</f>
        <v/>
      </c>
      <c r="AB37" s="3" t="str">
        <f t="shared" ca="1" si="0"/>
        <v/>
      </c>
      <c r="AC37" s="3">
        <f ca="1">IF(OR(AllocationUnits="Stories", AllocationUnits="Points"),'Work Indirect'!F37,F37/MAX('Work Indirect'!AB37,1))</f>
        <v>1</v>
      </c>
    </row>
    <row r="38" spans="1:29"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7" t="str">
        <f ca="1">IF(OFFSET('4. Work'!$A$1,ROW(D38)-1,COLUMN(D38)-1)="","",OFFSET('4. Work'!$A$1,ROW(D38)-1,COLUMN(D38)-1))</f>
        <v/>
      </c>
      <c r="E38" s="147"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I38" s="3" t="str">
        <f ca="1">IF(OFFSET('4. Work'!$A$1,ROW(I38)-1,COLUMN(I38)-1)="","",OFFSET('4. Work'!$A$1,ROW(I38)-1,COLUMN(I38)-1))</f>
        <v/>
      </c>
      <c r="T38" s="3" t="str">
        <f ca="1">IF(A38&lt;&gt;"",MAX('Initiative Indirect'!$T:$T)+(ROW(A38)-1),"")</f>
        <v/>
      </c>
      <c r="U38" s="3" t="str">
        <f ca="1">IF(B38&lt;&gt;"",INDEX('Initiative Indirect'!$T:$T,MATCH(B38,'Initiative Indirect'!$A:$A,0)),"")</f>
        <v/>
      </c>
      <c r="V38" s="3" t="str">
        <f ca="1">IF(C38&lt;&gt;"",INDEX('Team Indirect'!$T:$T,MATCH(C38,'Team Indirect'!$A:$A,0)),"")</f>
        <v/>
      </c>
      <c r="W38" s="3"/>
      <c r="X38" s="3"/>
      <c r="Y38" s="3" t="str">
        <f ca="1">IF($C38&lt;&gt;"",INDEX('Team Indirect'!$D:$D,MATCH($C38,'Team Indirect'!$A:$A,0)),"")</f>
        <v/>
      </c>
      <c r="Z38" s="3" t="str">
        <f ca="1">IF($C38&lt;&gt;"",INDEX('Team Indirect'!$E:$E,MATCH($C38,'Team Indirect'!$A:$A,0)),"")</f>
        <v/>
      </c>
      <c r="AA38" s="3" t="str">
        <f ca="1">IF($C38&lt;&gt;"",INDEX('Team Indirect'!$F:$F,MATCH($C38,'Team Indirect'!$A:$A,0)),"")</f>
        <v/>
      </c>
      <c r="AB38" s="3" t="str">
        <f t="shared" ca="1" si="0"/>
        <v/>
      </c>
      <c r="AC38" s="3">
        <f ca="1">IF(OR(AllocationUnits="Stories", AllocationUnits="Points"),'Work Indirect'!F38,F38/MAX('Work Indirect'!AB38,1))</f>
        <v>1</v>
      </c>
    </row>
    <row r="39" spans="1:29"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7" t="str">
        <f ca="1">IF(OFFSET('4. Work'!$A$1,ROW(D39)-1,COLUMN(D39)-1)="","",OFFSET('4. Work'!$A$1,ROW(D39)-1,COLUMN(D39)-1))</f>
        <v/>
      </c>
      <c r="E39" s="147"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I39" s="3" t="str">
        <f ca="1">IF(OFFSET('4. Work'!$A$1,ROW(I39)-1,COLUMN(I39)-1)="","",OFFSET('4. Work'!$A$1,ROW(I39)-1,COLUMN(I39)-1))</f>
        <v/>
      </c>
      <c r="T39" s="3" t="str">
        <f ca="1">IF(A39&lt;&gt;"",MAX('Initiative Indirect'!$T:$T)+(ROW(A39)-1),"")</f>
        <v/>
      </c>
      <c r="U39" s="3" t="str">
        <f ca="1">IF(B39&lt;&gt;"",INDEX('Initiative Indirect'!$T:$T,MATCH(B39,'Initiative Indirect'!$A:$A,0)),"")</f>
        <v/>
      </c>
      <c r="V39" s="3" t="str">
        <f ca="1">IF(C39&lt;&gt;"",INDEX('Team Indirect'!$T:$T,MATCH(C39,'Team Indirect'!$A:$A,0)),"")</f>
        <v/>
      </c>
      <c r="W39" s="3"/>
      <c r="X39" s="3"/>
      <c r="Y39" s="3" t="str">
        <f ca="1">IF($C39&lt;&gt;"",INDEX('Team Indirect'!$D:$D,MATCH($C39,'Team Indirect'!$A:$A,0)),"")</f>
        <v/>
      </c>
      <c r="Z39" s="3" t="str">
        <f ca="1">IF($C39&lt;&gt;"",INDEX('Team Indirect'!$E:$E,MATCH($C39,'Team Indirect'!$A:$A,0)),"")</f>
        <v/>
      </c>
      <c r="AA39" s="3" t="str">
        <f ca="1">IF($C39&lt;&gt;"",INDEX('Team Indirect'!$F:$F,MATCH($C39,'Team Indirect'!$A:$A,0)),"")</f>
        <v/>
      </c>
      <c r="AB39" s="3" t="str">
        <f t="shared" ca="1" si="0"/>
        <v/>
      </c>
      <c r="AC39" s="3">
        <f ca="1">IF(OR(AllocationUnits="Stories", AllocationUnits="Points"),'Work Indirect'!F39,F39/MAX('Work Indirect'!AB39,1))</f>
        <v>1</v>
      </c>
    </row>
    <row r="40" spans="1:29"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7" t="str">
        <f ca="1">IF(OFFSET('4. Work'!$A$1,ROW(D40)-1,COLUMN(D40)-1)="","",OFFSET('4. Work'!$A$1,ROW(D40)-1,COLUMN(D40)-1))</f>
        <v/>
      </c>
      <c r="E40" s="147"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I40" s="3" t="str">
        <f ca="1">IF(OFFSET('4. Work'!$A$1,ROW(I40)-1,COLUMN(I40)-1)="","",OFFSET('4. Work'!$A$1,ROW(I40)-1,COLUMN(I40)-1))</f>
        <v/>
      </c>
      <c r="T40" s="3" t="str">
        <f ca="1">IF(A40&lt;&gt;"",MAX('Initiative Indirect'!$T:$T)+(ROW(A40)-1),"")</f>
        <v/>
      </c>
      <c r="U40" s="3" t="str">
        <f ca="1">IF(B40&lt;&gt;"",INDEX('Initiative Indirect'!$T:$T,MATCH(B40,'Initiative Indirect'!$A:$A,0)),"")</f>
        <v/>
      </c>
      <c r="V40" s="3" t="str">
        <f ca="1">IF(C40&lt;&gt;"",INDEX('Team Indirect'!$T:$T,MATCH(C40,'Team Indirect'!$A:$A,0)),"")</f>
        <v/>
      </c>
      <c r="W40" s="3"/>
      <c r="X40" s="3"/>
      <c r="Y40" s="3" t="str">
        <f ca="1">IF($C40&lt;&gt;"",INDEX('Team Indirect'!$D:$D,MATCH($C40,'Team Indirect'!$A:$A,0)),"")</f>
        <v/>
      </c>
      <c r="Z40" s="3" t="str">
        <f ca="1">IF($C40&lt;&gt;"",INDEX('Team Indirect'!$E:$E,MATCH($C40,'Team Indirect'!$A:$A,0)),"")</f>
        <v/>
      </c>
      <c r="AA40" s="3" t="str">
        <f ca="1">IF($C40&lt;&gt;"",INDEX('Team Indirect'!$F:$F,MATCH($C40,'Team Indirect'!$A:$A,0)),"")</f>
        <v/>
      </c>
      <c r="AB40" s="3" t="str">
        <f t="shared" ca="1" si="0"/>
        <v/>
      </c>
      <c r="AC40" s="3">
        <f ca="1">IF(OR(AllocationUnits="Stories", AllocationUnits="Points"),'Work Indirect'!F40,F40/MAX('Work Indirect'!AB40,1))</f>
        <v>1</v>
      </c>
    </row>
    <row r="41" spans="1:29"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7" t="str">
        <f ca="1">IF(OFFSET('4. Work'!$A$1,ROW(D41)-1,COLUMN(D41)-1)="","",OFFSET('4. Work'!$A$1,ROW(D41)-1,COLUMN(D41)-1))</f>
        <v/>
      </c>
      <c r="E41" s="147"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I41" s="3" t="str">
        <f ca="1">IF(OFFSET('4. Work'!$A$1,ROW(I41)-1,COLUMN(I41)-1)="","",OFFSET('4. Work'!$A$1,ROW(I41)-1,COLUMN(I41)-1))</f>
        <v/>
      </c>
      <c r="T41" s="3" t="str">
        <f ca="1">IF(A41&lt;&gt;"",MAX('Initiative Indirect'!$T:$T)+(ROW(A41)-1),"")</f>
        <v/>
      </c>
      <c r="U41" s="3" t="str">
        <f ca="1">IF(B41&lt;&gt;"",INDEX('Initiative Indirect'!$T:$T,MATCH(B41,'Initiative Indirect'!$A:$A,0)),"")</f>
        <v/>
      </c>
      <c r="V41" s="3" t="str">
        <f ca="1">IF(C41&lt;&gt;"",INDEX('Team Indirect'!$T:$T,MATCH(C41,'Team Indirect'!$A:$A,0)),"")</f>
        <v/>
      </c>
      <c r="W41" s="3"/>
      <c r="X41" s="3"/>
      <c r="Y41" s="3" t="str">
        <f ca="1">IF($C41&lt;&gt;"",INDEX('Team Indirect'!$D:$D,MATCH($C41,'Team Indirect'!$A:$A,0)),"")</f>
        <v/>
      </c>
      <c r="Z41" s="3" t="str">
        <f ca="1">IF($C41&lt;&gt;"",INDEX('Team Indirect'!$E:$E,MATCH($C41,'Team Indirect'!$A:$A,0)),"")</f>
        <v/>
      </c>
      <c r="AA41" s="3" t="str">
        <f ca="1">IF($C41&lt;&gt;"",INDEX('Team Indirect'!$F:$F,MATCH($C41,'Team Indirect'!$A:$A,0)),"")</f>
        <v/>
      </c>
      <c r="AB41" s="3" t="str">
        <f t="shared" ca="1" si="0"/>
        <v/>
      </c>
      <c r="AC41" s="3">
        <f ca="1">IF(OR(AllocationUnits="Stories", AllocationUnits="Points"),'Work Indirect'!F41,F41/MAX('Work Indirect'!AB41,1))</f>
        <v>1</v>
      </c>
    </row>
    <row r="42" spans="1:29"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7" t="str">
        <f ca="1">IF(OFFSET('4. Work'!$A$1,ROW(D42)-1,COLUMN(D42)-1)="","",OFFSET('4. Work'!$A$1,ROW(D42)-1,COLUMN(D42)-1))</f>
        <v/>
      </c>
      <c r="E42" s="147"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I42" s="3" t="str">
        <f ca="1">IF(OFFSET('4. Work'!$A$1,ROW(I42)-1,COLUMN(I42)-1)="","",OFFSET('4. Work'!$A$1,ROW(I42)-1,COLUMN(I42)-1))</f>
        <v/>
      </c>
      <c r="T42" s="3" t="str">
        <f ca="1">IF(A42&lt;&gt;"",MAX('Initiative Indirect'!$T:$T)+(ROW(A42)-1),"")</f>
        <v/>
      </c>
      <c r="U42" s="3" t="str">
        <f ca="1">IF(B42&lt;&gt;"",INDEX('Initiative Indirect'!$T:$T,MATCH(B42,'Initiative Indirect'!$A:$A,0)),"")</f>
        <v/>
      </c>
      <c r="V42" s="3" t="str">
        <f ca="1">IF(C42&lt;&gt;"",INDEX('Team Indirect'!$T:$T,MATCH(C42,'Team Indirect'!$A:$A,0)),"")</f>
        <v/>
      </c>
      <c r="W42" s="3"/>
      <c r="X42" s="3"/>
      <c r="Y42" s="3" t="str">
        <f ca="1">IF($C42&lt;&gt;"",INDEX('Team Indirect'!$D:$D,MATCH($C42,'Team Indirect'!$A:$A,0)),"")</f>
        <v/>
      </c>
      <c r="Z42" s="3" t="str">
        <f ca="1">IF($C42&lt;&gt;"",INDEX('Team Indirect'!$E:$E,MATCH($C42,'Team Indirect'!$A:$A,0)),"")</f>
        <v/>
      </c>
      <c r="AA42" s="3" t="str">
        <f ca="1">IF($C42&lt;&gt;"",INDEX('Team Indirect'!$F:$F,MATCH($C42,'Team Indirect'!$A:$A,0)),"")</f>
        <v/>
      </c>
      <c r="AB42" s="3" t="str">
        <f t="shared" ca="1" si="0"/>
        <v/>
      </c>
      <c r="AC42" s="3">
        <f ca="1">IF(OR(AllocationUnits="Stories", AllocationUnits="Points"),'Work Indirect'!F42,F42/MAX('Work Indirect'!AB42,1))</f>
        <v>1</v>
      </c>
    </row>
    <row r="43" spans="1:29"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7" t="str">
        <f ca="1">IF(OFFSET('4. Work'!$A$1,ROW(D43)-1,COLUMN(D43)-1)="","",OFFSET('4. Work'!$A$1,ROW(D43)-1,COLUMN(D43)-1))</f>
        <v/>
      </c>
      <c r="E43" s="147"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I43" s="3" t="str">
        <f ca="1">IF(OFFSET('4. Work'!$A$1,ROW(I43)-1,COLUMN(I43)-1)="","",OFFSET('4. Work'!$A$1,ROW(I43)-1,COLUMN(I43)-1))</f>
        <v/>
      </c>
      <c r="T43" s="3" t="str">
        <f ca="1">IF(A43&lt;&gt;"",MAX('Initiative Indirect'!$T:$T)+(ROW(A43)-1),"")</f>
        <v/>
      </c>
      <c r="U43" s="3" t="str">
        <f ca="1">IF(B43&lt;&gt;"",INDEX('Initiative Indirect'!$T:$T,MATCH(B43,'Initiative Indirect'!$A:$A,0)),"")</f>
        <v/>
      </c>
      <c r="V43" s="3" t="str">
        <f ca="1">IF(C43&lt;&gt;"",INDEX('Team Indirect'!$T:$T,MATCH(C43,'Team Indirect'!$A:$A,0)),"")</f>
        <v/>
      </c>
      <c r="W43" s="3"/>
      <c r="X43" s="3"/>
      <c r="Y43" s="3" t="str">
        <f ca="1">IF($C43&lt;&gt;"",INDEX('Team Indirect'!$D:$D,MATCH($C43,'Team Indirect'!$A:$A,0)),"")</f>
        <v/>
      </c>
      <c r="Z43" s="3" t="str">
        <f ca="1">IF($C43&lt;&gt;"",INDEX('Team Indirect'!$E:$E,MATCH($C43,'Team Indirect'!$A:$A,0)),"")</f>
        <v/>
      </c>
      <c r="AA43" s="3" t="str">
        <f ca="1">IF($C43&lt;&gt;"",INDEX('Team Indirect'!$F:$F,MATCH($C43,'Team Indirect'!$A:$A,0)),"")</f>
        <v/>
      </c>
      <c r="AB43" s="3" t="str">
        <f t="shared" ca="1" si="0"/>
        <v/>
      </c>
      <c r="AC43" s="3">
        <f ca="1">IF(OR(AllocationUnits="Stories", AllocationUnits="Points"),'Work Indirect'!F43,F43/MAX('Work Indirect'!AB43,1))</f>
        <v>1</v>
      </c>
    </row>
    <row r="44" spans="1:29"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7" t="str">
        <f ca="1">IF(OFFSET('4. Work'!$A$1,ROW(D44)-1,COLUMN(D44)-1)="","",OFFSET('4. Work'!$A$1,ROW(D44)-1,COLUMN(D44)-1))</f>
        <v/>
      </c>
      <c r="E44" s="147"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I44" s="3" t="str">
        <f ca="1">IF(OFFSET('4. Work'!$A$1,ROW(I44)-1,COLUMN(I44)-1)="","",OFFSET('4. Work'!$A$1,ROW(I44)-1,COLUMN(I44)-1))</f>
        <v/>
      </c>
      <c r="T44" s="3" t="str">
        <f ca="1">IF(A44&lt;&gt;"",MAX('Initiative Indirect'!$T:$T)+(ROW(A44)-1),"")</f>
        <v/>
      </c>
      <c r="U44" s="3" t="str">
        <f ca="1">IF(B44&lt;&gt;"",INDEX('Initiative Indirect'!$T:$T,MATCH(B44,'Initiative Indirect'!$A:$A,0)),"")</f>
        <v/>
      </c>
      <c r="V44" s="3" t="str">
        <f ca="1">IF(C44&lt;&gt;"",INDEX('Team Indirect'!$T:$T,MATCH(C44,'Team Indirect'!$A:$A,0)),"")</f>
        <v/>
      </c>
      <c r="W44" s="3"/>
      <c r="X44" s="3"/>
      <c r="Y44" s="3" t="str">
        <f ca="1">IF($C44&lt;&gt;"",INDEX('Team Indirect'!$D:$D,MATCH($C44,'Team Indirect'!$A:$A,0)),"")</f>
        <v/>
      </c>
      <c r="Z44" s="3" t="str">
        <f ca="1">IF($C44&lt;&gt;"",INDEX('Team Indirect'!$E:$E,MATCH($C44,'Team Indirect'!$A:$A,0)),"")</f>
        <v/>
      </c>
      <c r="AA44" s="3" t="str">
        <f ca="1">IF($C44&lt;&gt;"",INDEX('Team Indirect'!$F:$F,MATCH($C44,'Team Indirect'!$A:$A,0)),"")</f>
        <v/>
      </c>
      <c r="AB44" s="3" t="str">
        <f t="shared" ca="1" si="0"/>
        <v/>
      </c>
      <c r="AC44" s="3">
        <f ca="1">IF(OR(AllocationUnits="Stories", AllocationUnits="Points"),'Work Indirect'!F44,F44/MAX('Work Indirect'!AB44,1))</f>
        <v>1</v>
      </c>
    </row>
    <row r="45" spans="1:29"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7" t="str">
        <f ca="1">IF(OFFSET('4. Work'!$A$1,ROW(D45)-1,COLUMN(D45)-1)="","",OFFSET('4. Work'!$A$1,ROW(D45)-1,COLUMN(D45)-1))</f>
        <v/>
      </c>
      <c r="E45" s="147"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I45" s="3" t="str">
        <f ca="1">IF(OFFSET('4. Work'!$A$1,ROW(I45)-1,COLUMN(I45)-1)="","",OFFSET('4. Work'!$A$1,ROW(I45)-1,COLUMN(I45)-1))</f>
        <v/>
      </c>
      <c r="T45" s="3" t="str">
        <f ca="1">IF(A45&lt;&gt;"",MAX('Initiative Indirect'!$T:$T)+(ROW(A45)-1),"")</f>
        <v/>
      </c>
      <c r="U45" s="3" t="str">
        <f ca="1">IF(B45&lt;&gt;"",INDEX('Initiative Indirect'!$T:$T,MATCH(B45,'Initiative Indirect'!$A:$A,0)),"")</f>
        <v/>
      </c>
      <c r="V45" s="3" t="str">
        <f ca="1">IF(C45&lt;&gt;"",INDEX('Team Indirect'!$T:$T,MATCH(C45,'Team Indirect'!$A:$A,0)),"")</f>
        <v/>
      </c>
      <c r="W45" s="3"/>
      <c r="X45" s="3"/>
      <c r="Y45" s="3" t="str">
        <f ca="1">IF($C45&lt;&gt;"",INDEX('Team Indirect'!$D:$D,MATCH($C45,'Team Indirect'!$A:$A,0)),"")</f>
        <v/>
      </c>
      <c r="Z45" s="3" t="str">
        <f ca="1">IF($C45&lt;&gt;"",INDEX('Team Indirect'!$E:$E,MATCH($C45,'Team Indirect'!$A:$A,0)),"")</f>
        <v/>
      </c>
      <c r="AA45" s="3" t="str">
        <f ca="1">IF($C45&lt;&gt;"",INDEX('Team Indirect'!$F:$F,MATCH($C45,'Team Indirect'!$A:$A,0)),"")</f>
        <v/>
      </c>
      <c r="AB45" s="3" t="str">
        <f t="shared" ca="1" si="0"/>
        <v/>
      </c>
      <c r="AC45" s="3">
        <f ca="1">IF(OR(AllocationUnits="Stories", AllocationUnits="Points"),'Work Indirect'!F45,F45/MAX('Work Indirect'!AB45,1))</f>
        <v>1</v>
      </c>
    </row>
    <row r="46" spans="1:29"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7" t="str">
        <f ca="1">IF(OFFSET('4. Work'!$A$1,ROW(D46)-1,COLUMN(D46)-1)="","",OFFSET('4. Work'!$A$1,ROW(D46)-1,COLUMN(D46)-1))</f>
        <v/>
      </c>
      <c r="E46" s="147"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I46" s="3" t="str">
        <f ca="1">IF(OFFSET('4. Work'!$A$1,ROW(I46)-1,COLUMN(I46)-1)="","",OFFSET('4. Work'!$A$1,ROW(I46)-1,COLUMN(I46)-1))</f>
        <v/>
      </c>
      <c r="T46" s="3" t="str">
        <f ca="1">IF(A46&lt;&gt;"",MAX('Initiative Indirect'!$T:$T)+(ROW(A46)-1),"")</f>
        <v/>
      </c>
      <c r="U46" s="3" t="str">
        <f ca="1">IF(B46&lt;&gt;"",INDEX('Initiative Indirect'!$T:$T,MATCH(B46,'Initiative Indirect'!$A:$A,0)),"")</f>
        <v/>
      </c>
      <c r="V46" s="3" t="str">
        <f ca="1">IF(C46&lt;&gt;"",INDEX('Team Indirect'!$T:$T,MATCH(C46,'Team Indirect'!$A:$A,0)),"")</f>
        <v/>
      </c>
      <c r="W46" s="3"/>
      <c r="X46" s="3"/>
      <c r="Y46" s="3" t="str">
        <f ca="1">IF($C46&lt;&gt;"",INDEX('Team Indirect'!$D:$D,MATCH($C46,'Team Indirect'!$A:$A,0)),"")</f>
        <v/>
      </c>
      <c r="Z46" s="3" t="str">
        <f ca="1">IF($C46&lt;&gt;"",INDEX('Team Indirect'!$E:$E,MATCH($C46,'Team Indirect'!$A:$A,0)),"")</f>
        <v/>
      </c>
      <c r="AA46" s="3" t="str">
        <f ca="1">IF($C46&lt;&gt;"",INDEX('Team Indirect'!$F:$F,MATCH($C46,'Team Indirect'!$A:$A,0)),"")</f>
        <v/>
      </c>
      <c r="AB46" s="3" t="str">
        <f t="shared" ca="1" si="0"/>
        <v/>
      </c>
      <c r="AC46" s="3">
        <f ca="1">IF(OR(AllocationUnits="Stories", AllocationUnits="Points"),'Work Indirect'!F46,F46/MAX('Work Indirect'!AB46,1))</f>
        <v>1</v>
      </c>
    </row>
    <row r="47" spans="1:29"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7" t="str">
        <f ca="1">IF(OFFSET('4. Work'!$A$1,ROW(D47)-1,COLUMN(D47)-1)="","",OFFSET('4. Work'!$A$1,ROW(D47)-1,COLUMN(D47)-1))</f>
        <v/>
      </c>
      <c r="E47" s="147"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I47" s="3" t="str">
        <f ca="1">IF(OFFSET('4. Work'!$A$1,ROW(I47)-1,COLUMN(I47)-1)="","",OFFSET('4. Work'!$A$1,ROW(I47)-1,COLUMN(I47)-1))</f>
        <v/>
      </c>
      <c r="T47" s="3" t="str">
        <f ca="1">IF(A47&lt;&gt;"",MAX('Initiative Indirect'!$T:$T)+(ROW(A47)-1),"")</f>
        <v/>
      </c>
      <c r="U47" s="3" t="str">
        <f ca="1">IF(B47&lt;&gt;"",INDEX('Initiative Indirect'!$T:$T,MATCH(B47,'Initiative Indirect'!$A:$A,0)),"")</f>
        <v/>
      </c>
      <c r="V47" s="3" t="str">
        <f ca="1">IF(C47&lt;&gt;"",INDEX('Team Indirect'!$T:$T,MATCH(C47,'Team Indirect'!$A:$A,0)),"")</f>
        <v/>
      </c>
      <c r="W47" s="3"/>
      <c r="X47" s="3"/>
      <c r="Y47" s="3" t="str">
        <f ca="1">IF($C47&lt;&gt;"",INDEX('Team Indirect'!$D:$D,MATCH($C47,'Team Indirect'!$A:$A,0)),"")</f>
        <v/>
      </c>
      <c r="Z47" s="3" t="str">
        <f ca="1">IF($C47&lt;&gt;"",INDEX('Team Indirect'!$E:$E,MATCH($C47,'Team Indirect'!$A:$A,0)),"")</f>
        <v/>
      </c>
      <c r="AA47" s="3" t="str">
        <f ca="1">IF($C47&lt;&gt;"",INDEX('Team Indirect'!$F:$F,MATCH($C47,'Team Indirect'!$A:$A,0)),"")</f>
        <v/>
      </c>
      <c r="AB47" s="3" t="str">
        <f t="shared" ca="1" si="0"/>
        <v/>
      </c>
      <c r="AC47" s="3">
        <f ca="1">IF(OR(AllocationUnits="Stories", AllocationUnits="Points"),'Work Indirect'!F47,F47/MAX('Work Indirect'!AB47,1))</f>
        <v>1</v>
      </c>
    </row>
    <row r="48" spans="1:29"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7" t="str">
        <f ca="1">IF(OFFSET('4. Work'!$A$1,ROW(D48)-1,COLUMN(D48)-1)="","",OFFSET('4. Work'!$A$1,ROW(D48)-1,COLUMN(D48)-1))</f>
        <v/>
      </c>
      <c r="E48" s="147"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I48" s="3" t="str">
        <f ca="1">IF(OFFSET('4. Work'!$A$1,ROW(I48)-1,COLUMN(I48)-1)="","",OFFSET('4. Work'!$A$1,ROW(I48)-1,COLUMN(I48)-1))</f>
        <v/>
      </c>
      <c r="T48" s="3" t="str">
        <f ca="1">IF(A48&lt;&gt;"",MAX('Initiative Indirect'!$T:$T)+(ROW(A48)-1),"")</f>
        <v/>
      </c>
      <c r="U48" s="3" t="str">
        <f ca="1">IF(B48&lt;&gt;"",INDEX('Initiative Indirect'!$T:$T,MATCH(B48,'Initiative Indirect'!$A:$A,0)),"")</f>
        <v/>
      </c>
      <c r="V48" s="3" t="str">
        <f ca="1">IF(C48&lt;&gt;"",INDEX('Team Indirect'!$T:$T,MATCH(C48,'Team Indirect'!$A:$A,0)),"")</f>
        <v/>
      </c>
      <c r="W48" s="3"/>
      <c r="X48" s="3"/>
      <c r="Y48" s="3" t="str">
        <f ca="1">IF($C48&lt;&gt;"",INDEX('Team Indirect'!$D:$D,MATCH($C48,'Team Indirect'!$A:$A,0)),"")</f>
        <v/>
      </c>
      <c r="Z48" s="3" t="str">
        <f ca="1">IF($C48&lt;&gt;"",INDEX('Team Indirect'!$E:$E,MATCH($C48,'Team Indirect'!$A:$A,0)),"")</f>
        <v/>
      </c>
      <c r="AA48" s="3" t="str">
        <f ca="1">IF($C48&lt;&gt;"",INDEX('Team Indirect'!$F:$F,MATCH($C48,'Team Indirect'!$A:$A,0)),"")</f>
        <v/>
      </c>
      <c r="AB48" s="3" t="str">
        <f t="shared" ca="1" si="0"/>
        <v/>
      </c>
      <c r="AC48" s="3">
        <f ca="1">IF(OR(AllocationUnits="Stories", AllocationUnits="Points"),'Work Indirect'!F48,F48/MAX('Work Indirect'!AB48,1))</f>
        <v>1</v>
      </c>
    </row>
    <row r="49" spans="1:29"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7" t="str">
        <f ca="1">IF(OFFSET('4. Work'!$A$1,ROW(D49)-1,COLUMN(D49)-1)="","",OFFSET('4. Work'!$A$1,ROW(D49)-1,COLUMN(D49)-1))</f>
        <v/>
      </c>
      <c r="E49" s="147"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I49" s="3" t="str">
        <f ca="1">IF(OFFSET('4. Work'!$A$1,ROW(I49)-1,COLUMN(I49)-1)="","",OFFSET('4. Work'!$A$1,ROW(I49)-1,COLUMN(I49)-1))</f>
        <v/>
      </c>
      <c r="T49" s="3" t="str">
        <f ca="1">IF(A49&lt;&gt;"",MAX('Initiative Indirect'!$T:$T)+(ROW(A49)-1),"")</f>
        <v/>
      </c>
      <c r="U49" s="3" t="str">
        <f ca="1">IF(B49&lt;&gt;"",INDEX('Initiative Indirect'!$T:$T,MATCH(B49,'Initiative Indirect'!$A:$A,0)),"")</f>
        <v/>
      </c>
      <c r="V49" s="3" t="str">
        <f ca="1">IF(C49&lt;&gt;"",INDEX('Team Indirect'!$T:$T,MATCH(C49,'Team Indirect'!$A:$A,0)),"")</f>
        <v/>
      </c>
      <c r="W49" s="3"/>
      <c r="X49" s="3"/>
      <c r="Y49" s="3" t="str">
        <f ca="1">IF($C49&lt;&gt;"",INDEX('Team Indirect'!$D:$D,MATCH($C49,'Team Indirect'!$A:$A,0)),"")</f>
        <v/>
      </c>
      <c r="Z49" s="3" t="str">
        <f ca="1">IF($C49&lt;&gt;"",INDEX('Team Indirect'!$E:$E,MATCH($C49,'Team Indirect'!$A:$A,0)),"")</f>
        <v/>
      </c>
      <c r="AA49" s="3" t="str">
        <f ca="1">IF($C49&lt;&gt;"",INDEX('Team Indirect'!$F:$F,MATCH($C49,'Team Indirect'!$A:$A,0)),"")</f>
        <v/>
      </c>
      <c r="AB49" s="3" t="str">
        <f t="shared" ca="1" si="0"/>
        <v/>
      </c>
      <c r="AC49" s="3">
        <f ca="1">IF(OR(AllocationUnits="Stories", AllocationUnits="Points"),'Work Indirect'!F49,F49/MAX('Work Indirect'!AB49,1))</f>
        <v>1</v>
      </c>
    </row>
    <row r="50" spans="1:29"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7" t="str">
        <f ca="1">IF(OFFSET('4. Work'!$A$1,ROW(D50)-1,COLUMN(D50)-1)="","",OFFSET('4. Work'!$A$1,ROW(D50)-1,COLUMN(D50)-1))</f>
        <v/>
      </c>
      <c r="E50" s="147"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I50" s="3" t="str">
        <f ca="1">IF(OFFSET('4. Work'!$A$1,ROW(I50)-1,COLUMN(I50)-1)="","",OFFSET('4. Work'!$A$1,ROW(I50)-1,COLUMN(I50)-1))</f>
        <v/>
      </c>
      <c r="T50" s="3" t="str">
        <f ca="1">IF(A50&lt;&gt;"",MAX('Initiative Indirect'!$T:$T)+(ROW(A50)-1),"")</f>
        <v/>
      </c>
      <c r="U50" s="3" t="str">
        <f ca="1">IF(B50&lt;&gt;"",INDEX('Initiative Indirect'!$T:$T,MATCH(B50,'Initiative Indirect'!$A:$A,0)),"")</f>
        <v/>
      </c>
      <c r="V50" s="3" t="str">
        <f ca="1">IF(C50&lt;&gt;"",INDEX('Team Indirect'!$T:$T,MATCH(C50,'Team Indirect'!$A:$A,0)),"")</f>
        <v/>
      </c>
      <c r="W50" s="3"/>
      <c r="X50" s="3"/>
      <c r="Y50" s="3" t="str">
        <f ca="1">IF($C50&lt;&gt;"",INDEX('Team Indirect'!$D:$D,MATCH($C50,'Team Indirect'!$A:$A,0)),"")</f>
        <v/>
      </c>
      <c r="Z50" s="3" t="str">
        <f ca="1">IF($C50&lt;&gt;"",INDEX('Team Indirect'!$E:$E,MATCH($C50,'Team Indirect'!$A:$A,0)),"")</f>
        <v/>
      </c>
      <c r="AA50" s="3" t="str">
        <f ca="1">IF($C50&lt;&gt;"",INDEX('Team Indirect'!$F:$F,MATCH($C50,'Team Indirect'!$A:$A,0)),"")</f>
        <v/>
      </c>
      <c r="AB50" s="3" t="str">
        <f t="shared" ca="1" si="0"/>
        <v/>
      </c>
      <c r="AC50" s="3">
        <f ca="1">IF(OR(AllocationUnits="Stories", AllocationUnits="Points"),'Work Indirect'!F50,F50/MAX('Work Indirect'!AB50,1))</f>
        <v>1</v>
      </c>
    </row>
    <row r="51" spans="1:29"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7" t="str">
        <f ca="1">IF(OFFSET('4. Work'!$A$1,ROW(D51)-1,COLUMN(D51)-1)="","",OFFSET('4. Work'!$A$1,ROW(D51)-1,COLUMN(D51)-1))</f>
        <v/>
      </c>
      <c r="E51" s="147"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I51" s="3" t="str">
        <f ca="1">IF(OFFSET('4. Work'!$A$1,ROW(I51)-1,COLUMN(I51)-1)="","",OFFSET('4. Work'!$A$1,ROW(I51)-1,COLUMN(I51)-1))</f>
        <v/>
      </c>
      <c r="T51" s="3" t="str">
        <f ca="1">IF(A51&lt;&gt;"",MAX('Initiative Indirect'!$T:$T)+(ROW(A51)-1),"")</f>
        <v/>
      </c>
      <c r="U51" s="3" t="str">
        <f ca="1">IF(B51&lt;&gt;"",INDEX('Initiative Indirect'!$T:$T,MATCH(B51,'Initiative Indirect'!$A:$A,0)),"")</f>
        <v/>
      </c>
      <c r="V51" s="3" t="str">
        <f ca="1">IF(C51&lt;&gt;"",INDEX('Team Indirect'!$T:$T,MATCH(C51,'Team Indirect'!$A:$A,0)),"")</f>
        <v/>
      </c>
      <c r="W51" s="3"/>
      <c r="X51" s="3"/>
      <c r="Y51" s="3" t="str">
        <f ca="1">IF($C51&lt;&gt;"",INDEX('Team Indirect'!$D:$D,MATCH($C51,'Team Indirect'!$A:$A,0)),"")</f>
        <v/>
      </c>
      <c r="Z51" s="3" t="str">
        <f ca="1">IF($C51&lt;&gt;"",INDEX('Team Indirect'!$E:$E,MATCH($C51,'Team Indirect'!$A:$A,0)),"")</f>
        <v/>
      </c>
      <c r="AA51" s="3" t="str">
        <f ca="1">IF($C51&lt;&gt;"",INDEX('Team Indirect'!$F:$F,MATCH($C51,'Team Indirect'!$A:$A,0)),"")</f>
        <v/>
      </c>
      <c r="AB51" s="3" t="str">
        <f t="shared" ca="1" si="0"/>
        <v/>
      </c>
      <c r="AC51" s="3">
        <f ca="1">IF(OR(AllocationUnits="Stories", AllocationUnits="Points"),'Work Indirect'!F51,F51/MAX('Work Indirect'!AB51,1))</f>
        <v>1</v>
      </c>
    </row>
    <row r="52" spans="1:29"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7" t="str">
        <f ca="1">IF(OFFSET('4. Work'!$A$1,ROW(D52)-1,COLUMN(D52)-1)="","",OFFSET('4. Work'!$A$1,ROW(D52)-1,COLUMN(D52)-1))</f>
        <v/>
      </c>
      <c r="E52" s="147"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I52" s="3" t="str">
        <f ca="1">IF(OFFSET('4. Work'!$A$1,ROW(I52)-1,COLUMN(I52)-1)="","",OFFSET('4. Work'!$A$1,ROW(I52)-1,COLUMN(I52)-1))</f>
        <v/>
      </c>
      <c r="T52" s="3" t="str">
        <f ca="1">IF(A52&lt;&gt;"",MAX('Initiative Indirect'!$T:$T)+(ROW(A52)-1),"")</f>
        <v/>
      </c>
      <c r="U52" s="3" t="str">
        <f ca="1">IF(B52&lt;&gt;"",INDEX('Initiative Indirect'!$T:$T,MATCH(B52,'Initiative Indirect'!$A:$A,0)),"")</f>
        <v/>
      </c>
      <c r="V52" s="3" t="str">
        <f ca="1">IF(C52&lt;&gt;"",INDEX('Team Indirect'!$T:$T,MATCH(C52,'Team Indirect'!$A:$A,0)),"")</f>
        <v/>
      </c>
      <c r="W52" s="3"/>
      <c r="X52" s="3"/>
      <c r="Y52" s="3" t="str">
        <f ca="1">IF($C52&lt;&gt;"",INDEX('Team Indirect'!$D:$D,MATCH($C52,'Team Indirect'!$A:$A,0)),"")</f>
        <v/>
      </c>
      <c r="Z52" s="3" t="str">
        <f ca="1">IF($C52&lt;&gt;"",INDEX('Team Indirect'!$E:$E,MATCH($C52,'Team Indirect'!$A:$A,0)),"")</f>
        <v/>
      </c>
      <c r="AA52" s="3" t="str">
        <f ca="1">IF($C52&lt;&gt;"",INDEX('Team Indirect'!$F:$F,MATCH($C52,'Team Indirect'!$A:$A,0)),"")</f>
        <v/>
      </c>
      <c r="AB52" s="3" t="str">
        <f t="shared" ca="1" si="0"/>
        <v/>
      </c>
      <c r="AC52" s="3">
        <f ca="1">IF(OR(AllocationUnits="Stories", AllocationUnits="Points"),'Work Indirect'!F52,F52/MAX('Work Indirect'!AB52,1))</f>
        <v>1</v>
      </c>
    </row>
    <row r="53" spans="1:29"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7" t="str">
        <f ca="1">IF(OFFSET('4. Work'!$A$1,ROW(D53)-1,COLUMN(D53)-1)="","",OFFSET('4. Work'!$A$1,ROW(D53)-1,COLUMN(D53)-1))</f>
        <v/>
      </c>
      <c r="E53" s="147"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I53" s="3" t="str">
        <f ca="1">IF(OFFSET('4. Work'!$A$1,ROW(I53)-1,COLUMN(I53)-1)="","",OFFSET('4. Work'!$A$1,ROW(I53)-1,COLUMN(I53)-1))</f>
        <v/>
      </c>
      <c r="T53" s="3" t="str">
        <f ca="1">IF(A53&lt;&gt;"",MAX('Initiative Indirect'!$T:$T)+(ROW(A53)-1),"")</f>
        <v/>
      </c>
      <c r="U53" s="3" t="str">
        <f ca="1">IF(B53&lt;&gt;"",INDEX('Initiative Indirect'!$T:$T,MATCH(B53,'Initiative Indirect'!$A:$A,0)),"")</f>
        <v/>
      </c>
      <c r="V53" s="3" t="str">
        <f ca="1">IF(C53&lt;&gt;"",INDEX('Team Indirect'!$T:$T,MATCH(C53,'Team Indirect'!$A:$A,0)),"")</f>
        <v/>
      </c>
      <c r="W53" s="3"/>
      <c r="X53" s="3"/>
      <c r="Y53" s="3" t="str">
        <f ca="1">IF($C53&lt;&gt;"",INDEX('Team Indirect'!$D:$D,MATCH($C53,'Team Indirect'!$A:$A,0)),"")</f>
        <v/>
      </c>
      <c r="Z53" s="3" t="str">
        <f ca="1">IF($C53&lt;&gt;"",INDEX('Team Indirect'!$E:$E,MATCH($C53,'Team Indirect'!$A:$A,0)),"")</f>
        <v/>
      </c>
      <c r="AA53" s="3" t="str">
        <f ca="1">IF($C53&lt;&gt;"",INDEX('Team Indirect'!$F:$F,MATCH($C53,'Team Indirect'!$A:$A,0)),"")</f>
        <v/>
      </c>
      <c r="AB53" s="3" t="str">
        <f t="shared" ca="1" si="0"/>
        <v/>
      </c>
      <c r="AC53" s="3">
        <f ca="1">IF(OR(AllocationUnits="Stories", AllocationUnits="Points"),'Work Indirect'!F53,F53/MAX('Work Indirect'!AB53,1))</f>
        <v>1</v>
      </c>
    </row>
    <row r="54" spans="1:29"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7" t="str">
        <f ca="1">IF(OFFSET('4. Work'!$A$1,ROW(D54)-1,COLUMN(D54)-1)="","",OFFSET('4. Work'!$A$1,ROW(D54)-1,COLUMN(D54)-1))</f>
        <v/>
      </c>
      <c r="E54" s="147"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I54" s="3" t="str">
        <f ca="1">IF(OFFSET('4. Work'!$A$1,ROW(I54)-1,COLUMN(I54)-1)="","",OFFSET('4. Work'!$A$1,ROW(I54)-1,COLUMN(I54)-1))</f>
        <v/>
      </c>
      <c r="T54" s="3" t="str">
        <f ca="1">IF(A54&lt;&gt;"",MAX('Initiative Indirect'!$T:$T)+(ROW(A54)-1),"")</f>
        <v/>
      </c>
      <c r="U54" s="3" t="str">
        <f ca="1">IF(B54&lt;&gt;"",INDEX('Initiative Indirect'!$T:$T,MATCH(B54,'Initiative Indirect'!$A:$A,0)),"")</f>
        <v/>
      </c>
      <c r="V54" s="3" t="str">
        <f ca="1">IF(C54&lt;&gt;"",INDEX('Team Indirect'!$T:$T,MATCH(C54,'Team Indirect'!$A:$A,0)),"")</f>
        <v/>
      </c>
      <c r="W54" s="3"/>
      <c r="X54" s="3"/>
      <c r="Y54" s="3" t="str">
        <f ca="1">IF($C54&lt;&gt;"",INDEX('Team Indirect'!$D:$D,MATCH($C54,'Team Indirect'!$A:$A,0)),"")</f>
        <v/>
      </c>
      <c r="Z54" s="3" t="str">
        <f ca="1">IF($C54&lt;&gt;"",INDEX('Team Indirect'!$E:$E,MATCH($C54,'Team Indirect'!$A:$A,0)),"")</f>
        <v/>
      </c>
      <c r="AA54" s="3" t="str">
        <f ca="1">IF($C54&lt;&gt;"",INDEX('Team Indirect'!$F:$F,MATCH($C54,'Team Indirect'!$A:$A,0)),"")</f>
        <v/>
      </c>
      <c r="AB54" s="3" t="str">
        <f t="shared" ca="1" si="0"/>
        <v/>
      </c>
      <c r="AC54" s="3">
        <f ca="1">IF(OR(AllocationUnits="Stories", AllocationUnits="Points"),'Work Indirect'!F54,F54/MAX('Work Indirect'!AB54,1))</f>
        <v>1</v>
      </c>
    </row>
    <row r="55" spans="1:29"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7" t="str">
        <f ca="1">IF(OFFSET('4. Work'!$A$1,ROW(D55)-1,COLUMN(D55)-1)="","",OFFSET('4. Work'!$A$1,ROW(D55)-1,COLUMN(D55)-1))</f>
        <v/>
      </c>
      <c r="E55" s="147"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I55" s="3" t="str">
        <f ca="1">IF(OFFSET('4. Work'!$A$1,ROW(I55)-1,COLUMN(I55)-1)="","",OFFSET('4. Work'!$A$1,ROW(I55)-1,COLUMN(I55)-1))</f>
        <v/>
      </c>
      <c r="T55" s="3" t="str">
        <f ca="1">IF(A55&lt;&gt;"",MAX('Initiative Indirect'!$T:$T)+(ROW(A55)-1),"")</f>
        <v/>
      </c>
      <c r="U55" s="3" t="str">
        <f ca="1">IF(B55&lt;&gt;"",INDEX('Initiative Indirect'!$T:$T,MATCH(B55,'Initiative Indirect'!$A:$A,0)),"")</f>
        <v/>
      </c>
      <c r="V55" s="3" t="str">
        <f ca="1">IF(C55&lt;&gt;"",INDEX('Team Indirect'!$T:$T,MATCH(C55,'Team Indirect'!$A:$A,0)),"")</f>
        <v/>
      </c>
      <c r="W55" s="3"/>
      <c r="X55" s="3"/>
      <c r="Y55" s="3" t="str">
        <f ca="1">IF($C55&lt;&gt;"",INDEX('Team Indirect'!$D:$D,MATCH($C55,'Team Indirect'!$A:$A,0)),"")</f>
        <v/>
      </c>
      <c r="Z55" s="3" t="str">
        <f ca="1">IF($C55&lt;&gt;"",INDEX('Team Indirect'!$E:$E,MATCH($C55,'Team Indirect'!$A:$A,0)),"")</f>
        <v/>
      </c>
      <c r="AA55" s="3" t="str">
        <f ca="1">IF($C55&lt;&gt;"",INDEX('Team Indirect'!$F:$F,MATCH($C55,'Team Indirect'!$A:$A,0)),"")</f>
        <v/>
      </c>
      <c r="AB55" s="3" t="str">
        <f t="shared" ca="1" si="0"/>
        <v/>
      </c>
      <c r="AC55" s="3">
        <f ca="1">IF(OR(AllocationUnits="Stories", AllocationUnits="Points"),'Work Indirect'!F55,F55/MAX('Work Indirect'!AB55,1))</f>
        <v>1</v>
      </c>
    </row>
    <row r="56" spans="1:29"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7" t="str">
        <f ca="1">IF(OFFSET('4. Work'!$A$1,ROW(D56)-1,COLUMN(D56)-1)="","",OFFSET('4. Work'!$A$1,ROW(D56)-1,COLUMN(D56)-1))</f>
        <v/>
      </c>
      <c r="E56" s="147"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I56" s="3" t="str">
        <f ca="1">IF(OFFSET('4. Work'!$A$1,ROW(I56)-1,COLUMN(I56)-1)="","",OFFSET('4. Work'!$A$1,ROW(I56)-1,COLUMN(I56)-1))</f>
        <v/>
      </c>
      <c r="T56" s="3" t="str">
        <f ca="1">IF(A56&lt;&gt;"",MAX('Initiative Indirect'!$T:$T)+(ROW(A56)-1),"")</f>
        <v/>
      </c>
      <c r="U56" s="3" t="str">
        <f ca="1">IF(B56&lt;&gt;"",INDEX('Initiative Indirect'!$T:$T,MATCH(B56,'Initiative Indirect'!$A:$A,0)),"")</f>
        <v/>
      </c>
      <c r="V56" s="3" t="str">
        <f ca="1">IF(C56&lt;&gt;"",INDEX('Team Indirect'!$T:$T,MATCH(C56,'Team Indirect'!$A:$A,0)),"")</f>
        <v/>
      </c>
      <c r="W56" s="3"/>
      <c r="X56" s="3"/>
      <c r="Y56" s="3" t="str">
        <f ca="1">IF($C56&lt;&gt;"",INDEX('Team Indirect'!$D:$D,MATCH($C56,'Team Indirect'!$A:$A,0)),"")</f>
        <v/>
      </c>
      <c r="Z56" s="3" t="str">
        <f ca="1">IF($C56&lt;&gt;"",INDEX('Team Indirect'!$E:$E,MATCH($C56,'Team Indirect'!$A:$A,0)),"")</f>
        <v/>
      </c>
      <c r="AA56" s="3" t="str">
        <f ca="1">IF($C56&lt;&gt;"",INDEX('Team Indirect'!$F:$F,MATCH($C56,'Team Indirect'!$A:$A,0)),"")</f>
        <v/>
      </c>
      <c r="AB56" s="3" t="str">
        <f t="shared" ca="1" si="0"/>
        <v/>
      </c>
      <c r="AC56" s="3">
        <f ca="1">IF(OR(AllocationUnits="Stories", AllocationUnits="Points"),'Work Indirect'!F56,F56/MAX('Work Indirect'!AB56,1))</f>
        <v>1</v>
      </c>
    </row>
    <row r="57" spans="1:29"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7" t="str">
        <f ca="1">IF(OFFSET('4. Work'!$A$1,ROW(D57)-1,COLUMN(D57)-1)="","",OFFSET('4. Work'!$A$1,ROW(D57)-1,COLUMN(D57)-1))</f>
        <v/>
      </c>
      <c r="E57" s="147"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I57" s="3" t="str">
        <f ca="1">IF(OFFSET('4. Work'!$A$1,ROW(I57)-1,COLUMN(I57)-1)="","",OFFSET('4. Work'!$A$1,ROW(I57)-1,COLUMN(I57)-1))</f>
        <v/>
      </c>
      <c r="T57" s="3" t="str">
        <f ca="1">IF(A57&lt;&gt;"",MAX('Initiative Indirect'!$T:$T)+(ROW(A57)-1),"")</f>
        <v/>
      </c>
      <c r="U57" s="3" t="str">
        <f ca="1">IF(B57&lt;&gt;"",INDEX('Initiative Indirect'!$T:$T,MATCH(B57,'Initiative Indirect'!$A:$A,0)),"")</f>
        <v/>
      </c>
      <c r="V57" s="3" t="str">
        <f ca="1">IF(C57&lt;&gt;"",INDEX('Team Indirect'!$T:$T,MATCH(C57,'Team Indirect'!$A:$A,0)),"")</f>
        <v/>
      </c>
      <c r="W57" s="3"/>
      <c r="X57" s="3"/>
      <c r="Y57" s="3" t="str">
        <f ca="1">IF($C57&lt;&gt;"",INDEX('Team Indirect'!$D:$D,MATCH($C57,'Team Indirect'!$A:$A,0)),"")</f>
        <v/>
      </c>
      <c r="Z57" s="3" t="str">
        <f ca="1">IF($C57&lt;&gt;"",INDEX('Team Indirect'!$E:$E,MATCH($C57,'Team Indirect'!$A:$A,0)),"")</f>
        <v/>
      </c>
      <c r="AA57" s="3" t="str">
        <f ca="1">IF($C57&lt;&gt;"",INDEX('Team Indirect'!$F:$F,MATCH($C57,'Team Indirect'!$A:$A,0)),"")</f>
        <v/>
      </c>
      <c r="AB57" s="3" t="str">
        <f t="shared" ca="1" si="0"/>
        <v/>
      </c>
      <c r="AC57" s="3">
        <f ca="1">IF(OR(AllocationUnits="Stories", AllocationUnits="Points"),'Work Indirect'!F57,F57/MAX('Work Indirect'!AB57,1))</f>
        <v>1</v>
      </c>
    </row>
    <row r="58" spans="1:29"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7" t="str">
        <f ca="1">IF(OFFSET('4. Work'!$A$1,ROW(D58)-1,COLUMN(D58)-1)="","",OFFSET('4. Work'!$A$1,ROW(D58)-1,COLUMN(D58)-1))</f>
        <v/>
      </c>
      <c r="E58" s="147"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I58" s="3" t="str">
        <f ca="1">IF(OFFSET('4. Work'!$A$1,ROW(I58)-1,COLUMN(I58)-1)="","",OFFSET('4. Work'!$A$1,ROW(I58)-1,COLUMN(I58)-1))</f>
        <v/>
      </c>
      <c r="T58" s="3" t="str">
        <f ca="1">IF(A58&lt;&gt;"",MAX('Initiative Indirect'!$T:$T)+(ROW(A58)-1),"")</f>
        <v/>
      </c>
      <c r="U58" s="3" t="str">
        <f ca="1">IF(B58&lt;&gt;"",INDEX('Initiative Indirect'!$T:$T,MATCH(B58,'Initiative Indirect'!$A:$A,0)),"")</f>
        <v/>
      </c>
      <c r="V58" s="3" t="str">
        <f ca="1">IF(C58&lt;&gt;"",INDEX('Team Indirect'!$T:$T,MATCH(C58,'Team Indirect'!$A:$A,0)),"")</f>
        <v/>
      </c>
      <c r="W58" s="3"/>
      <c r="X58" s="3"/>
      <c r="Y58" s="3" t="str">
        <f ca="1">IF($C58&lt;&gt;"",INDEX('Team Indirect'!$D:$D,MATCH($C58,'Team Indirect'!$A:$A,0)),"")</f>
        <v/>
      </c>
      <c r="Z58" s="3" t="str">
        <f ca="1">IF($C58&lt;&gt;"",INDEX('Team Indirect'!$E:$E,MATCH($C58,'Team Indirect'!$A:$A,0)),"")</f>
        <v/>
      </c>
      <c r="AA58" s="3" t="str">
        <f ca="1">IF($C58&lt;&gt;"",INDEX('Team Indirect'!$F:$F,MATCH($C58,'Team Indirect'!$A:$A,0)),"")</f>
        <v/>
      </c>
      <c r="AB58" s="3" t="str">
        <f t="shared" ca="1" si="0"/>
        <v/>
      </c>
      <c r="AC58" s="3">
        <f ca="1">IF(OR(AllocationUnits="Stories", AllocationUnits="Points"),'Work Indirect'!F58,F58/MAX('Work Indirect'!AB58,1))</f>
        <v>1</v>
      </c>
    </row>
    <row r="59" spans="1:29"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7" t="str">
        <f ca="1">IF(OFFSET('4. Work'!$A$1,ROW(D59)-1,COLUMN(D59)-1)="","",OFFSET('4. Work'!$A$1,ROW(D59)-1,COLUMN(D59)-1))</f>
        <v/>
      </c>
      <c r="E59" s="147"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I59" s="3" t="str">
        <f ca="1">IF(OFFSET('4. Work'!$A$1,ROW(I59)-1,COLUMN(I59)-1)="","",OFFSET('4. Work'!$A$1,ROW(I59)-1,COLUMN(I59)-1))</f>
        <v/>
      </c>
      <c r="T59" s="3" t="str">
        <f ca="1">IF(A59&lt;&gt;"",MAX('Initiative Indirect'!$T:$T)+(ROW(A59)-1),"")</f>
        <v/>
      </c>
      <c r="U59" s="3" t="str">
        <f ca="1">IF(B59&lt;&gt;"",INDEX('Initiative Indirect'!$T:$T,MATCH(B59,'Initiative Indirect'!$A:$A,0)),"")</f>
        <v/>
      </c>
      <c r="V59" s="3" t="str">
        <f ca="1">IF(C59&lt;&gt;"",INDEX('Team Indirect'!$T:$T,MATCH(C59,'Team Indirect'!$A:$A,0)),"")</f>
        <v/>
      </c>
      <c r="W59" s="3"/>
      <c r="X59" s="3"/>
      <c r="Y59" s="3" t="str">
        <f ca="1">IF($C59&lt;&gt;"",INDEX('Team Indirect'!$D:$D,MATCH($C59,'Team Indirect'!$A:$A,0)),"")</f>
        <v/>
      </c>
      <c r="Z59" s="3" t="str">
        <f ca="1">IF($C59&lt;&gt;"",INDEX('Team Indirect'!$E:$E,MATCH($C59,'Team Indirect'!$A:$A,0)),"")</f>
        <v/>
      </c>
      <c r="AA59" s="3" t="str">
        <f ca="1">IF($C59&lt;&gt;"",INDEX('Team Indirect'!$F:$F,MATCH($C59,'Team Indirect'!$A:$A,0)),"")</f>
        <v/>
      </c>
      <c r="AB59" s="3" t="str">
        <f t="shared" ca="1" si="0"/>
        <v/>
      </c>
      <c r="AC59" s="3">
        <f ca="1">IF(OR(AllocationUnits="Stories", AllocationUnits="Points"),'Work Indirect'!F59,F59/MAX('Work Indirect'!AB59,1))</f>
        <v>1</v>
      </c>
    </row>
    <row r="60" spans="1:29"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7" t="str">
        <f ca="1">IF(OFFSET('4. Work'!$A$1,ROW(D60)-1,COLUMN(D60)-1)="","",OFFSET('4. Work'!$A$1,ROW(D60)-1,COLUMN(D60)-1))</f>
        <v/>
      </c>
      <c r="E60" s="147"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I60" s="3" t="str">
        <f ca="1">IF(OFFSET('4. Work'!$A$1,ROW(I60)-1,COLUMN(I60)-1)="","",OFFSET('4. Work'!$A$1,ROW(I60)-1,COLUMN(I60)-1))</f>
        <v/>
      </c>
      <c r="T60" s="3" t="str">
        <f ca="1">IF(A60&lt;&gt;"",MAX('Initiative Indirect'!$T:$T)+(ROW(A60)-1),"")</f>
        <v/>
      </c>
      <c r="U60" s="3" t="str">
        <f ca="1">IF(B60&lt;&gt;"",INDEX('Initiative Indirect'!$T:$T,MATCH(B60,'Initiative Indirect'!$A:$A,0)),"")</f>
        <v/>
      </c>
      <c r="V60" s="3" t="str">
        <f ca="1">IF(C60&lt;&gt;"",INDEX('Team Indirect'!$T:$T,MATCH(C60,'Team Indirect'!$A:$A,0)),"")</f>
        <v/>
      </c>
      <c r="W60" s="3"/>
      <c r="X60" s="3"/>
      <c r="Y60" s="3" t="str">
        <f ca="1">IF($C60&lt;&gt;"",INDEX('Team Indirect'!$D:$D,MATCH($C60,'Team Indirect'!$A:$A,0)),"")</f>
        <v/>
      </c>
      <c r="Z60" s="3" t="str">
        <f ca="1">IF($C60&lt;&gt;"",INDEX('Team Indirect'!$E:$E,MATCH($C60,'Team Indirect'!$A:$A,0)),"")</f>
        <v/>
      </c>
      <c r="AA60" s="3" t="str">
        <f ca="1">IF($C60&lt;&gt;"",INDEX('Team Indirect'!$F:$F,MATCH($C60,'Team Indirect'!$A:$A,0)),"")</f>
        <v/>
      </c>
      <c r="AB60" s="3" t="str">
        <f t="shared" ca="1" si="0"/>
        <v/>
      </c>
      <c r="AC60" s="3">
        <f ca="1">IF(OR(AllocationUnits="Stories", AllocationUnits="Points"),'Work Indirect'!F60,F60/MAX('Work Indirect'!AB60,1))</f>
        <v>1</v>
      </c>
    </row>
    <row r="61" spans="1:29"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7" t="str">
        <f ca="1">IF(OFFSET('4. Work'!$A$1,ROW(D61)-1,COLUMN(D61)-1)="","",OFFSET('4. Work'!$A$1,ROW(D61)-1,COLUMN(D61)-1))</f>
        <v/>
      </c>
      <c r="E61" s="147"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I61" s="3" t="str">
        <f ca="1">IF(OFFSET('4. Work'!$A$1,ROW(I61)-1,COLUMN(I61)-1)="","",OFFSET('4. Work'!$A$1,ROW(I61)-1,COLUMN(I61)-1))</f>
        <v/>
      </c>
      <c r="T61" s="3" t="str">
        <f ca="1">IF(A61&lt;&gt;"",MAX('Initiative Indirect'!$T:$T)+(ROW(A61)-1),"")</f>
        <v/>
      </c>
      <c r="U61" s="3" t="str">
        <f ca="1">IF(B61&lt;&gt;"",INDEX('Initiative Indirect'!$T:$T,MATCH(B61,'Initiative Indirect'!$A:$A,0)),"")</f>
        <v/>
      </c>
      <c r="V61" s="3" t="str">
        <f ca="1">IF(C61&lt;&gt;"",INDEX('Team Indirect'!$T:$T,MATCH(C61,'Team Indirect'!$A:$A,0)),"")</f>
        <v/>
      </c>
      <c r="W61" s="3"/>
      <c r="X61" s="3"/>
      <c r="Y61" s="3" t="str">
        <f ca="1">IF($C61&lt;&gt;"",INDEX('Team Indirect'!$D:$D,MATCH($C61,'Team Indirect'!$A:$A,0)),"")</f>
        <v/>
      </c>
      <c r="Z61" s="3" t="str">
        <f ca="1">IF($C61&lt;&gt;"",INDEX('Team Indirect'!$E:$E,MATCH($C61,'Team Indirect'!$A:$A,0)),"")</f>
        <v/>
      </c>
      <c r="AA61" s="3" t="str">
        <f ca="1">IF($C61&lt;&gt;"",INDEX('Team Indirect'!$F:$F,MATCH($C61,'Team Indirect'!$A:$A,0)),"")</f>
        <v/>
      </c>
      <c r="AB61" s="3" t="str">
        <f t="shared" ca="1" si="0"/>
        <v/>
      </c>
      <c r="AC61" s="3">
        <f ca="1">IF(OR(AllocationUnits="Stories", AllocationUnits="Points"),'Work Indirect'!F61,F61/MAX('Work Indirect'!AB61,1))</f>
        <v>1</v>
      </c>
    </row>
    <row r="62" spans="1:29"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7" t="str">
        <f ca="1">IF(OFFSET('4. Work'!$A$1,ROW(D62)-1,COLUMN(D62)-1)="","",OFFSET('4. Work'!$A$1,ROW(D62)-1,COLUMN(D62)-1))</f>
        <v/>
      </c>
      <c r="E62" s="147"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I62" s="3" t="str">
        <f ca="1">IF(OFFSET('4. Work'!$A$1,ROW(I62)-1,COLUMN(I62)-1)="","",OFFSET('4. Work'!$A$1,ROW(I62)-1,COLUMN(I62)-1))</f>
        <v/>
      </c>
      <c r="T62" s="3" t="str">
        <f ca="1">IF(A62&lt;&gt;"",MAX('Initiative Indirect'!$T:$T)+(ROW(A62)-1),"")</f>
        <v/>
      </c>
      <c r="U62" s="3" t="str">
        <f ca="1">IF(B62&lt;&gt;"",INDEX('Initiative Indirect'!$T:$T,MATCH(B62,'Initiative Indirect'!$A:$A,0)),"")</f>
        <v/>
      </c>
      <c r="V62" s="3" t="str">
        <f ca="1">IF(C62&lt;&gt;"",INDEX('Team Indirect'!$T:$T,MATCH(C62,'Team Indirect'!$A:$A,0)),"")</f>
        <v/>
      </c>
      <c r="W62" s="3"/>
      <c r="X62" s="3"/>
      <c r="Y62" s="3" t="str">
        <f ca="1">IF($C62&lt;&gt;"",INDEX('Team Indirect'!$D:$D,MATCH($C62,'Team Indirect'!$A:$A,0)),"")</f>
        <v/>
      </c>
      <c r="Z62" s="3" t="str">
        <f ca="1">IF($C62&lt;&gt;"",INDEX('Team Indirect'!$E:$E,MATCH($C62,'Team Indirect'!$A:$A,0)),"")</f>
        <v/>
      </c>
      <c r="AA62" s="3" t="str">
        <f ca="1">IF($C62&lt;&gt;"",INDEX('Team Indirect'!$F:$F,MATCH($C62,'Team Indirect'!$A:$A,0)),"")</f>
        <v/>
      </c>
      <c r="AB62" s="3" t="str">
        <f t="shared" ca="1" si="0"/>
        <v/>
      </c>
      <c r="AC62" s="3">
        <f ca="1">IF(OR(AllocationUnits="Stories", AllocationUnits="Points"),'Work Indirect'!F62,F62/MAX('Work Indirect'!AB62,1))</f>
        <v>1</v>
      </c>
    </row>
    <row r="63" spans="1:29"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7" t="str">
        <f ca="1">IF(OFFSET('4. Work'!$A$1,ROW(D63)-1,COLUMN(D63)-1)="","",OFFSET('4. Work'!$A$1,ROW(D63)-1,COLUMN(D63)-1))</f>
        <v/>
      </c>
      <c r="E63" s="147"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I63" s="3" t="str">
        <f ca="1">IF(OFFSET('4. Work'!$A$1,ROW(I63)-1,COLUMN(I63)-1)="","",OFFSET('4. Work'!$A$1,ROW(I63)-1,COLUMN(I63)-1))</f>
        <v/>
      </c>
      <c r="T63" s="3" t="str">
        <f ca="1">IF(A63&lt;&gt;"",MAX('Initiative Indirect'!$T:$T)+(ROW(A63)-1),"")</f>
        <v/>
      </c>
      <c r="U63" s="3" t="str">
        <f ca="1">IF(B63&lt;&gt;"",INDEX('Initiative Indirect'!$T:$T,MATCH(B63,'Initiative Indirect'!$A:$A,0)),"")</f>
        <v/>
      </c>
      <c r="V63" s="3" t="str">
        <f ca="1">IF(C63&lt;&gt;"",INDEX('Team Indirect'!$T:$T,MATCH(C63,'Team Indirect'!$A:$A,0)),"")</f>
        <v/>
      </c>
      <c r="W63" s="3"/>
      <c r="X63" s="3"/>
      <c r="Y63" s="3" t="str">
        <f ca="1">IF($C63&lt;&gt;"",INDEX('Team Indirect'!$D:$D,MATCH($C63,'Team Indirect'!$A:$A,0)),"")</f>
        <v/>
      </c>
      <c r="Z63" s="3" t="str">
        <f ca="1">IF($C63&lt;&gt;"",INDEX('Team Indirect'!$E:$E,MATCH($C63,'Team Indirect'!$A:$A,0)),"")</f>
        <v/>
      </c>
      <c r="AA63" s="3" t="str">
        <f ca="1">IF($C63&lt;&gt;"",INDEX('Team Indirect'!$F:$F,MATCH($C63,'Team Indirect'!$A:$A,0)),"")</f>
        <v/>
      </c>
      <c r="AB63" s="3" t="str">
        <f t="shared" ca="1" si="0"/>
        <v/>
      </c>
      <c r="AC63" s="3">
        <f ca="1">IF(OR(AllocationUnits="Stories", AllocationUnits="Points"),'Work Indirect'!F63,F63/MAX('Work Indirect'!AB63,1))</f>
        <v>1</v>
      </c>
    </row>
    <row r="64" spans="1:29"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7" t="str">
        <f ca="1">IF(OFFSET('4. Work'!$A$1,ROW(D64)-1,COLUMN(D64)-1)="","",OFFSET('4. Work'!$A$1,ROW(D64)-1,COLUMN(D64)-1))</f>
        <v/>
      </c>
      <c r="E64" s="147"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I64" s="3" t="str">
        <f ca="1">IF(OFFSET('4. Work'!$A$1,ROW(I64)-1,COLUMN(I64)-1)="","",OFFSET('4. Work'!$A$1,ROW(I64)-1,COLUMN(I64)-1))</f>
        <v/>
      </c>
      <c r="T64" s="3" t="str">
        <f ca="1">IF(A64&lt;&gt;"",MAX('Initiative Indirect'!$T:$T)+(ROW(A64)-1),"")</f>
        <v/>
      </c>
      <c r="U64" s="3" t="str">
        <f ca="1">IF(B64&lt;&gt;"",INDEX('Initiative Indirect'!$T:$T,MATCH(B64,'Initiative Indirect'!$A:$A,0)),"")</f>
        <v/>
      </c>
      <c r="V64" s="3" t="str">
        <f ca="1">IF(C64&lt;&gt;"",INDEX('Team Indirect'!$T:$T,MATCH(C64,'Team Indirect'!$A:$A,0)),"")</f>
        <v/>
      </c>
      <c r="W64" s="3"/>
      <c r="X64" s="3"/>
      <c r="Y64" s="3" t="str">
        <f ca="1">IF($C64&lt;&gt;"",INDEX('Team Indirect'!$D:$D,MATCH($C64,'Team Indirect'!$A:$A,0)),"")</f>
        <v/>
      </c>
      <c r="Z64" s="3" t="str">
        <f ca="1">IF($C64&lt;&gt;"",INDEX('Team Indirect'!$E:$E,MATCH($C64,'Team Indirect'!$A:$A,0)),"")</f>
        <v/>
      </c>
      <c r="AA64" s="3" t="str">
        <f ca="1">IF($C64&lt;&gt;"",INDEX('Team Indirect'!$F:$F,MATCH($C64,'Team Indirect'!$A:$A,0)),"")</f>
        <v/>
      </c>
      <c r="AB64" s="3" t="str">
        <f t="shared" ca="1" si="0"/>
        <v/>
      </c>
      <c r="AC64" s="3">
        <f ca="1">IF(OR(AllocationUnits="Stories", AllocationUnits="Points"),'Work Indirect'!F64,F64/MAX('Work Indirect'!AB64,1))</f>
        <v>1</v>
      </c>
    </row>
    <row r="65" spans="1:29"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7" t="str">
        <f ca="1">IF(OFFSET('4. Work'!$A$1,ROW(D65)-1,COLUMN(D65)-1)="","",OFFSET('4. Work'!$A$1,ROW(D65)-1,COLUMN(D65)-1))</f>
        <v/>
      </c>
      <c r="E65" s="147"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I65" s="3" t="str">
        <f ca="1">IF(OFFSET('4. Work'!$A$1,ROW(I65)-1,COLUMN(I65)-1)="","",OFFSET('4. Work'!$A$1,ROW(I65)-1,COLUMN(I65)-1))</f>
        <v/>
      </c>
      <c r="T65" s="3" t="str">
        <f ca="1">IF(A65&lt;&gt;"",MAX('Initiative Indirect'!$T:$T)+(ROW(A65)-1),"")</f>
        <v/>
      </c>
      <c r="U65" s="3" t="str">
        <f ca="1">IF(B65&lt;&gt;"",INDEX('Initiative Indirect'!$T:$T,MATCH(B65,'Initiative Indirect'!$A:$A,0)),"")</f>
        <v/>
      </c>
      <c r="V65" s="3" t="str">
        <f ca="1">IF(C65&lt;&gt;"",INDEX('Team Indirect'!$T:$T,MATCH(C65,'Team Indirect'!$A:$A,0)),"")</f>
        <v/>
      </c>
      <c r="W65" s="3"/>
      <c r="X65" s="3"/>
      <c r="Y65" s="3" t="str">
        <f ca="1">IF($C65&lt;&gt;"",INDEX('Team Indirect'!$D:$D,MATCH($C65,'Team Indirect'!$A:$A,0)),"")</f>
        <v/>
      </c>
      <c r="Z65" s="3" t="str">
        <f ca="1">IF($C65&lt;&gt;"",INDEX('Team Indirect'!$E:$E,MATCH($C65,'Team Indirect'!$A:$A,0)),"")</f>
        <v/>
      </c>
      <c r="AA65" s="3" t="str">
        <f ca="1">IF($C65&lt;&gt;"",INDEX('Team Indirect'!$F:$F,MATCH($C65,'Team Indirect'!$A:$A,0)),"")</f>
        <v/>
      </c>
      <c r="AB65" s="3" t="str">
        <f t="shared" ca="1" si="0"/>
        <v/>
      </c>
      <c r="AC65" s="3">
        <f ca="1">IF(OR(AllocationUnits="Stories", AllocationUnits="Points"),'Work Indirect'!F65,F65/MAX('Work Indirect'!AB65,1))</f>
        <v>1</v>
      </c>
    </row>
    <row r="66" spans="1:29"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7" t="str">
        <f ca="1">IF(OFFSET('4. Work'!$A$1,ROW(D66)-1,COLUMN(D66)-1)="","",OFFSET('4. Work'!$A$1,ROW(D66)-1,COLUMN(D66)-1))</f>
        <v/>
      </c>
      <c r="E66" s="147"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I66" s="3" t="str">
        <f ca="1">IF(OFFSET('4. Work'!$A$1,ROW(I66)-1,COLUMN(I66)-1)="","",OFFSET('4. Work'!$A$1,ROW(I66)-1,COLUMN(I66)-1))</f>
        <v/>
      </c>
      <c r="T66" s="3" t="str">
        <f ca="1">IF(A66&lt;&gt;"",MAX('Initiative Indirect'!$T:$T)+(ROW(A66)-1),"")</f>
        <v/>
      </c>
      <c r="U66" s="3" t="str">
        <f ca="1">IF(B66&lt;&gt;"",INDEX('Initiative Indirect'!$T:$T,MATCH(B66,'Initiative Indirect'!$A:$A,0)),"")</f>
        <v/>
      </c>
      <c r="V66" s="3" t="str">
        <f ca="1">IF(C66&lt;&gt;"",INDEX('Team Indirect'!$T:$T,MATCH(C66,'Team Indirect'!$A:$A,0)),"")</f>
        <v/>
      </c>
      <c r="W66" s="3"/>
      <c r="X66" s="3"/>
      <c r="Y66" s="3" t="str">
        <f ca="1">IF($C66&lt;&gt;"",INDEX('Team Indirect'!$D:$D,MATCH($C66,'Team Indirect'!$A:$A,0)),"")</f>
        <v/>
      </c>
      <c r="Z66" s="3" t="str">
        <f ca="1">IF($C66&lt;&gt;"",INDEX('Team Indirect'!$E:$E,MATCH($C66,'Team Indirect'!$A:$A,0)),"")</f>
        <v/>
      </c>
      <c r="AA66" s="3" t="str">
        <f ca="1">IF($C66&lt;&gt;"",INDEX('Team Indirect'!$F:$F,MATCH($C66,'Team Indirect'!$A:$A,0)),"")</f>
        <v/>
      </c>
      <c r="AB66" s="3" t="str">
        <f t="shared" ref="AB66:AB129" ca="1" si="1">IF(AND(Y66&lt;&gt;"",Z66&lt;&gt;""),Y66+((Z66-Y66)*(1-MAX(0,AA66))*(1-Probability)),"")</f>
        <v/>
      </c>
      <c r="AC66" s="3">
        <f ca="1">IF(OR(AllocationUnits="Stories", AllocationUnits="Points"),'Work Indirect'!F66,F66/MAX('Work Indirect'!AB66,1))</f>
        <v>1</v>
      </c>
    </row>
    <row r="67" spans="1:29"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7" t="str">
        <f ca="1">IF(OFFSET('4. Work'!$A$1,ROW(D67)-1,COLUMN(D67)-1)="","",OFFSET('4. Work'!$A$1,ROW(D67)-1,COLUMN(D67)-1))</f>
        <v/>
      </c>
      <c r="E67" s="147"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I67" s="3" t="str">
        <f ca="1">IF(OFFSET('4. Work'!$A$1,ROW(I67)-1,COLUMN(I67)-1)="","",OFFSET('4. Work'!$A$1,ROW(I67)-1,COLUMN(I67)-1))</f>
        <v/>
      </c>
      <c r="T67" s="3" t="str">
        <f ca="1">IF(A67&lt;&gt;"",MAX('Initiative Indirect'!$T:$T)+(ROW(A67)-1),"")</f>
        <v/>
      </c>
      <c r="U67" s="3" t="str">
        <f ca="1">IF(B67&lt;&gt;"",INDEX('Initiative Indirect'!$T:$T,MATCH(B67,'Initiative Indirect'!$A:$A,0)),"")</f>
        <v/>
      </c>
      <c r="V67" s="3" t="str">
        <f ca="1">IF(C67&lt;&gt;"",INDEX('Team Indirect'!$T:$T,MATCH(C67,'Team Indirect'!$A:$A,0)),"")</f>
        <v/>
      </c>
      <c r="W67" s="3"/>
      <c r="X67" s="3"/>
      <c r="Y67" s="3" t="str">
        <f ca="1">IF($C67&lt;&gt;"",INDEX('Team Indirect'!$D:$D,MATCH($C67,'Team Indirect'!$A:$A,0)),"")</f>
        <v/>
      </c>
      <c r="Z67" s="3" t="str">
        <f ca="1">IF($C67&lt;&gt;"",INDEX('Team Indirect'!$E:$E,MATCH($C67,'Team Indirect'!$A:$A,0)),"")</f>
        <v/>
      </c>
      <c r="AA67" s="3" t="str">
        <f ca="1">IF($C67&lt;&gt;"",INDEX('Team Indirect'!$F:$F,MATCH($C67,'Team Indirect'!$A:$A,0)),"")</f>
        <v/>
      </c>
      <c r="AB67" s="3" t="str">
        <f t="shared" ca="1" si="1"/>
        <v/>
      </c>
      <c r="AC67" s="3">
        <f ca="1">IF(OR(AllocationUnits="Stories", AllocationUnits="Points"),'Work Indirect'!F67,F67/MAX('Work Indirect'!AB67,1))</f>
        <v>1</v>
      </c>
    </row>
    <row r="68" spans="1:29"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7" t="str">
        <f ca="1">IF(OFFSET('4. Work'!$A$1,ROW(D68)-1,COLUMN(D68)-1)="","",OFFSET('4. Work'!$A$1,ROW(D68)-1,COLUMN(D68)-1))</f>
        <v/>
      </c>
      <c r="E68" s="147"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I68" s="3" t="str">
        <f ca="1">IF(OFFSET('4. Work'!$A$1,ROW(I68)-1,COLUMN(I68)-1)="","",OFFSET('4. Work'!$A$1,ROW(I68)-1,COLUMN(I68)-1))</f>
        <v/>
      </c>
      <c r="T68" s="3" t="str">
        <f ca="1">IF(A68&lt;&gt;"",MAX('Initiative Indirect'!$T:$T)+(ROW(A68)-1),"")</f>
        <v/>
      </c>
      <c r="U68" s="3" t="str">
        <f ca="1">IF(B68&lt;&gt;"",INDEX('Initiative Indirect'!$T:$T,MATCH(B68,'Initiative Indirect'!$A:$A,0)),"")</f>
        <v/>
      </c>
      <c r="V68" s="3" t="str">
        <f ca="1">IF(C68&lt;&gt;"",INDEX('Team Indirect'!$T:$T,MATCH(C68,'Team Indirect'!$A:$A,0)),"")</f>
        <v/>
      </c>
      <c r="W68" s="3"/>
      <c r="X68" s="3"/>
      <c r="Y68" s="3" t="str">
        <f ca="1">IF($C68&lt;&gt;"",INDEX('Team Indirect'!$D:$D,MATCH($C68,'Team Indirect'!$A:$A,0)),"")</f>
        <v/>
      </c>
      <c r="Z68" s="3" t="str">
        <f ca="1">IF($C68&lt;&gt;"",INDEX('Team Indirect'!$E:$E,MATCH($C68,'Team Indirect'!$A:$A,0)),"")</f>
        <v/>
      </c>
      <c r="AA68" s="3" t="str">
        <f ca="1">IF($C68&lt;&gt;"",INDEX('Team Indirect'!$F:$F,MATCH($C68,'Team Indirect'!$A:$A,0)),"")</f>
        <v/>
      </c>
      <c r="AB68" s="3" t="str">
        <f t="shared" ca="1" si="1"/>
        <v/>
      </c>
      <c r="AC68" s="3">
        <f ca="1">IF(OR(AllocationUnits="Stories", AllocationUnits="Points"),'Work Indirect'!F68,F68/MAX('Work Indirect'!AB68,1))</f>
        <v>1</v>
      </c>
    </row>
    <row r="69" spans="1:29"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7" t="str">
        <f ca="1">IF(OFFSET('4. Work'!$A$1,ROW(D69)-1,COLUMN(D69)-1)="","",OFFSET('4. Work'!$A$1,ROW(D69)-1,COLUMN(D69)-1))</f>
        <v/>
      </c>
      <c r="E69" s="147"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I69" s="3" t="str">
        <f ca="1">IF(OFFSET('4. Work'!$A$1,ROW(I69)-1,COLUMN(I69)-1)="","",OFFSET('4. Work'!$A$1,ROW(I69)-1,COLUMN(I69)-1))</f>
        <v/>
      </c>
      <c r="T69" s="3" t="str">
        <f ca="1">IF(A69&lt;&gt;"",MAX('Initiative Indirect'!$T:$T)+(ROW(A69)-1),"")</f>
        <v/>
      </c>
      <c r="U69" s="3" t="str">
        <f ca="1">IF(B69&lt;&gt;"",INDEX('Initiative Indirect'!$T:$T,MATCH(B69,'Initiative Indirect'!$A:$A,0)),"")</f>
        <v/>
      </c>
      <c r="V69" s="3" t="str">
        <f ca="1">IF(C69&lt;&gt;"",INDEX('Team Indirect'!$T:$T,MATCH(C69,'Team Indirect'!$A:$A,0)),"")</f>
        <v/>
      </c>
      <c r="W69" s="3"/>
      <c r="X69" s="3"/>
      <c r="Y69" s="3" t="str">
        <f ca="1">IF($C69&lt;&gt;"",INDEX('Team Indirect'!$D:$D,MATCH($C69,'Team Indirect'!$A:$A,0)),"")</f>
        <v/>
      </c>
      <c r="Z69" s="3" t="str">
        <f ca="1">IF($C69&lt;&gt;"",INDEX('Team Indirect'!$E:$E,MATCH($C69,'Team Indirect'!$A:$A,0)),"")</f>
        <v/>
      </c>
      <c r="AA69" s="3" t="str">
        <f ca="1">IF($C69&lt;&gt;"",INDEX('Team Indirect'!$F:$F,MATCH($C69,'Team Indirect'!$A:$A,0)),"")</f>
        <v/>
      </c>
      <c r="AB69" s="3" t="str">
        <f t="shared" ca="1" si="1"/>
        <v/>
      </c>
      <c r="AC69" s="3">
        <f ca="1">IF(OR(AllocationUnits="Stories", AllocationUnits="Points"),'Work Indirect'!F69,F69/MAX('Work Indirect'!AB69,1))</f>
        <v>1</v>
      </c>
    </row>
    <row r="70" spans="1:29"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7" t="str">
        <f ca="1">IF(OFFSET('4. Work'!$A$1,ROW(D70)-1,COLUMN(D70)-1)="","",OFFSET('4. Work'!$A$1,ROW(D70)-1,COLUMN(D70)-1))</f>
        <v/>
      </c>
      <c r="E70" s="147"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I70" s="3" t="str">
        <f ca="1">IF(OFFSET('4. Work'!$A$1,ROW(I70)-1,COLUMN(I70)-1)="","",OFFSET('4. Work'!$A$1,ROW(I70)-1,COLUMN(I70)-1))</f>
        <v/>
      </c>
      <c r="T70" s="3" t="str">
        <f ca="1">IF(A70&lt;&gt;"",MAX('Initiative Indirect'!$T:$T)+(ROW(A70)-1),"")</f>
        <v/>
      </c>
      <c r="U70" s="3" t="str">
        <f ca="1">IF(B70&lt;&gt;"",INDEX('Initiative Indirect'!$T:$T,MATCH(B70,'Initiative Indirect'!$A:$A,0)),"")</f>
        <v/>
      </c>
      <c r="V70" s="3" t="str">
        <f ca="1">IF(C70&lt;&gt;"",INDEX('Team Indirect'!$T:$T,MATCH(C70,'Team Indirect'!$A:$A,0)),"")</f>
        <v/>
      </c>
      <c r="W70" s="3"/>
      <c r="X70" s="3"/>
      <c r="Y70" s="3" t="str">
        <f ca="1">IF($C70&lt;&gt;"",INDEX('Team Indirect'!$D:$D,MATCH($C70,'Team Indirect'!$A:$A,0)),"")</f>
        <v/>
      </c>
      <c r="Z70" s="3" t="str">
        <f ca="1">IF($C70&lt;&gt;"",INDEX('Team Indirect'!$E:$E,MATCH($C70,'Team Indirect'!$A:$A,0)),"")</f>
        <v/>
      </c>
      <c r="AA70" s="3" t="str">
        <f ca="1">IF($C70&lt;&gt;"",INDEX('Team Indirect'!$F:$F,MATCH($C70,'Team Indirect'!$A:$A,0)),"")</f>
        <v/>
      </c>
      <c r="AB70" s="3" t="str">
        <f t="shared" ca="1" si="1"/>
        <v/>
      </c>
      <c r="AC70" s="3">
        <f ca="1">IF(OR(AllocationUnits="Stories", AllocationUnits="Points"),'Work Indirect'!F70,F70/MAX('Work Indirect'!AB70,1))</f>
        <v>1</v>
      </c>
    </row>
    <row r="71" spans="1:29"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7" t="str">
        <f ca="1">IF(OFFSET('4. Work'!$A$1,ROW(D71)-1,COLUMN(D71)-1)="","",OFFSET('4. Work'!$A$1,ROW(D71)-1,COLUMN(D71)-1))</f>
        <v/>
      </c>
      <c r="E71" s="147"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I71" s="3" t="str">
        <f ca="1">IF(OFFSET('4. Work'!$A$1,ROW(I71)-1,COLUMN(I71)-1)="","",OFFSET('4. Work'!$A$1,ROW(I71)-1,COLUMN(I71)-1))</f>
        <v/>
      </c>
      <c r="T71" s="3" t="str">
        <f ca="1">IF(A71&lt;&gt;"",MAX('Initiative Indirect'!$T:$T)+(ROW(A71)-1),"")</f>
        <v/>
      </c>
      <c r="U71" s="3" t="str">
        <f ca="1">IF(B71&lt;&gt;"",INDEX('Initiative Indirect'!$T:$T,MATCH(B71,'Initiative Indirect'!$A:$A,0)),"")</f>
        <v/>
      </c>
      <c r="V71" s="3" t="str">
        <f ca="1">IF(C71&lt;&gt;"",INDEX('Team Indirect'!$T:$T,MATCH(C71,'Team Indirect'!$A:$A,0)),"")</f>
        <v/>
      </c>
      <c r="W71" s="3"/>
      <c r="X71" s="3"/>
      <c r="Y71" s="3" t="str">
        <f ca="1">IF($C71&lt;&gt;"",INDEX('Team Indirect'!$D:$D,MATCH($C71,'Team Indirect'!$A:$A,0)),"")</f>
        <v/>
      </c>
      <c r="Z71" s="3" t="str">
        <f ca="1">IF($C71&lt;&gt;"",INDEX('Team Indirect'!$E:$E,MATCH($C71,'Team Indirect'!$A:$A,0)),"")</f>
        <v/>
      </c>
      <c r="AA71" s="3" t="str">
        <f ca="1">IF($C71&lt;&gt;"",INDEX('Team Indirect'!$F:$F,MATCH($C71,'Team Indirect'!$A:$A,0)),"")</f>
        <v/>
      </c>
      <c r="AB71" s="3" t="str">
        <f t="shared" ca="1" si="1"/>
        <v/>
      </c>
      <c r="AC71" s="3">
        <f ca="1">IF(OR(AllocationUnits="Stories", AllocationUnits="Points"),'Work Indirect'!F71,F71/MAX('Work Indirect'!AB71,1))</f>
        <v>1</v>
      </c>
    </row>
    <row r="72" spans="1:29"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7" t="str">
        <f ca="1">IF(OFFSET('4. Work'!$A$1,ROW(D72)-1,COLUMN(D72)-1)="","",OFFSET('4. Work'!$A$1,ROW(D72)-1,COLUMN(D72)-1))</f>
        <v/>
      </c>
      <c r="E72" s="147"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I72" s="3" t="str">
        <f ca="1">IF(OFFSET('4. Work'!$A$1,ROW(I72)-1,COLUMN(I72)-1)="","",OFFSET('4. Work'!$A$1,ROW(I72)-1,COLUMN(I72)-1))</f>
        <v/>
      </c>
      <c r="T72" s="3" t="str">
        <f ca="1">IF(A72&lt;&gt;"",MAX('Initiative Indirect'!$T:$T)+(ROW(A72)-1),"")</f>
        <v/>
      </c>
      <c r="U72" s="3" t="str">
        <f ca="1">IF(B72&lt;&gt;"",INDEX('Initiative Indirect'!$T:$T,MATCH(B72,'Initiative Indirect'!$A:$A,0)),"")</f>
        <v/>
      </c>
      <c r="V72" s="3" t="str">
        <f ca="1">IF(C72&lt;&gt;"",INDEX('Team Indirect'!$T:$T,MATCH(C72,'Team Indirect'!$A:$A,0)),"")</f>
        <v/>
      </c>
      <c r="W72" s="3"/>
      <c r="X72" s="3"/>
      <c r="Y72" s="3" t="str">
        <f ca="1">IF($C72&lt;&gt;"",INDEX('Team Indirect'!$D:$D,MATCH($C72,'Team Indirect'!$A:$A,0)),"")</f>
        <v/>
      </c>
      <c r="Z72" s="3" t="str">
        <f ca="1">IF($C72&lt;&gt;"",INDEX('Team Indirect'!$E:$E,MATCH($C72,'Team Indirect'!$A:$A,0)),"")</f>
        <v/>
      </c>
      <c r="AA72" s="3" t="str">
        <f ca="1">IF($C72&lt;&gt;"",INDEX('Team Indirect'!$F:$F,MATCH($C72,'Team Indirect'!$A:$A,0)),"")</f>
        <v/>
      </c>
      <c r="AB72" s="3" t="str">
        <f t="shared" ca="1" si="1"/>
        <v/>
      </c>
      <c r="AC72" s="3">
        <f ca="1">IF(OR(AllocationUnits="Stories", AllocationUnits="Points"),'Work Indirect'!F72,F72/MAX('Work Indirect'!AB72,1))</f>
        <v>1</v>
      </c>
    </row>
    <row r="73" spans="1:29"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7" t="str">
        <f ca="1">IF(OFFSET('4. Work'!$A$1,ROW(D73)-1,COLUMN(D73)-1)="","",OFFSET('4. Work'!$A$1,ROW(D73)-1,COLUMN(D73)-1))</f>
        <v/>
      </c>
      <c r="E73" s="147"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I73" s="3" t="str">
        <f ca="1">IF(OFFSET('4. Work'!$A$1,ROW(I73)-1,COLUMN(I73)-1)="","",OFFSET('4. Work'!$A$1,ROW(I73)-1,COLUMN(I73)-1))</f>
        <v/>
      </c>
      <c r="T73" s="3" t="str">
        <f ca="1">IF(A73&lt;&gt;"",MAX('Initiative Indirect'!$T:$T)+(ROW(A73)-1),"")</f>
        <v/>
      </c>
      <c r="U73" s="3" t="str">
        <f ca="1">IF(B73&lt;&gt;"",INDEX('Initiative Indirect'!$T:$T,MATCH(B73,'Initiative Indirect'!$A:$A,0)),"")</f>
        <v/>
      </c>
      <c r="V73" s="3" t="str">
        <f ca="1">IF(C73&lt;&gt;"",INDEX('Team Indirect'!$T:$T,MATCH(C73,'Team Indirect'!$A:$A,0)),"")</f>
        <v/>
      </c>
      <c r="W73" s="3"/>
      <c r="X73" s="3"/>
      <c r="Y73" s="3" t="str">
        <f ca="1">IF($C73&lt;&gt;"",INDEX('Team Indirect'!$D:$D,MATCH($C73,'Team Indirect'!$A:$A,0)),"")</f>
        <v/>
      </c>
      <c r="Z73" s="3" t="str">
        <f ca="1">IF($C73&lt;&gt;"",INDEX('Team Indirect'!$E:$E,MATCH($C73,'Team Indirect'!$A:$A,0)),"")</f>
        <v/>
      </c>
      <c r="AA73" s="3" t="str">
        <f ca="1">IF($C73&lt;&gt;"",INDEX('Team Indirect'!$F:$F,MATCH($C73,'Team Indirect'!$A:$A,0)),"")</f>
        <v/>
      </c>
      <c r="AB73" s="3" t="str">
        <f t="shared" ca="1" si="1"/>
        <v/>
      </c>
      <c r="AC73" s="3">
        <f ca="1">IF(OR(AllocationUnits="Stories", AllocationUnits="Points"),'Work Indirect'!F73,F73/MAX('Work Indirect'!AB73,1))</f>
        <v>1</v>
      </c>
    </row>
    <row r="74" spans="1:29"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7" t="str">
        <f ca="1">IF(OFFSET('4. Work'!$A$1,ROW(D74)-1,COLUMN(D74)-1)="","",OFFSET('4. Work'!$A$1,ROW(D74)-1,COLUMN(D74)-1))</f>
        <v/>
      </c>
      <c r="E74" s="147"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I74" s="3" t="str">
        <f ca="1">IF(OFFSET('4. Work'!$A$1,ROW(I74)-1,COLUMN(I74)-1)="","",OFFSET('4. Work'!$A$1,ROW(I74)-1,COLUMN(I74)-1))</f>
        <v/>
      </c>
      <c r="T74" s="3" t="str">
        <f ca="1">IF(A74&lt;&gt;"",MAX('Initiative Indirect'!$T:$T)+(ROW(A74)-1),"")</f>
        <v/>
      </c>
      <c r="U74" s="3" t="str">
        <f ca="1">IF(B74&lt;&gt;"",INDEX('Initiative Indirect'!$T:$T,MATCH(B74,'Initiative Indirect'!$A:$A,0)),"")</f>
        <v/>
      </c>
      <c r="V74" s="3" t="str">
        <f ca="1">IF(C74&lt;&gt;"",INDEX('Team Indirect'!$T:$T,MATCH(C74,'Team Indirect'!$A:$A,0)),"")</f>
        <v/>
      </c>
      <c r="W74" s="3"/>
      <c r="X74" s="3"/>
      <c r="Y74" s="3" t="str">
        <f ca="1">IF($C74&lt;&gt;"",INDEX('Team Indirect'!$D:$D,MATCH($C74,'Team Indirect'!$A:$A,0)),"")</f>
        <v/>
      </c>
      <c r="Z74" s="3" t="str">
        <f ca="1">IF($C74&lt;&gt;"",INDEX('Team Indirect'!$E:$E,MATCH($C74,'Team Indirect'!$A:$A,0)),"")</f>
        <v/>
      </c>
      <c r="AA74" s="3" t="str">
        <f ca="1">IF($C74&lt;&gt;"",INDEX('Team Indirect'!$F:$F,MATCH($C74,'Team Indirect'!$A:$A,0)),"")</f>
        <v/>
      </c>
      <c r="AB74" s="3" t="str">
        <f t="shared" ca="1" si="1"/>
        <v/>
      </c>
      <c r="AC74" s="3">
        <f ca="1">IF(OR(AllocationUnits="Stories", AllocationUnits="Points"),'Work Indirect'!F74,F74/MAX('Work Indirect'!AB74,1))</f>
        <v>1</v>
      </c>
    </row>
    <row r="75" spans="1:29"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7" t="str">
        <f ca="1">IF(OFFSET('4. Work'!$A$1,ROW(D75)-1,COLUMN(D75)-1)="","",OFFSET('4. Work'!$A$1,ROW(D75)-1,COLUMN(D75)-1))</f>
        <v/>
      </c>
      <c r="E75" s="147"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I75" s="3" t="str">
        <f ca="1">IF(OFFSET('4. Work'!$A$1,ROW(I75)-1,COLUMN(I75)-1)="","",OFFSET('4. Work'!$A$1,ROW(I75)-1,COLUMN(I75)-1))</f>
        <v/>
      </c>
      <c r="T75" s="3" t="str">
        <f ca="1">IF(A75&lt;&gt;"",MAX('Initiative Indirect'!$T:$T)+(ROW(A75)-1),"")</f>
        <v/>
      </c>
      <c r="U75" s="3" t="str">
        <f ca="1">IF(B75&lt;&gt;"",INDEX('Initiative Indirect'!$T:$T,MATCH(B75,'Initiative Indirect'!$A:$A,0)),"")</f>
        <v/>
      </c>
      <c r="V75" s="3" t="str">
        <f ca="1">IF(C75&lt;&gt;"",INDEX('Team Indirect'!$T:$T,MATCH(C75,'Team Indirect'!$A:$A,0)),"")</f>
        <v/>
      </c>
      <c r="W75" s="3"/>
      <c r="X75" s="3"/>
      <c r="Y75" s="3" t="str">
        <f ca="1">IF($C75&lt;&gt;"",INDEX('Team Indirect'!$D:$D,MATCH($C75,'Team Indirect'!$A:$A,0)),"")</f>
        <v/>
      </c>
      <c r="Z75" s="3" t="str">
        <f ca="1">IF($C75&lt;&gt;"",INDEX('Team Indirect'!$E:$E,MATCH($C75,'Team Indirect'!$A:$A,0)),"")</f>
        <v/>
      </c>
      <c r="AA75" s="3" t="str">
        <f ca="1">IF($C75&lt;&gt;"",INDEX('Team Indirect'!$F:$F,MATCH($C75,'Team Indirect'!$A:$A,0)),"")</f>
        <v/>
      </c>
      <c r="AB75" s="3" t="str">
        <f t="shared" ca="1" si="1"/>
        <v/>
      </c>
      <c r="AC75" s="3">
        <f ca="1">IF(OR(AllocationUnits="Stories", AllocationUnits="Points"),'Work Indirect'!F75,F75/MAX('Work Indirect'!AB75,1))</f>
        <v>1</v>
      </c>
    </row>
    <row r="76" spans="1:29"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7" t="str">
        <f ca="1">IF(OFFSET('4. Work'!$A$1,ROW(D76)-1,COLUMN(D76)-1)="","",OFFSET('4. Work'!$A$1,ROW(D76)-1,COLUMN(D76)-1))</f>
        <v/>
      </c>
      <c r="E76" s="147"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I76" s="3" t="str">
        <f ca="1">IF(OFFSET('4. Work'!$A$1,ROW(I76)-1,COLUMN(I76)-1)="","",OFFSET('4. Work'!$A$1,ROW(I76)-1,COLUMN(I76)-1))</f>
        <v/>
      </c>
      <c r="T76" s="3" t="str">
        <f ca="1">IF(A76&lt;&gt;"",MAX('Initiative Indirect'!$T:$T)+(ROW(A76)-1),"")</f>
        <v/>
      </c>
      <c r="U76" s="3" t="str">
        <f ca="1">IF(B76&lt;&gt;"",INDEX('Initiative Indirect'!$T:$T,MATCH(B76,'Initiative Indirect'!$A:$A,0)),"")</f>
        <v/>
      </c>
      <c r="V76" s="3" t="str">
        <f ca="1">IF(C76&lt;&gt;"",INDEX('Team Indirect'!$T:$T,MATCH(C76,'Team Indirect'!$A:$A,0)),"")</f>
        <v/>
      </c>
      <c r="W76" s="3"/>
      <c r="X76" s="3"/>
      <c r="Y76" s="3" t="str">
        <f ca="1">IF($C76&lt;&gt;"",INDEX('Team Indirect'!$D:$D,MATCH($C76,'Team Indirect'!$A:$A,0)),"")</f>
        <v/>
      </c>
      <c r="Z76" s="3" t="str">
        <f ca="1">IF($C76&lt;&gt;"",INDEX('Team Indirect'!$E:$E,MATCH($C76,'Team Indirect'!$A:$A,0)),"")</f>
        <v/>
      </c>
      <c r="AA76" s="3" t="str">
        <f ca="1">IF($C76&lt;&gt;"",INDEX('Team Indirect'!$F:$F,MATCH($C76,'Team Indirect'!$A:$A,0)),"")</f>
        <v/>
      </c>
      <c r="AB76" s="3" t="str">
        <f t="shared" ca="1" si="1"/>
        <v/>
      </c>
      <c r="AC76" s="3">
        <f ca="1">IF(OR(AllocationUnits="Stories", AllocationUnits="Points"),'Work Indirect'!F76,F76/MAX('Work Indirect'!AB76,1))</f>
        <v>1</v>
      </c>
    </row>
    <row r="77" spans="1:29"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7" t="str">
        <f ca="1">IF(OFFSET('4. Work'!$A$1,ROW(D77)-1,COLUMN(D77)-1)="","",OFFSET('4. Work'!$A$1,ROW(D77)-1,COLUMN(D77)-1))</f>
        <v/>
      </c>
      <c r="E77" s="147"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I77" s="3" t="str">
        <f ca="1">IF(OFFSET('4. Work'!$A$1,ROW(I77)-1,COLUMN(I77)-1)="","",OFFSET('4. Work'!$A$1,ROW(I77)-1,COLUMN(I77)-1))</f>
        <v/>
      </c>
      <c r="T77" s="3" t="str">
        <f ca="1">IF(A77&lt;&gt;"",MAX('Initiative Indirect'!$T:$T)+(ROW(A77)-1),"")</f>
        <v/>
      </c>
      <c r="U77" s="3" t="str">
        <f ca="1">IF(B77&lt;&gt;"",INDEX('Initiative Indirect'!$T:$T,MATCH(B77,'Initiative Indirect'!$A:$A,0)),"")</f>
        <v/>
      </c>
      <c r="V77" s="3" t="str">
        <f ca="1">IF(C77&lt;&gt;"",INDEX('Team Indirect'!$T:$T,MATCH(C77,'Team Indirect'!$A:$A,0)),"")</f>
        <v/>
      </c>
      <c r="W77" s="3"/>
      <c r="X77" s="3"/>
      <c r="Y77" s="3" t="str">
        <f ca="1">IF($C77&lt;&gt;"",INDEX('Team Indirect'!$D:$D,MATCH($C77,'Team Indirect'!$A:$A,0)),"")</f>
        <v/>
      </c>
      <c r="Z77" s="3" t="str">
        <f ca="1">IF($C77&lt;&gt;"",INDEX('Team Indirect'!$E:$E,MATCH($C77,'Team Indirect'!$A:$A,0)),"")</f>
        <v/>
      </c>
      <c r="AA77" s="3" t="str">
        <f ca="1">IF($C77&lt;&gt;"",INDEX('Team Indirect'!$F:$F,MATCH($C77,'Team Indirect'!$A:$A,0)),"")</f>
        <v/>
      </c>
      <c r="AB77" s="3" t="str">
        <f t="shared" ca="1" si="1"/>
        <v/>
      </c>
      <c r="AC77" s="3">
        <f ca="1">IF(OR(AllocationUnits="Stories", AllocationUnits="Points"),'Work Indirect'!F77,F77/MAX('Work Indirect'!AB77,1))</f>
        <v>1</v>
      </c>
    </row>
    <row r="78" spans="1:29"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7" t="str">
        <f ca="1">IF(OFFSET('4. Work'!$A$1,ROW(D78)-1,COLUMN(D78)-1)="","",OFFSET('4. Work'!$A$1,ROW(D78)-1,COLUMN(D78)-1))</f>
        <v/>
      </c>
      <c r="E78" s="147"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I78" s="3" t="str">
        <f ca="1">IF(OFFSET('4. Work'!$A$1,ROW(I78)-1,COLUMN(I78)-1)="","",OFFSET('4. Work'!$A$1,ROW(I78)-1,COLUMN(I78)-1))</f>
        <v/>
      </c>
      <c r="T78" s="3" t="str">
        <f ca="1">IF(A78&lt;&gt;"",MAX('Initiative Indirect'!$T:$T)+(ROW(A78)-1),"")</f>
        <v/>
      </c>
      <c r="U78" s="3" t="str">
        <f ca="1">IF(B78&lt;&gt;"",INDEX('Initiative Indirect'!$T:$T,MATCH(B78,'Initiative Indirect'!$A:$A,0)),"")</f>
        <v/>
      </c>
      <c r="V78" s="3" t="str">
        <f ca="1">IF(C78&lt;&gt;"",INDEX('Team Indirect'!$T:$T,MATCH(C78,'Team Indirect'!$A:$A,0)),"")</f>
        <v/>
      </c>
      <c r="W78" s="3"/>
      <c r="X78" s="3"/>
      <c r="Y78" s="3" t="str">
        <f ca="1">IF($C78&lt;&gt;"",INDEX('Team Indirect'!$D:$D,MATCH($C78,'Team Indirect'!$A:$A,0)),"")</f>
        <v/>
      </c>
      <c r="Z78" s="3" t="str">
        <f ca="1">IF($C78&lt;&gt;"",INDEX('Team Indirect'!$E:$E,MATCH($C78,'Team Indirect'!$A:$A,0)),"")</f>
        <v/>
      </c>
      <c r="AA78" s="3" t="str">
        <f ca="1">IF($C78&lt;&gt;"",INDEX('Team Indirect'!$F:$F,MATCH($C78,'Team Indirect'!$A:$A,0)),"")</f>
        <v/>
      </c>
      <c r="AB78" s="3" t="str">
        <f t="shared" ca="1" si="1"/>
        <v/>
      </c>
      <c r="AC78" s="3">
        <f ca="1">IF(OR(AllocationUnits="Stories", AllocationUnits="Points"),'Work Indirect'!F78,F78/MAX('Work Indirect'!AB78,1))</f>
        <v>1</v>
      </c>
    </row>
    <row r="79" spans="1:29"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7" t="str">
        <f ca="1">IF(OFFSET('4. Work'!$A$1,ROW(D79)-1,COLUMN(D79)-1)="","",OFFSET('4. Work'!$A$1,ROW(D79)-1,COLUMN(D79)-1))</f>
        <v/>
      </c>
      <c r="E79" s="147"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I79" s="3" t="str">
        <f ca="1">IF(OFFSET('4. Work'!$A$1,ROW(I79)-1,COLUMN(I79)-1)="","",OFFSET('4. Work'!$A$1,ROW(I79)-1,COLUMN(I79)-1))</f>
        <v/>
      </c>
      <c r="T79" s="3" t="str">
        <f ca="1">IF(A79&lt;&gt;"",MAX('Initiative Indirect'!$T:$T)+(ROW(A79)-1),"")</f>
        <v/>
      </c>
      <c r="U79" s="3" t="str">
        <f ca="1">IF(B79&lt;&gt;"",INDEX('Initiative Indirect'!$T:$T,MATCH(B79,'Initiative Indirect'!$A:$A,0)),"")</f>
        <v/>
      </c>
      <c r="V79" s="3" t="str">
        <f ca="1">IF(C79&lt;&gt;"",INDEX('Team Indirect'!$T:$T,MATCH(C79,'Team Indirect'!$A:$A,0)),"")</f>
        <v/>
      </c>
      <c r="W79" s="3"/>
      <c r="X79" s="3"/>
      <c r="Y79" s="3" t="str">
        <f ca="1">IF($C79&lt;&gt;"",INDEX('Team Indirect'!$D:$D,MATCH($C79,'Team Indirect'!$A:$A,0)),"")</f>
        <v/>
      </c>
      <c r="Z79" s="3" t="str">
        <f ca="1">IF($C79&lt;&gt;"",INDEX('Team Indirect'!$E:$E,MATCH($C79,'Team Indirect'!$A:$A,0)),"")</f>
        <v/>
      </c>
      <c r="AA79" s="3" t="str">
        <f ca="1">IF($C79&lt;&gt;"",INDEX('Team Indirect'!$F:$F,MATCH($C79,'Team Indirect'!$A:$A,0)),"")</f>
        <v/>
      </c>
      <c r="AB79" s="3" t="str">
        <f t="shared" ca="1" si="1"/>
        <v/>
      </c>
      <c r="AC79" s="3">
        <f ca="1">IF(OR(AllocationUnits="Stories", AllocationUnits="Points"),'Work Indirect'!F79,F79/MAX('Work Indirect'!AB79,1))</f>
        <v>1</v>
      </c>
    </row>
    <row r="80" spans="1:29"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7" t="str">
        <f ca="1">IF(OFFSET('4. Work'!$A$1,ROW(D80)-1,COLUMN(D80)-1)="","",OFFSET('4. Work'!$A$1,ROW(D80)-1,COLUMN(D80)-1))</f>
        <v/>
      </c>
      <c r="E80" s="147"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I80" s="3" t="str">
        <f ca="1">IF(OFFSET('4. Work'!$A$1,ROW(I80)-1,COLUMN(I80)-1)="","",OFFSET('4. Work'!$A$1,ROW(I80)-1,COLUMN(I80)-1))</f>
        <v/>
      </c>
      <c r="T80" s="3" t="str">
        <f ca="1">IF(A80&lt;&gt;"",MAX('Initiative Indirect'!$T:$T)+(ROW(A80)-1),"")</f>
        <v/>
      </c>
      <c r="U80" s="3" t="str">
        <f ca="1">IF(B80&lt;&gt;"",INDEX('Initiative Indirect'!$T:$T,MATCH(B80,'Initiative Indirect'!$A:$A,0)),"")</f>
        <v/>
      </c>
      <c r="V80" s="3" t="str">
        <f ca="1">IF(C80&lt;&gt;"",INDEX('Team Indirect'!$T:$T,MATCH(C80,'Team Indirect'!$A:$A,0)),"")</f>
        <v/>
      </c>
      <c r="W80" s="3"/>
      <c r="X80" s="3"/>
      <c r="Y80" s="3" t="str">
        <f ca="1">IF($C80&lt;&gt;"",INDEX('Team Indirect'!$D:$D,MATCH($C80,'Team Indirect'!$A:$A,0)),"")</f>
        <v/>
      </c>
      <c r="Z80" s="3" t="str">
        <f ca="1">IF($C80&lt;&gt;"",INDEX('Team Indirect'!$E:$E,MATCH($C80,'Team Indirect'!$A:$A,0)),"")</f>
        <v/>
      </c>
      <c r="AA80" s="3" t="str">
        <f ca="1">IF($C80&lt;&gt;"",INDEX('Team Indirect'!$F:$F,MATCH($C80,'Team Indirect'!$A:$A,0)),"")</f>
        <v/>
      </c>
      <c r="AB80" s="3" t="str">
        <f t="shared" ca="1" si="1"/>
        <v/>
      </c>
      <c r="AC80" s="3">
        <f ca="1">IF(OR(AllocationUnits="Stories", AllocationUnits="Points"),'Work Indirect'!F80,F80/MAX('Work Indirect'!AB80,1))</f>
        <v>1</v>
      </c>
    </row>
    <row r="81" spans="1:29"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7" t="str">
        <f ca="1">IF(OFFSET('4. Work'!$A$1,ROW(D81)-1,COLUMN(D81)-1)="","",OFFSET('4. Work'!$A$1,ROW(D81)-1,COLUMN(D81)-1))</f>
        <v/>
      </c>
      <c r="E81" s="147"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I81" s="3" t="str">
        <f ca="1">IF(OFFSET('4. Work'!$A$1,ROW(I81)-1,COLUMN(I81)-1)="","",OFFSET('4. Work'!$A$1,ROW(I81)-1,COLUMN(I81)-1))</f>
        <v/>
      </c>
      <c r="T81" s="3" t="str">
        <f ca="1">IF(A81&lt;&gt;"",MAX('Initiative Indirect'!$T:$T)+(ROW(A81)-1),"")</f>
        <v/>
      </c>
      <c r="U81" s="3" t="str">
        <f ca="1">IF(B81&lt;&gt;"",INDEX('Initiative Indirect'!$T:$T,MATCH(B81,'Initiative Indirect'!$A:$A,0)),"")</f>
        <v/>
      </c>
      <c r="V81" s="3" t="str">
        <f ca="1">IF(C81&lt;&gt;"",INDEX('Team Indirect'!$T:$T,MATCH(C81,'Team Indirect'!$A:$A,0)),"")</f>
        <v/>
      </c>
      <c r="W81" s="3"/>
      <c r="X81" s="3"/>
      <c r="Y81" s="3" t="str">
        <f ca="1">IF($C81&lt;&gt;"",INDEX('Team Indirect'!$D:$D,MATCH($C81,'Team Indirect'!$A:$A,0)),"")</f>
        <v/>
      </c>
      <c r="Z81" s="3" t="str">
        <f ca="1">IF($C81&lt;&gt;"",INDEX('Team Indirect'!$E:$E,MATCH($C81,'Team Indirect'!$A:$A,0)),"")</f>
        <v/>
      </c>
      <c r="AA81" s="3" t="str">
        <f ca="1">IF($C81&lt;&gt;"",INDEX('Team Indirect'!$F:$F,MATCH($C81,'Team Indirect'!$A:$A,0)),"")</f>
        <v/>
      </c>
      <c r="AB81" s="3" t="str">
        <f t="shared" ca="1" si="1"/>
        <v/>
      </c>
      <c r="AC81" s="3">
        <f ca="1">IF(OR(AllocationUnits="Stories", AllocationUnits="Points"),'Work Indirect'!F81,F81/MAX('Work Indirect'!AB81,1))</f>
        <v>1</v>
      </c>
    </row>
    <row r="82" spans="1:29"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7" t="str">
        <f ca="1">IF(OFFSET('4. Work'!$A$1,ROW(D82)-1,COLUMN(D82)-1)="","",OFFSET('4. Work'!$A$1,ROW(D82)-1,COLUMN(D82)-1))</f>
        <v/>
      </c>
      <c r="E82" s="147"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I82" s="3" t="str">
        <f ca="1">IF(OFFSET('4. Work'!$A$1,ROW(I82)-1,COLUMN(I82)-1)="","",OFFSET('4. Work'!$A$1,ROW(I82)-1,COLUMN(I82)-1))</f>
        <v/>
      </c>
      <c r="T82" s="3" t="str">
        <f ca="1">IF(A82&lt;&gt;"",MAX('Initiative Indirect'!$T:$T)+(ROW(A82)-1),"")</f>
        <v/>
      </c>
      <c r="U82" s="3" t="str">
        <f ca="1">IF(B82&lt;&gt;"",INDEX('Initiative Indirect'!$T:$T,MATCH(B82,'Initiative Indirect'!$A:$A,0)),"")</f>
        <v/>
      </c>
      <c r="V82" s="3" t="str">
        <f ca="1">IF(C82&lt;&gt;"",INDEX('Team Indirect'!$T:$T,MATCH(C82,'Team Indirect'!$A:$A,0)),"")</f>
        <v/>
      </c>
      <c r="W82" s="3"/>
      <c r="X82" s="3"/>
      <c r="Y82" s="3" t="str">
        <f ca="1">IF($C82&lt;&gt;"",INDEX('Team Indirect'!$D:$D,MATCH($C82,'Team Indirect'!$A:$A,0)),"")</f>
        <v/>
      </c>
      <c r="Z82" s="3" t="str">
        <f ca="1">IF($C82&lt;&gt;"",INDEX('Team Indirect'!$E:$E,MATCH($C82,'Team Indirect'!$A:$A,0)),"")</f>
        <v/>
      </c>
      <c r="AA82" s="3" t="str">
        <f ca="1">IF($C82&lt;&gt;"",INDEX('Team Indirect'!$F:$F,MATCH($C82,'Team Indirect'!$A:$A,0)),"")</f>
        <v/>
      </c>
      <c r="AB82" s="3" t="str">
        <f t="shared" ca="1" si="1"/>
        <v/>
      </c>
      <c r="AC82" s="3">
        <f ca="1">IF(OR(AllocationUnits="Stories", AllocationUnits="Points"),'Work Indirect'!F82,F82/MAX('Work Indirect'!AB82,1))</f>
        <v>1</v>
      </c>
    </row>
    <row r="83" spans="1:29"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7" t="str">
        <f ca="1">IF(OFFSET('4. Work'!$A$1,ROW(D83)-1,COLUMN(D83)-1)="","",OFFSET('4. Work'!$A$1,ROW(D83)-1,COLUMN(D83)-1))</f>
        <v/>
      </c>
      <c r="E83" s="147"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I83" s="3" t="str">
        <f ca="1">IF(OFFSET('4. Work'!$A$1,ROW(I83)-1,COLUMN(I83)-1)="","",OFFSET('4. Work'!$A$1,ROW(I83)-1,COLUMN(I83)-1))</f>
        <v/>
      </c>
      <c r="T83" s="3" t="str">
        <f ca="1">IF(A83&lt;&gt;"",MAX('Initiative Indirect'!$T:$T)+(ROW(A83)-1),"")</f>
        <v/>
      </c>
      <c r="U83" s="3" t="str">
        <f ca="1">IF(B83&lt;&gt;"",INDEX('Initiative Indirect'!$T:$T,MATCH(B83,'Initiative Indirect'!$A:$A,0)),"")</f>
        <v/>
      </c>
      <c r="V83" s="3" t="str">
        <f ca="1">IF(C83&lt;&gt;"",INDEX('Team Indirect'!$T:$T,MATCH(C83,'Team Indirect'!$A:$A,0)),"")</f>
        <v/>
      </c>
      <c r="W83" s="3"/>
      <c r="X83" s="3"/>
      <c r="Y83" s="3" t="str">
        <f ca="1">IF($C83&lt;&gt;"",INDEX('Team Indirect'!$D:$D,MATCH($C83,'Team Indirect'!$A:$A,0)),"")</f>
        <v/>
      </c>
      <c r="Z83" s="3" t="str">
        <f ca="1">IF($C83&lt;&gt;"",INDEX('Team Indirect'!$E:$E,MATCH($C83,'Team Indirect'!$A:$A,0)),"")</f>
        <v/>
      </c>
      <c r="AA83" s="3" t="str">
        <f ca="1">IF($C83&lt;&gt;"",INDEX('Team Indirect'!$F:$F,MATCH($C83,'Team Indirect'!$A:$A,0)),"")</f>
        <v/>
      </c>
      <c r="AB83" s="3" t="str">
        <f t="shared" ca="1" si="1"/>
        <v/>
      </c>
      <c r="AC83" s="3">
        <f ca="1">IF(OR(AllocationUnits="Stories", AllocationUnits="Points"),'Work Indirect'!F83,F83/MAX('Work Indirect'!AB83,1))</f>
        <v>1</v>
      </c>
    </row>
    <row r="84" spans="1:29"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7" t="str">
        <f ca="1">IF(OFFSET('4. Work'!$A$1,ROW(D84)-1,COLUMN(D84)-1)="","",OFFSET('4. Work'!$A$1,ROW(D84)-1,COLUMN(D84)-1))</f>
        <v/>
      </c>
      <c r="E84" s="147"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I84" s="3" t="str">
        <f ca="1">IF(OFFSET('4. Work'!$A$1,ROW(I84)-1,COLUMN(I84)-1)="","",OFFSET('4. Work'!$A$1,ROW(I84)-1,COLUMN(I84)-1))</f>
        <v/>
      </c>
      <c r="T84" s="3" t="str">
        <f ca="1">IF(A84&lt;&gt;"",MAX('Initiative Indirect'!$T:$T)+(ROW(A84)-1),"")</f>
        <v/>
      </c>
      <c r="U84" s="3" t="str">
        <f ca="1">IF(B84&lt;&gt;"",INDEX('Initiative Indirect'!$T:$T,MATCH(B84,'Initiative Indirect'!$A:$A,0)),"")</f>
        <v/>
      </c>
      <c r="V84" s="3" t="str">
        <f ca="1">IF(C84&lt;&gt;"",INDEX('Team Indirect'!$T:$T,MATCH(C84,'Team Indirect'!$A:$A,0)),"")</f>
        <v/>
      </c>
      <c r="W84" s="3"/>
      <c r="X84" s="3"/>
      <c r="Y84" s="3" t="str">
        <f ca="1">IF($C84&lt;&gt;"",INDEX('Team Indirect'!$D:$D,MATCH($C84,'Team Indirect'!$A:$A,0)),"")</f>
        <v/>
      </c>
      <c r="Z84" s="3" t="str">
        <f ca="1">IF($C84&lt;&gt;"",INDEX('Team Indirect'!$E:$E,MATCH($C84,'Team Indirect'!$A:$A,0)),"")</f>
        <v/>
      </c>
      <c r="AA84" s="3" t="str">
        <f ca="1">IF($C84&lt;&gt;"",INDEX('Team Indirect'!$F:$F,MATCH($C84,'Team Indirect'!$A:$A,0)),"")</f>
        <v/>
      </c>
      <c r="AB84" s="3" t="str">
        <f t="shared" ca="1" si="1"/>
        <v/>
      </c>
      <c r="AC84" s="3">
        <f ca="1">IF(OR(AllocationUnits="Stories", AllocationUnits="Points"),'Work Indirect'!F84,F84/MAX('Work Indirect'!AB84,1))</f>
        <v>1</v>
      </c>
    </row>
    <row r="85" spans="1:29"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7" t="str">
        <f ca="1">IF(OFFSET('4. Work'!$A$1,ROW(D85)-1,COLUMN(D85)-1)="","",OFFSET('4. Work'!$A$1,ROW(D85)-1,COLUMN(D85)-1))</f>
        <v/>
      </c>
      <c r="E85" s="147"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I85" s="3" t="str">
        <f ca="1">IF(OFFSET('4. Work'!$A$1,ROW(I85)-1,COLUMN(I85)-1)="","",OFFSET('4. Work'!$A$1,ROW(I85)-1,COLUMN(I85)-1))</f>
        <v/>
      </c>
      <c r="T85" s="3" t="str">
        <f ca="1">IF(A85&lt;&gt;"",MAX('Initiative Indirect'!$T:$T)+(ROW(A85)-1),"")</f>
        <v/>
      </c>
      <c r="U85" s="3" t="str">
        <f ca="1">IF(B85&lt;&gt;"",INDEX('Initiative Indirect'!$T:$T,MATCH(B85,'Initiative Indirect'!$A:$A,0)),"")</f>
        <v/>
      </c>
      <c r="V85" s="3" t="str">
        <f ca="1">IF(C85&lt;&gt;"",INDEX('Team Indirect'!$T:$T,MATCH(C85,'Team Indirect'!$A:$A,0)),"")</f>
        <v/>
      </c>
      <c r="W85" s="3"/>
      <c r="X85" s="3"/>
      <c r="Y85" s="3" t="str">
        <f ca="1">IF($C85&lt;&gt;"",INDEX('Team Indirect'!$D:$D,MATCH($C85,'Team Indirect'!$A:$A,0)),"")</f>
        <v/>
      </c>
      <c r="Z85" s="3" t="str">
        <f ca="1">IF($C85&lt;&gt;"",INDEX('Team Indirect'!$E:$E,MATCH($C85,'Team Indirect'!$A:$A,0)),"")</f>
        <v/>
      </c>
      <c r="AA85" s="3" t="str">
        <f ca="1">IF($C85&lt;&gt;"",INDEX('Team Indirect'!$F:$F,MATCH($C85,'Team Indirect'!$A:$A,0)),"")</f>
        <v/>
      </c>
      <c r="AB85" s="3" t="str">
        <f t="shared" ca="1" si="1"/>
        <v/>
      </c>
      <c r="AC85" s="3">
        <f ca="1">IF(OR(AllocationUnits="Stories", AllocationUnits="Points"),'Work Indirect'!F85,F85/MAX('Work Indirect'!AB85,1))</f>
        <v>1</v>
      </c>
    </row>
    <row r="86" spans="1:29"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7" t="str">
        <f ca="1">IF(OFFSET('4. Work'!$A$1,ROW(D86)-1,COLUMN(D86)-1)="","",OFFSET('4. Work'!$A$1,ROW(D86)-1,COLUMN(D86)-1))</f>
        <v/>
      </c>
      <c r="E86" s="147"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I86" s="3" t="str">
        <f ca="1">IF(OFFSET('4. Work'!$A$1,ROW(I86)-1,COLUMN(I86)-1)="","",OFFSET('4. Work'!$A$1,ROW(I86)-1,COLUMN(I86)-1))</f>
        <v/>
      </c>
      <c r="T86" s="3" t="str">
        <f ca="1">IF(A86&lt;&gt;"",MAX('Initiative Indirect'!$T:$T)+(ROW(A86)-1),"")</f>
        <v/>
      </c>
      <c r="U86" s="3" t="str">
        <f ca="1">IF(B86&lt;&gt;"",INDEX('Initiative Indirect'!$T:$T,MATCH(B86,'Initiative Indirect'!$A:$A,0)),"")</f>
        <v/>
      </c>
      <c r="V86" s="3" t="str">
        <f ca="1">IF(C86&lt;&gt;"",INDEX('Team Indirect'!$T:$T,MATCH(C86,'Team Indirect'!$A:$A,0)),"")</f>
        <v/>
      </c>
      <c r="W86" s="3"/>
      <c r="X86" s="3"/>
      <c r="Y86" s="3" t="str">
        <f ca="1">IF($C86&lt;&gt;"",INDEX('Team Indirect'!$D:$D,MATCH($C86,'Team Indirect'!$A:$A,0)),"")</f>
        <v/>
      </c>
      <c r="Z86" s="3" t="str">
        <f ca="1">IF($C86&lt;&gt;"",INDEX('Team Indirect'!$E:$E,MATCH($C86,'Team Indirect'!$A:$A,0)),"")</f>
        <v/>
      </c>
      <c r="AA86" s="3" t="str">
        <f ca="1">IF($C86&lt;&gt;"",INDEX('Team Indirect'!$F:$F,MATCH($C86,'Team Indirect'!$A:$A,0)),"")</f>
        <v/>
      </c>
      <c r="AB86" s="3" t="str">
        <f t="shared" ca="1" si="1"/>
        <v/>
      </c>
      <c r="AC86" s="3">
        <f ca="1">IF(OR(AllocationUnits="Stories", AllocationUnits="Points"),'Work Indirect'!F86,F86/MAX('Work Indirect'!AB86,1))</f>
        <v>1</v>
      </c>
    </row>
    <row r="87" spans="1:29"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7" t="str">
        <f ca="1">IF(OFFSET('4. Work'!$A$1,ROW(D87)-1,COLUMN(D87)-1)="","",OFFSET('4. Work'!$A$1,ROW(D87)-1,COLUMN(D87)-1))</f>
        <v/>
      </c>
      <c r="E87" s="147"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I87" s="3" t="str">
        <f ca="1">IF(OFFSET('4. Work'!$A$1,ROW(I87)-1,COLUMN(I87)-1)="","",OFFSET('4. Work'!$A$1,ROW(I87)-1,COLUMN(I87)-1))</f>
        <v/>
      </c>
      <c r="T87" s="3" t="str">
        <f ca="1">IF(A87&lt;&gt;"",MAX('Initiative Indirect'!$T:$T)+(ROW(A87)-1),"")</f>
        <v/>
      </c>
      <c r="U87" s="3" t="str">
        <f ca="1">IF(B87&lt;&gt;"",INDEX('Initiative Indirect'!$T:$T,MATCH(B87,'Initiative Indirect'!$A:$A,0)),"")</f>
        <v/>
      </c>
      <c r="V87" s="3" t="str">
        <f ca="1">IF(C87&lt;&gt;"",INDEX('Team Indirect'!$T:$T,MATCH(C87,'Team Indirect'!$A:$A,0)),"")</f>
        <v/>
      </c>
      <c r="W87" s="3"/>
      <c r="X87" s="3"/>
      <c r="Y87" s="3" t="str">
        <f ca="1">IF($C87&lt;&gt;"",INDEX('Team Indirect'!$D:$D,MATCH($C87,'Team Indirect'!$A:$A,0)),"")</f>
        <v/>
      </c>
      <c r="Z87" s="3" t="str">
        <f ca="1">IF($C87&lt;&gt;"",INDEX('Team Indirect'!$E:$E,MATCH($C87,'Team Indirect'!$A:$A,0)),"")</f>
        <v/>
      </c>
      <c r="AA87" s="3" t="str">
        <f ca="1">IF($C87&lt;&gt;"",INDEX('Team Indirect'!$F:$F,MATCH($C87,'Team Indirect'!$A:$A,0)),"")</f>
        <v/>
      </c>
      <c r="AB87" s="3" t="str">
        <f t="shared" ca="1" si="1"/>
        <v/>
      </c>
      <c r="AC87" s="3">
        <f ca="1">IF(OR(AllocationUnits="Stories", AllocationUnits="Points"),'Work Indirect'!F87,F87/MAX('Work Indirect'!AB87,1))</f>
        <v>1</v>
      </c>
    </row>
    <row r="88" spans="1:29"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7" t="str">
        <f ca="1">IF(OFFSET('4. Work'!$A$1,ROW(D88)-1,COLUMN(D88)-1)="","",OFFSET('4. Work'!$A$1,ROW(D88)-1,COLUMN(D88)-1))</f>
        <v/>
      </c>
      <c r="E88" s="147"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I88" s="3" t="str">
        <f ca="1">IF(OFFSET('4. Work'!$A$1,ROW(I88)-1,COLUMN(I88)-1)="","",OFFSET('4. Work'!$A$1,ROW(I88)-1,COLUMN(I88)-1))</f>
        <v/>
      </c>
      <c r="T88" s="3" t="str">
        <f ca="1">IF(A88&lt;&gt;"",MAX('Initiative Indirect'!$T:$T)+(ROW(A88)-1),"")</f>
        <v/>
      </c>
      <c r="U88" s="3" t="str">
        <f ca="1">IF(B88&lt;&gt;"",INDEX('Initiative Indirect'!$T:$T,MATCH(B88,'Initiative Indirect'!$A:$A,0)),"")</f>
        <v/>
      </c>
      <c r="V88" s="3" t="str">
        <f ca="1">IF(C88&lt;&gt;"",INDEX('Team Indirect'!$T:$T,MATCH(C88,'Team Indirect'!$A:$A,0)),"")</f>
        <v/>
      </c>
      <c r="W88" s="3"/>
      <c r="X88" s="3"/>
      <c r="Y88" s="3" t="str">
        <f ca="1">IF($C88&lt;&gt;"",INDEX('Team Indirect'!$D:$D,MATCH($C88,'Team Indirect'!$A:$A,0)),"")</f>
        <v/>
      </c>
      <c r="Z88" s="3" t="str">
        <f ca="1">IF($C88&lt;&gt;"",INDEX('Team Indirect'!$E:$E,MATCH($C88,'Team Indirect'!$A:$A,0)),"")</f>
        <v/>
      </c>
      <c r="AA88" s="3" t="str">
        <f ca="1">IF($C88&lt;&gt;"",INDEX('Team Indirect'!$F:$F,MATCH($C88,'Team Indirect'!$A:$A,0)),"")</f>
        <v/>
      </c>
      <c r="AB88" s="3" t="str">
        <f t="shared" ca="1" si="1"/>
        <v/>
      </c>
      <c r="AC88" s="3">
        <f ca="1">IF(OR(AllocationUnits="Stories", AllocationUnits="Points"),'Work Indirect'!F88,F88/MAX('Work Indirect'!AB88,1))</f>
        <v>1</v>
      </c>
    </row>
    <row r="89" spans="1:29"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7" t="str">
        <f ca="1">IF(OFFSET('4. Work'!$A$1,ROW(D89)-1,COLUMN(D89)-1)="","",OFFSET('4. Work'!$A$1,ROW(D89)-1,COLUMN(D89)-1))</f>
        <v/>
      </c>
      <c r="E89" s="147"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I89" s="3" t="str">
        <f ca="1">IF(OFFSET('4. Work'!$A$1,ROW(I89)-1,COLUMN(I89)-1)="","",OFFSET('4. Work'!$A$1,ROW(I89)-1,COLUMN(I89)-1))</f>
        <v/>
      </c>
      <c r="T89" s="3" t="str">
        <f ca="1">IF(A89&lt;&gt;"",MAX('Initiative Indirect'!$T:$T)+(ROW(A89)-1),"")</f>
        <v/>
      </c>
      <c r="U89" s="3" t="str">
        <f ca="1">IF(B89&lt;&gt;"",INDEX('Initiative Indirect'!$T:$T,MATCH(B89,'Initiative Indirect'!$A:$A,0)),"")</f>
        <v/>
      </c>
      <c r="V89" s="3" t="str">
        <f ca="1">IF(C89&lt;&gt;"",INDEX('Team Indirect'!$T:$T,MATCH(C89,'Team Indirect'!$A:$A,0)),"")</f>
        <v/>
      </c>
      <c r="W89" s="3"/>
      <c r="X89" s="3"/>
      <c r="Y89" s="3" t="str">
        <f ca="1">IF($C89&lt;&gt;"",INDEX('Team Indirect'!$D:$D,MATCH($C89,'Team Indirect'!$A:$A,0)),"")</f>
        <v/>
      </c>
      <c r="Z89" s="3" t="str">
        <f ca="1">IF($C89&lt;&gt;"",INDEX('Team Indirect'!$E:$E,MATCH($C89,'Team Indirect'!$A:$A,0)),"")</f>
        <v/>
      </c>
      <c r="AA89" s="3" t="str">
        <f ca="1">IF($C89&lt;&gt;"",INDEX('Team Indirect'!$F:$F,MATCH($C89,'Team Indirect'!$A:$A,0)),"")</f>
        <v/>
      </c>
      <c r="AB89" s="3" t="str">
        <f t="shared" ca="1" si="1"/>
        <v/>
      </c>
      <c r="AC89" s="3">
        <f ca="1">IF(OR(AllocationUnits="Stories", AllocationUnits="Points"),'Work Indirect'!F89,F89/MAX('Work Indirect'!AB89,1))</f>
        <v>1</v>
      </c>
    </row>
    <row r="90" spans="1:29"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7" t="str">
        <f ca="1">IF(OFFSET('4. Work'!$A$1,ROW(D90)-1,COLUMN(D90)-1)="","",OFFSET('4. Work'!$A$1,ROW(D90)-1,COLUMN(D90)-1))</f>
        <v/>
      </c>
      <c r="E90" s="147"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I90" s="3" t="str">
        <f ca="1">IF(OFFSET('4. Work'!$A$1,ROW(I90)-1,COLUMN(I90)-1)="","",OFFSET('4. Work'!$A$1,ROW(I90)-1,COLUMN(I90)-1))</f>
        <v/>
      </c>
      <c r="T90" s="3" t="str">
        <f ca="1">IF(A90&lt;&gt;"",MAX('Initiative Indirect'!$T:$T)+(ROW(A90)-1),"")</f>
        <v/>
      </c>
      <c r="U90" s="3" t="str">
        <f ca="1">IF(B90&lt;&gt;"",INDEX('Initiative Indirect'!$T:$T,MATCH(B90,'Initiative Indirect'!$A:$A,0)),"")</f>
        <v/>
      </c>
      <c r="V90" s="3" t="str">
        <f ca="1">IF(C90&lt;&gt;"",INDEX('Team Indirect'!$T:$T,MATCH(C90,'Team Indirect'!$A:$A,0)),"")</f>
        <v/>
      </c>
      <c r="W90" s="3"/>
      <c r="X90" s="3"/>
      <c r="Y90" s="3" t="str">
        <f ca="1">IF($C90&lt;&gt;"",INDEX('Team Indirect'!$D:$D,MATCH($C90,'Team Indirect'!$A:$A,0)),"")</f>
        <v/>
      </c>
      <c r="Z90" s="3" t="str">
        <f ca="1">IF($C90&lt;&gt;"",INDEX('Team Indirect'!$E:$E,MATCH($C90,'Team Indirect'!$A:$A,0)),"")</f>
        <v/>
      </c>
      <c r="AA90" s="3" t="str">
        <f ca="1">IF($C90&lt;&gt;"",INDEX('Team Indirect'!$F:$F,MATCH($C90,'Team Indirect'!$A:$A,0)),"")</f>
        <v/>
      </c>
      <c r="AB90" s="3" t="str">
        <f t="shared" ca="1" si="1"/>
        <v/>
      </c>
      <c r="AC90" s="3">
        <f ca="1">IF(OR(AllocationUnits="Stories", AllocationUnits="Points"),'Work Indirect'!F90,F90/MAX('Work Indirect'!AB90,1))</f>
        <v>1</v>
      </c>
    </row>
    <row r="91" spans="1:29"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7" t="str">
        <f ca="1">IF(OFFSET('4. Work'!$A$1,ROW(D91)-1,COLUMN(D91)-1)="","",OFFSET('4. Work'!$A$1,ROW(D91)-1,COLUMN(D91)-1))</f>
        <v/>
      </c>
      <c r="E91" s="147"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I91" s="3" t="str">
        <f ca="1">IF(OFFSET('4. Work'!$A$1,ROW(I91)-1,COLUMN(I91)-1)="","",OFFSET('4. Work'!$A$1,ROW(I91)-1,COLUMN(I91)-1))</f>
        <v/>
      </c>
      <c r="T91" s="3" t="str">
        <f ca="1">IF(A91&lt;&gt;"",MAX('Initiative Indirect'!$T:$T)+(ROW(A91)-1),"")</f>
        <v/>
      </c>
      <c r="U91" s="3" t="str">
        <f ca="1">IF(B91&lt;&gt;"",INDEX('Initiative Indirect'!$T:$T,MATCH(B91,'Initiative Indirect'!$A:$A,0)),"")</f>
        <v/>
      </c>
      <c r="V91" s="3" t="str">
        <f ca="1">IF(C91&lt;&gt;"",INDEX('Team Indirect'!$T:$T,MATCH(C91,'Team Indirect'!$A:$A,0)),"")</f>
        <v/>
      </c>
      <c r="W91" s="3"/>
      <c r="X91" s="3"/>
      <c r="Y91" s="3" t="str">
        <f ca="1">IF($C91&lt;&gt;"",INDEX('Team Indirect'!$D:$D,MATCH($C91,'Team Indirect'!$A:$A,0)),"")</f>
        <v/>
      </c>
      <c r="Z91" s="3" t="str">
        <f ca="1">IF($C91&lt;&gt;"",INDEX('Team Indirect'!$E:$E,MATCH($C91,'Team Indirect'!$A:$A,0)),"")</f>
        <v/>
      </c>
      <c r="AA91" s="3" t="str">
        <f ca="1">IF($C91&lt;&gt;"",INDEX('Team Indirect'!$F:$F,MATCH($C91,'Team Indirect'!$A:$A,0)),"")</f>
        <v/>
      </c>
      <c r="AB91" s="3" t="str">
        <f t="shared" ca="1" si="1"/>
        <v/>
      </c>
      <c r="AC91" s="3">
        <f ca="1">IF(OR(AllocationUnits="Stories", AllocationUnits="Points"),'Work Indirect'!F91,F91/MAX('Work Indirect'!AB91,1))</f>
        <v>1</v>
      </c>
    </row>
    <row r="92" spans="1:29"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7" t="str">
        <f ca="1">IF(OFFSET('4. Work'!$A$1,ROW(D92)-1,COLUMN(D92)-1)="","",OFFSET('4. Work'!$A$1,ROW(D92)-1,COLUMN(D92)-1))</f>
        <v/>
      </c>
      <c r="E92" s="147"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I92" s="3" t="str">
        <f ca="1">IF(OFFSET('4. Work'!$A$1,ROW(I92)-1,COLUMN(I92)-1)="","",OFFSET('4. Work'!$A$1,ROW(I92)-1,COLUMN(I92)-1))</f>
        <v/>
      </c>
      <c r="T92" s="3" t="str">
        <f ca="1">IF(A92&lt;&gt;"",MAX('Initiative Indirect'!$T:$T)+(ROW(A92)-1),"")</f>
        <v/>
      </c>
      <c r="U92" s="3" t="str">
        <f ca="1">IF(B92&lt;&gt;"",INDEX('Initiative Indirect'!$T:$T,MATCH(B92,'Initiative Indirect'!$A:$A,0)),"")</f>
        <v/>
      </c>
      <c r="V92" s="3" t="str">
        <f ca="1">IF(C92&lt;&gt;"",INDEX('Team Indirect'!$T:$T,MATCH(C92,'Team Indirect'!$A:$A,0)),"")</f>
        <v/>
      </c>
      <c r="W92" s="3"/>
      <c r="X92" s="3"/>
      <c r="Y92" s="3" t="str">
        <f ca="1">IF($C92&lt;&gt;"",INDEX('Team Indirect'!$D:$D,MATCH($C92,'Team Indirect'!$A:$A,0)),"")</f>
        <v/>
      </c>
      <c r="Z92" s="3" t="str">
        <f ca="1">IF($C92&lt;&gt;"",INDEX('Team Indirect'!$E:$E,MATCH($C92,'Team Indirect'!$A:$A,0)),"")</f>
        <v/>
      </c>
      <c r="AA92" s="3" t="str">
        <f ca="1">IF($C92&lt;&gt;"",INDEX('Team Indirect'!$F:$F,MATCH($C92,'Team Indirect'!$A:$A,0)),"")</f>
        <v/>
      </c>
      <c r="AB92" s="3" t="str">
        <f t="shared" ca="1" si="1"/>
        <v/>
      </c>
      <c r="AC92" s="3">
        <f ca="1">IF(OR(AllocationUnits="Stories", AllocationUnits="Points"),'Work Indirect'!F92,F92/MAX('Work Indirect'!AB92,1))</f>
        <v>1</v>
      </c>
    </row>
    <row r="93" spans="1:29"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7" t="str">
        <f ca="1">IF(OFFSET('4. Work'!$A$1,ROW(D93)-1,COLUMN(D93)-1)="","",OFFSET('4. Work'!$A$1,ROW(D93)-1,COLUMN(D93)-1))</f>
        <v/>
      </c>
      <c r="E93" s="147"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I93" s="3" t="str">
        <f ca="1">IF(OFFSET('4. Work'!$A$1,ROW(I93)-1,COLUMN(I93)-1)="","",OFFSET('4. Work'!$A$1,ROW(I93)-1,COLUMN(I93)-1))</f>
        <v/>
      </c>
      <c r="T93" s="3" t="str">
        <f ca="1">IF(A93&lt;&gt;"",MAX('Initiative Indirect'!$T:$T)+(ROW(A93)-1),"")</f>
        <v/>
      </c>
      <c r="U93" s="3" t="str">
        <f ca="1">IF(B93&lt;&gt;"",INDEX('Initiative Indirect'!$T:$T,MATCH(B93,'Initiative Indirect'!$A:$A,0)),"")</f>
        <v/>
      </c>
      <c r="V93" s="3" t="str">
        <f ca="1">IF(C93&lt;&gt;"",INDEX('Team Indirect'!$T:$T,MATCH(C93,'Team Indirect'!$A:$A,0)),"")</f>
        <v/>
      </c>
      <c r="W93" s="3"/>
      <c r="X93" s="3"/>
      <c r="Y93" s="3" t="str">
        <f ca="1">IF($C93&lt;&gt;"",INDEX('Team Indirect'!$D:$D,MATCH($C93,'Team Indirect'!$A:$A,0)),"")</f>
        <v/>
      </c>
      <c r="Z93" s="3" t="str">
        <f ca="1">IF($C93&lt;&gt;"",INDEX('Team Indirect'!$E:$E,MATCH($C93,'Team Indirect'!$A:$A,0)),"")</f>
        <v/>
      </c>
      <c r="AA93" s="3" t="str">
        <f ca="1">IF($C93&lt;&gt;"",INDEX('Team Indirect'!$F:$F,MATCH($C93,'Team Indirect'!$A:$A,0)),"")</f>
        <v/>
      </c>
      <c r="AB93" s="3" t="str">
        <f t="shared" ca="1" si="1"/>
        <v/>
      </c>
      <c r="AC93" s="3">
        <f ca="1">IF(OR(AllocationUnits="Stories", AllocationUnits="Points"),'Work Indirect'!F93,F93/MAX('Work Indirect'!AB93,1))</f>
        <v>1</v>
      </c>
    </row>
    <row r="94" spans="1:29"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7" t="str">
        <f ca="1">IF(OFFSET('4. Work'!$A$1,ROW(D94)-1,COLUMN(D94)-1)="","",OFFSET('4. Work'!$A$1,ROW(D94)-1,COLUMN(D94)-1))</f>
        <v/>
      </c>
      <c r="E94" s="147"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I94" s="3" t="str">
        <f ca="1">IF(OFFSET('4. Work'!$A$1,ROW(I94)-1,COLUMN(I94)-1)="","",OFFSET('4. Work'!$A$1,ROW(I94)-1,COLUMN(I94)-1))</f>
        <v/>
      </c>
      <c r="T94" s="3" t="str">
        <f ca="1">IF(A94&lt;&gt;"",MAX('Initiative Indirect'!$T:$T)+(ROW(A94)-1),"")</f>
        <v/>
      </c>
      <c r="U94" s="3" t="str">
        <f ca="1">IF(B94&lt;&gt;"",INDEX('Initiative Indirect'!$T:$T,MATCH(B94,'Initiative Indirect'!$A:$A,0)),"")</f>
        <v/>
      </c>
      <c r="V94" s="3" t="str">
        <f ca="1">IF(C94&lt;&gt;"",INDEX('Team Indirect'!$T:$T,MATCH(C94,'Team Indirect'!$A:$A,0)),"")</f>
        <v/>
      </c>
      <c r="W94" s="3"/>
      <c r="X94" s="3"/>
      <c r="Y94" s="3" t="str">
        <f ca="1">IF($C94&lt;&gt;"",INDEX('Team Indirect'!$D:$D,MATCH($C94,'Team Indirect'!$A:$A,0)),"")</f>
        <v/>
      </c>
      <c r="Z94" s="3" t="str">
        <f ca="1">IF($C94&lt;&gt;"",INDEX('Team Indirect'!$E:$E,MATCH($C94,'Team Indirect'!$A:$A,0)),"")</f>
        <v/>
      </c>
      <c r="AA94" s="3" t="str">
        <f ca="1">IF($C94&lt;&gt;"",INDEX('Team Indirect'!$F:$F,MATCH($C94,'Team Indirect'!$A:$A,0)),"")</f>
        <v/>
      </c>
      <c r="AB94" s="3" t="str">
        <f t="shared" ca="1" si="1"/>
        <v/>
      </c>
      <c r="AC94" s="3">
        <f ca="1">IF(OR(AllocationUnits="Stories", AllocationUnits="Points"),'Work Indirect'!F94,F94/MAX('Work Indirect'!AB94,1))</f>
        <v>1</v>
      </c>
    </row>
    <row r="95" spans="1:29"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7" t="str">
        <f ca="1">IF(OFFSET('4. Work'!$A$1,ROW(D95)-1,COLUMN(D95)-1)="","",OFFSET('4. Work'!$A$1,ROW(D95)-1,COLUMN(D95)-1))</f>
        <v/>
      </c>
      <c r="E95" s="147"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I95" s="3" t="str">
        <f ca="1">IF(OFFSET('4. Work'!$A$1,ROW(I95)-1,COLUMN(I95)-1)="","",OFFSET('4. Work'!$A$1,ROW(I95)-1,COLUMN(I95)-1))</f>
        <v/>
      </c>
      <c r="T95" s="3" t="str">
        <f ca="1">IF(A95&lt;&gt;"",MAX('Initiative Indirect'!$T:$T)+(ROW(A95)-1),"")</f>
        <v/>
      </c>
      <c r="U95" s="3" t="str">
        <f ca="1">IF(B95&lt;&gt;"",INDEX('Initiative Indirect'!$T:$T,MATCH(B95,'Initiative Indirect'!$A:$A,0)),"")</f>
        <v/>
      </c>
      <c r="V95" s="3" t="str">
        <f ca="1">IF(C95&lt;&gt;"",INDEX('Team Indirect'!$T:$T,MATCH(C95,'Team Indirect'!$A:$A,0)),"")</f>
        <v/>
      </c>
      <c r="W95" s="3"/>
      <c r="X95" s="3"/>
      <c r="Y95" s="3" t="str">
        <f ca="1">IF($C95&lt;&gt;"",INDEX('Team Indirect'!$D:$D,MATCH($C95,'Team Indirect'!$A:$A,0)),"")</f>
        <v/>
      </c>
      <c r="Z95" s="3" t="str">
        <f ca="1">IF($C95&lt;&gt;"",INDEX('Team Indirect'!$E:$E,MATCH($C95,'Team Indirect'!$A:$A,0)),"")</f>
        <v/>
      </c>
      <c r="AA95" s="3" t="str">
        <f ca="1">IF($C95&lt;&gt;"",INDEX('Team Indirect'!$F:$F,MATCH($C95,'Team Indirect'!$A:$A,0)),"")</f>
        <v/>
      </c>
      <c r="AB95" s="3" t="str">
        <f t="shared" ca="1" si="1"/>
        <v/>
      </c>
      <c r="AC95" s="3">
        <f ca="1">IF(OR(AllocationUnits="Stories", AllocationUnits="Points"),'Work Indirect'!F95,F95/MAX('Work Indirect'!AB95,1))</f>
        <v>1</v>
      </c>
    </row>
    <row r="96" spans="1:29"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7" t="str">
        <f ca="1">IF(OFFSET('4. Work'!$A$1,ROW(D96)-1,COLUMN(D96)-1)="","",OFFSET('4. Work'!$A$1,ROW(D96)-1,COLUMN(D96)-1))</f>
        <v/>
      </c>
      <c r="E96" s="147"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I96" s="3" t="str">
        <f ca="1">IF(OFFSET('4. Work'!$A$1,ROW(I96)-1,COLUMN(I96)-1)="","",OFFSET('4. Work'!$A$1,ROW(I96)-1,COLUMN(I96)-1))</f>
        <v/>
      </c>
      <c r="T96" s="3" t="str">
        <f ca="1">IF(A96&lt;&gt;"",MAX('Initiative Indirect'!$T:$T)+(ROW(A96)-1),"")</f>
        <v/>
      </c>
      <c r="U96" s="3" t="str">
        <f ca="1">IF(B96&lt;&gt;"",INDEX('Initiative Indirect'!$T:$T,MATCH(B96,'Initiative Indirect'!$A:$A,0)),"")</f>
        <v/>
      </c>
      <c r="V96" s="3" t="str">
        <f ca="1">IF(C96&lt;&gt;"",INDEX('Team Indirect'!$T:$T,MATCH(C96,'Team Indirect'!$A:$A,0)),"")</f>
        <v/>
      </c>
      <c r="W96" s="3"/>
      <c r="X96" s="3"/>
      <c r="Y96" s="3" t="str">
        <f ca="1">IF($C96&lt;&gt;"",INDEX('Team Indirect'!$D:$D,MATCH($C96,'Team Indirect'!$A:$A,0)),"")</f>
        <v/>
      </c>
      <c r="Z96" s="3" t="str">
        <f ca="1">IF($C96&lt;&gt;"",INDEX('Team Indirect'!$E:$E,MATCH($C96,'Team Indirect'!$A:$A,0)),"")</f>
        <v/>
      </c>
      <c r="AA96" s="3" t="str">
        <f ca="1">IF($C96&lt;&gt;"",INDEX('Team Indirect'!$F:$F,MATCH($C96,'Team Indirect'!$A:$A,0)),"")</f>
        <v/>
      </c>
      <c r="AB96" s="3" t="str">
        <f t="shared" ca="1" si="1"/>
        <v/>
      </c>
      <c r="AC96" s="3">
        <f ca="1">IF(OR(AllocationUnits="Stories", AllocationUnits="Points"),'Work Indirect'!F96,F96/MAX('Work Indirect'!AB96,1))</f>
        <v>1</v>
      </c>
    </row>
    <row r="97" spans="1:29"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7" t="str">
        <f ca="1">IF(OFFSET('4. Work'!$A$1,ROW(D97)-1,COLUMN(D97)-1)="","",OFFSET('4. Work'!$A$1,ROW(D97)-1,COLUMN(D97)-1))</f>
        <v/>
      </c>
      <c r="E97" s="147"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I97" s="3" t="str">
        <f ca="1">IF(OFFSET('4. Work'!$A$1,ROW(I97)-1,COLUMN(I97)-1)="","",OFFSET('4. Work'!$A$1,ROW(I97)-1,COLUMN(I97)-1))</f>
        <v/>
      </c>
      <c r="T97" s="3" t="str">
        <f ca="1">IF(A97&lt;&gt;"",MAX('Initiative Indirect'!$T:$T)+(ROW(A97)-1),"")</f>
        <v/>
      </c>
      <c r="U97" s="3" t="str">
        <f ca="1">IF(B97&lt;&gt;"",INDEX('Initiative Indirect'!$T:$T,MATCH(B97,'Initiative Indirect'!$A:$A,0)),"")</f>
        <v/>
      </c>
      <c r="V97" s="3" t="str">
        <f ca="1">IF(C97&lt;&gt;"",INDEX('Team Indirect'!$T:$T,MATCH(C97,'Team Indirect'!$A:$A,0)),"")</f>
        <v/>
      </c>
      <c r="W97" s="3"/>
      <c r="X97" s="3"/>
      <c r="Y97" s="3" t="str">
        <f ca="1">IF($C97&lt;&gt;"",INDEX('Team Indirect'!$D:$D,MATCH($C97,'Team Indirect'!$A:$A,0)),"")</f>
        <v/>
      </c>
      <c r="Z97" s="3" t="str">
        <f ca="1">IF($C97&lt;&gt;"",INDEX('Team Indirect'!$E:$E,MATCH($C97,'Team Indirect'!$A:$A,0)),"")</f>
        <v/>
      </c>
      <c r="AA97" s="3" t="str">
        <f ca="1">IF($C97&lt;&gt;"",INDEX('Team Indirect'!$F:$F,MATCH($C97,'Team Indirect'!$A:$A,0)),"")</f>
        <v/>
      </c>
      <c r="AB97" s="3" t="str">
        <f t="shared" ca="1" si="1"/>
        <v/>
      </c>
      <c r="AC97" s="3">
        <f ca="1">IF(OR(AllocationUnits="Stories", AllocationUnits="Points"),'Work Indirect'!F97,F97/MAX('Work Indirect'!AB97,1))</f>
        <v>1</v>
      </c>
    </row>
    <row r="98" spans="1:29"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7" t="str">
        <f ca="1">IF(OFFSET('4. Work'!$A$1,ROW(D98)-1,COLUMN(D98)-1)="","",OFFSET('4. Work'!$A$1,ROW(D98)-1,COLUMN(D98)-1))</f>
        <v/>
      </c>
      <c r="E98" s="147"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I98" s="3" t="str">
        <f ca="1">IF(OFFSET('4. Work'!$A$1,ROW(I98)-1,COLUMN(I98)-1)="","",OFFSET('4. Work'!$A$1,ROW(I98)-1,COLUMN(I98)-1))</f>
        <v/>
      </c>
      <c r="T98" s="3" t="str">
        <f ca="1">IF(A98&lt;&gt;"",MAX('Initiative Indirect'!$T:$T)+(ROW(A98)-1),"")</f>
        <v/>
      </c>
      <c r="U98" s="3" t="str">
        <f ca="1">IF(B98&lt;&gt;"",INDEX('Initiative Indirect'!$T:$T,MATCH(B98,'Initiative Indirect'!$A:$A,0)),"")</f>
        <v/>
      </c>
      <c r="V98" s="3" t="str">
        <f ca="1">IF(C98&lt;&gt;"",INDEX('Team Indirect'!$T:$T,MATCH(C98,'Team Indirect'!$A:$A,0)),"")</f>
        <v/>
      </c>
      <c r="W98" s="3"/>
      <c r="X98" s="3"/>
      <c r="Y98" s="3" t="str">
        <f ca="1">IF($C98&lt;&gt;"",INDEX('Team Indirect'!$D:$D,MATCH($C98,'Team Indirect'!$A:$A,0)),"")</f>
        <v/>
      </c>
      <c r="Z98" s="3" t="str">
        <f ca="1">IF($C98&lt;&gt;"",INDEX('Team Indirect'!$E:$E,MATCH($C98,'Team Indirect'!$A:$A,0)),"")</f>
        <v/>
      </c>
      <c r="AA98" s="3" t="str">
        <f ca="1">IF($C98&lt;&gt;"",INDEX('Team Indirect'!$F:$F,MATCH($C98,'Team Indirect'!$A:$A,0)),"")</f>
        <v/>
      </c>
      <c r="AB98" s="3" t="str">
        <f t="shared" ca="1" si="1"/>
        <v/>
      </c>
      <c r="AC98" s="3">
        <f ca="1">IF(OR(AllocationUnits="Stories", AllocationUnits="Points"),'Work Indirect'!F98,F98/MAX('Work Indirect'!AB98,1))</f>
        <v>1</v>
      </c>
    </row>
    <row r="99" spans="1:29"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7" t="str">
        <f ca="1">IF(OFFSET('4. Work'!$A$1,ROW(D99)-1,COLUMN(D99)-1)="","",OFFSET('4. Work'!$A$1,ROW(D99)-1,COLUMN(D99)-1))</f>
        <v/>
      </c>
      <c r="E99" s="147"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I99" s="3" t="str">
        <f ca="1">IF(OFFSET('4. Work'!$A$1,ROW(I99)-1,COLUMN(I99)-1)="","",OFFSET('4. Work'!$A$1,ROW(I99)-1,COLUMN(I99)-1))</f>
        <v/>
      </c>
      <c r="T99" s="3" t="str">
        <f ca="1">IF(A99&lt;&gt;"",MAX('Initiative Indirect'!$T:$T)+(ROW(A99)-1),"")</f>
        <v/>
      </c>
      <c r="U99" s="3" t="str">
        <f ca="1">IF(B99&lt;&gt;"",INDEX('Initiative Indirect'!$T:$T,MATCH(B99,'Initiative Indirect'!$A:$A,0)),"")</f>
        <v/>
      </c>
      <c r="V99" s="3" t="str">
        <f ca="1">IF(C99&lt;&gt;"",INDEX('Team Indirect'!$T:$T,MATCH(C99,'Team Indirect'!$A:$A,0)),"")</f>
        <v/>
      </c>
      <c r="W99" s="3"/>
      <c r="X99" s="3"/>
      <c r="Y99" s="3" t="str">
        <f ca="1">IF($C99&lt;&gt;"",INDEX('Team Indirect'!$D:$D,MATCH($C99,'Team Indirect'!$A:$A,0)),"")</f>
        <v/>
      </c>
      <c r="Z99" s="3" t="str">
        <f ca="1">IF($C99&lt;&gt;"",INDEX('Team Indirect'!$E:$E,MATCH($C99,'Team Indirect'!$A:$A,0)),"")</f>
        <v/>
      </c>
      <c r="AA99" s="3" t="str">
        <f ca="1">IF($C99&lt;&gt;"",INDEX('Team Indirect'!$F:$F,MATCH($C99,'Team Indirect'!$A:$A,0)),"")</f>
        <v/>
      </c>
      <c r="AB99" s="3" t="str">
        <f t="shared" ca="1" si="1"/>
        <v/>
      </c>
      <c r="AC99" s="3">
        <f ca="1">IF(OR(AllocationUnits="Stories", AllocationUnits="Points"),'Work Indirect'!F99,F99/MAX('Work Indirect'!AB99,1))</f>
        <v>1</v>
      </c>
    </row>
    <row r="100" spans="1:29"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7" t="str">
        <f ca="1">IF(OFFSET('4. Work'!$A$1,ROW(D100)-1,COLUMN(D100)-1)="","",OFFSET('4. Work'!$A$1,ROW(D100)-1,COLUMN(D100)-1))</f>
        <v/>
      </c>
      <c r="E100" s="147"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I100" s="3" t="str">
        <f ca="1">IF(OFFSET('4. Work'!$A$1,ROW(I100)-1,COLUMN(I100)-1)="","",OFFSET('4. Work'!$A$1,ROW(I100)-1,COLUMN(I100)-1))</f>
        <v/>
      </c>
      <c r="T100" s="3" t="str">
        <f ca="1">IF(A100&lt;&gt;"",MAX('Initiative Indirect'!$T:$T)+(ROW(A100)-1),"")</f>
        <v/>
      </c>
      <c r="U100" s="3" t="str">
        <f ca="1">IF(B100&lt;&gt;"",INDEX('Initiative Indirect'!$T:$T,MATCH(B100,'Initiative Indirect'!$A:$A,0)),"")</f>
        <v/>
      </c>
      <c r="V100" s="3" t="str">
        <f ca="1">IF(C100&lt;&gt;"",INDEX('Team Indirect'!$T:$T,MATCH(C100,'Team Indirect'!$A:$A,0)),"")</f>
        <v/>
      </c>
      <c r="W100" s="3"/>
      <c r="X100" s="3"/>
      <c r="Y100" s="3" t="str">
        <f ca="1">IF($C100&lt;&gt;"",INDEX('Team Indirect'!$D:$D,MATCH($C100,'Team Indirect'!$A:$A,0)),"")</f>
        <v/>
      </c>
      <c r="Z100" s="3" t="str">
        <f ca="1">IF($C100&lt;&gt;"",INDEX('Team Indirect'!$E:$E,MATCH($C100,'Team Indirect'!$A:$A,0)),"")</f>
        <v/>
      </c>
      <c r="AA100" s="3" t="str">
        <f ca="1">IF($C100&lt;&gt;"",INDEX('Team Indirect'!$F:$F,MATCH($C100,'Team Indirect'!$A:$A,0)),"")</f>
        <v/>
      </c>
      <c r="AB100" s="3" t="str">
        <f t="shared" ca="1" si="1"/>
        <v/>
      </c>
      <c r="AC100" s="3">
        <f ca="1">IF(OR(AllocationUnits="Stories", AllocationUnits="Points"),'Work Indirect'!F100,F100/MAX('Work Indirect'!AB100,1))</f>
        <v>1</v>
      </c>
    </row>
    <row r="101" spans="1:29"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7" t="str">
        <f ca="1">IF(OFFSET('4. Work'!$A$1,ROW(D101)-1,COLUMN(D101)-1)="","",OFFSET('4. Work'!$A$1,ROW(D101)-1,COLUMN(D101)-1))</f>
        <v/>
      </c>
      <c r="E101" s="147"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I101" s="3" t="str">
        <f ca="1">IF(OFFSET('4. Work'!$A$1,ROW(I101)-1,COLUMN(I101)-1)="","",OFFSET('4. Work'!$A$1,ROW(I101)-1,COLUMN(I101)-1))</f>
        <v/>
      </c>
      <c r="T101" s="3" t="str">
        <f ca="1">IF(A101&lt;&gt;"",MAX('Initiative Indirect'!$T:$T)+(ROW(A101)-1),"")</f>
        <v/>
      </c>
      <c r="U101" s="3" t="str">
        <f ca="1">IF(B101&lt;&gt;"",INDEX('Initiative Indirect'!$T:$T,MATCH(B101,'Initiative Indirect'!$A:$A,0)),"")</f>
        <v/>
      </c>
      <c r="V101" s="3" t="str">
        <f ca="1">IF(C101&lt;&gt;"",INDEX('Team Indirect'!$T:$T,MATCH(C101,'Team Indirect'!$A:$A,0)),"")</f>
        <v/>
      </c>
      <c r="W101" s="3"/>
      <c r="X101" s="3"/>
      <c r="Y101" s="3" t="str">
        <f ca="1">IF($C101&lt;&gt;"",INDEX('Team Indirect'!$D:$D,MATCH($C101,'Team Indirect'!$A:$A,0)),"")</f>
        <v/>
      </c>
      <c r="Z101" s="3" t="str">
        <f ca="1">IF($C101&lt;&gt;"",INDEX('Team Indirect'!$E:$E,MATCH($C101,'Team Indirect'!$A:$A,0)),"")</f>
        <v/>
      </c>
      <c r="AA101" s="3" t="str">
        <f ca="1">IF($C101&lt;&gt;"",INDEX('Team Indirect'!$F:$F,MATCH($C101,'Team Indirect'!$A:$A,0)),"")</f>
        <v/>
      </c>
      <c r="AB101" s="3" t="str">
        <f t="shared" ca="1" si="1"/>
        <v/>
      </c>
      <c r="AC101" s="3">
        <f ca="1">IF(OR(AllocationUnits="Stories", AllocationUnits="Points"),'Work Indirect'!F101,F101/MAX('Work Indirect'!AB101,1))</f>
        <v>1</v>
      </c>
    </row>
    <row r="102" spans="1:29"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7" t="str">
        <f ca="1">IF(OFFSET('4. Work'!$A$1,ROW(D102)-1,COLUMN(D102)-1)="","",OFFSET('4. Work'!$A$1,ROW(D102)-1,COLUMN(D102)-1))</f>
        <v/>
      </c>
      <c r="E102" s="147"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I102" s="3" t="str">
        <f ca="1">IF(OFFSET('4. Work'!$A$1,ROW(I102)-1,COLUMN(I102)-1)="","",OFFSET('4. Work'!$A$1,ROW(I102)-1,COLUMN(I102)-1))</f>
        <v/>
      </c>
      <c r="T102" s="3" t="str">
        <f ca="1">IF(A102&lt;&gt;"",MAX('Initiative Indirect'!$T:$T)+(ROW(A102)-1),"")</f>
        <v/>
      </c>
      <c r="U102" s="3" t="str">
        <f ca="1">IF(B102&lt;&gt;"",INDEX('Initiative Indirect'!$T:$T,MATCH(B102,'Initiative Indirect'!$A:$A,0)),"")</f>
        <v/>
      </c>
      <c r="V102" s="3" t="str">
        <f ca="1">IF(C102&lt;&gt;"",INDEX('Team Indirect'!$T:$T,MATCH(C102,'Team Indirect'!$A:$A,0)),"")</f>
        <v/>
      </c>
      <c r="W102" s="3"/>
      <c r="X102" s="3"/>
      <c r="Y102" s="3" t="str">
        <f ca="1">IF($C102&lt;&gt;"",INDEX('Team Indirect'!$D:$D,MATCH($C102,'Team Indirect'!$A:$A,0)),"")</f>
        <v/>
      </c>
      <c r="Z102" s="3" t="str">
        <f ca="1">IF($C102&lt;&gt;"",INDEX('Team Indirect'!$E:$E,MATCH($C102,'Team Indirect'!$A:$A,0)),"")</f>
        <v/>
      </c>
      <c r="AA102" s="3" t="str">
        <f ca="1">IF($C102&lt;&gt;"",INDEX('Team Indirect'!$F:$F,MATCH($C102,'Team Indirect'!$A:$A,0)),"")</f>
        <v/>
      </c>
      <c r="AB102" s="3" t="str">
        <f t="shared" ca="1" si="1"/>
        <v/>
      </c>
      <c r="AC102" s="3">
        <f ca="1">IF(OR(AllocationUnits="Stories", AllocationUnits="Points"),'Work Indirect'!F102,F102/MAX('Work Indirect'!AB102,1))</f>
        <v>1</v>
      </c>
    </row>
    <row r="103" spans="1:29"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7" t="str">
        <f ca="1">IF(OFFSET('4. Work'!$A$1,ROW(D103)-1,COLUMN(D103)-1)="","",OFFSET('4. Work'!$A$1,ROW(D103)-1,COLUMN(D103)-1))</f>
        <v/>
      </c>
      <c r="E103" s="147"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I103" s="3" t="str">
        <f ca="1">IF(OFFSET('4. Work'!$A$1,ROW(I103)-1,COLUMN(I103)-1)="","",OFFSET('4. Work'!$A$1,ROW(I103)-1,COLUMN(I103)-1))</f>
        <v/>
      </c>
      <c r="T103" s="3" t="str">
        <f ca="1">IF(A103&lt;&gt;"",MAX('Initiative Indirect'!$T:$T)+(ROW(A103)-1),"")</f>
        <v/>
      </c>
      <c r="U103" s="3" t="str">
        <f ca="1">IF(B103&lt;&gt;"",INDEX('Initiative Indirect'!$T:$T,MATCH(B103,'Initiative Indirect'!$A:$A,0)),"")</f>
        <v/>
      </c>
      <c r="V103" s="3" t="str">
        <f ca="1">IF(C103&lt;&gt;"",INDEX('Team Indirect'!$T:$T,MATCH(C103,'Team Indirect'!$A:$A,0)),"")</f>
        <v/>
      </c>
      <c r="W103" s="3"/>
      <c r="X103" s="3"/>
      <c r="Y103" s="3" t="str">
        <f ca="1">IF($C103&lt;&gt;"",INDEX('Team Indirect'!$D:$D,MATCH($C103,'Team Indirect'!$A:$A,0)),"")</f>
        <v/>
      </c>
      <c r="Z103" s="3" t="str">
        <f ca="1">IF($C103&lt;&gt;"",INDEX('Team Indirect'!$E:$E,MATCH($C103,'Team Indirect'!$A:$A,0)),"")</f>
        <v/>
      </c>
      <c r="AA103" s="3" t="str">
        <f ca="1">IF($C103&lt;&gt;"",INDEX('Team Indirect'!$F:$F,MATCH($C103,'Team Indirect'!$A:$A,0)),"")</f>
        <v/>
      </c>
      <c r="AB103" s="3" t="str">
        <f t="shared" ca="1" si="1"/>
        <v/>
      </c>
      <c r="AC103" s="3">
        <f ca="1">IF(OR(AllocationUnits="Stories", AllocationUnits="Points"),'Work Indirect'!F103,F103/MAX('Work Indirect'!AB103,1))</f>
        <v>1</v>
      </c>
    </row>
    <row r="104" spans="1:29"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7" t="str">
        <f ca="1">IF(OFFSET('4. Work'!$A$1,ROW(D104)-1,COLUMN(D104)-1)="","",OFFSET('4. Work'!$A$1,ROW(D104)-1,COLUMN(D104)-1))</f>
        <v/>
      </c>
      <c r="E104" s="147"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I104" s="3" t="str">
        <f ca="1">IF(OFFSET('4. Work'!$A$1,ROW(I104)-1,COLUMN(I104)-1)="","",OFFSET('4. Work'!$A$1,ROW(I104)-1,COLUMN(I104)-1))</f>
        <v/>
      </c>
      <c r="T104" s="3" t="str">
        <f ca="1">IF(A104&lt;&gt;"",MAX('Initiative Indirect'!$T:$T)+(ROW(A104)-1),"")</f>
        <v/>
      </c>
      <c r="U104" s="3" t="str">
        <f ca="1">IF(B104&lt;&gt;"",INDEX('Initiative Indirect'!$T:$T,MATCH(B104,'Initiative Indirect'!$A:$A,0)),"")</f>
        <v/>
      </c>
      <c r="V104" s="3" t="str">
        <f ca="1">IF(C104&lt;&gt;"",INDEX('Team Indirect'!$T:$T,MATCH(C104,'Team Indirect'!$A:$A,0)),"")</f>
        <v/>
      </c>
      <c r="W104" s="3"/>
      <c r="X104" s="3"/>
      <c r="Y104" s="3" t="str">
        <f ca="1">IF($C104&lt;&gt;"",INDEX('Team Indirect'!$D:$D,MATCH($C104,'Team Indirect'!$A:$A,0)),"")</f>
        <v/>
      </c>
      <c r="Z104" s="3" t="str">
        <f ca="1">IF($C104&lt;&gt;"",INDEX('Team Indirect'!$E:$E,MATCH($C104,'Team Indirect'!$A:$A,0)),"")</f>
        <v/>
      </c>
      <c r="AA104" s="3" t="str">
        <f ca="1">IF($C104&lt;&gt;"",INDEX('Team Indirect'!$F:$F,MATCH($C104,'Team Indirect'!$A:$A,0)),"")</f>
        <v/>
      </c>
      <c r="AB104" s="3" t="str">
        <f t="shared" ca="1" si="1"/>
        <v/>
      </c>
      <c r="AC104" s="3">
        <f ca="1">IF(OR(AllocationUnits="Stories", AllocationUnits="Points"),'Work Indirect'!F104,F104/MAX('Work Indirect'!AB104,1))</f>
        <v>1</v>
      </c>
    </row>
    <row r="105" spans="1:29"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7" t="str">
        <f ca="1">IF(OFFSET('4. Work'!$A$1,ROW(D105)-1,COLUMN(D105)-1)="","",OFFSET('4. Work'!$A$1,ROW(D105)-1,COLUMN(D105)-1))</f>
        <v/>
      </c>
      <c r="E105" s="147"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I105" s="3" t="str">
        <f ca="1">IF(OFFSET('4. Work'!$A$1,ROW(I105)-1,COLUMN(I105)-1)="","",OFFSET('4. Work'!$A$1,ROW(I105)-1,COLUMN(I105)-1))</f>
        <v/>
      </c>
      <c r="T105" s="3" t="str">
        <f ca="1">IF(A105&lt;&gt;"",MAX('Initiative Indirect'!$T:$T)+(ROW(A105)-1),"")</f>
        <v/>
      </c>
      <c r="U105" s="3" t="str">
        <f ca="1">IF(B105&lt;&gt;"",INDEX('Initiative Indirect'!$T:$T,MATCH(B105,'Initiative Indirect'!$A:$A,0)),"")</f>
        <v/>
      </c>
      <c r="V105" s="3" t="str">
        <f ca="1">IF(C105&lt;&gt;"",INDEX('Team Indirect'!$T:$T,MATCH(C105,'Team Indirect'!$A:$A,0)),"")</f>
        <v/>
      </c>
      <c r="W105" s="3"/>
      <c r="X105" s="3"/>
      <c r="Y105" s="3" t="str">
        <f ca="1">IF($C105&lt;&gt;"",INDEX('Team Indirect'!$D:$D,MATCH($C105,'Team Indirect'!$A:$A,0)),"")</f>
        <v/>
      </c>
      <c r="Z105" s="3" t="str">
        <f ca="1">IF($C105&lt;&gt;"",INDEX('Team Indirect'!$E:$E,MATCH($C105,'Team Indirect'!$A:$A,0)),"")</f>
        <v/>
      </c>
      <c r="AA105" s="3" t="str">
        <f ca="1">IF($C105&lt;&gt;"",INDEX('Team Indirect'!$F:$F,MATCH($C105,'Team Indirect'!$A:$A,0)),"")</f>
        <v/>
      </c>
      <c r="AB105" s="3" t="str">
        <f t="shared" ca="1" si="1"/>
        <v/>
      </c>
      <c r="AC105" s="3">
        <f ca="1">IF(OR(AllocationUnits="Stories", AllocationUnits="Points"),'Work Indirect'!F105,F105/MAX('Work Indirect'!AB105,1))</f>
        <v>1</v>
      </c>
    </row>
    <row r="106" spans="1:29"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7" t="str">
        <f ca="1">IF(OFFSET('4. Work'!$A$1,ROW(D106)-1,COLUMN(D106)-1)="","",OFFSET('4. Work'!$A$1,ROW(D106)-1,COLUMN(D106)-1))</f>
        <v/>
      </c>
      <c r="E106" s="147"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I106" s="3" t="str">
        <f ca="1">IF(OFFSET('4. Work'!$A$1,ROW(I106)-1,COLUMN(I106)-1)="","",OFFSET('4. Work'!$A$1,ROW(I106)-1,COLUMN(I106)-1))</f>
        <v/>
      </c>
      <c r="T106" s="3" t="str">
        <f ca="1">IF(A106&lt;&gt;"",MAX('Initiative Indirect'!$T:$T)+(ROW(A106)-1),"")</f>
        <v/>
      </c>
      <c r="U106" s="3" t="str">
        <f ca="1">IF(B106&lt;&gt;"",INDEX('Initiative Indirect'!$T:$T,MATCH(B106,'Initiative Indirect'!$A:$A,0)),"")</f>
        <v/>
      </c>
      <c r="V106" s="3" t="str">
        <f ca="1">IF(C106&lt;&gt;"",INDEX('Team Indirect'!$T:$T,MATCH(C106,'Team Indirect'!$A:$A,0)),"")</f>
        <v/>
      </c>
      <c r="W106" s="3"/>
      <c r="X106" s="3"/>
      <c r="Y106" s="3" t="str">
        <f ca="1">IF($C106&lt;&gt;"",INDEX('Team Indirect'!$D:$D,MATCH($C106,'Team Indirect'!$A:$A,0)),"")</f>
        <v/>
      </c>
      <c r="Z106" s="3" t="str">
        <f ca="1">IF($C106&lt;&gt;"",INDEX('Team Indirect'!$E:$E,MATCH($C106,'Team Indirect'!$A:$A,0)),"")</f>
        <v/>
      </c>
      <c r="AA106" s="3" t="str">
        <f ca="1">IF($C106&lt;&gt;"",INDEX('Team Indirect'!$F:$F,MATCH($C106,'Team Indirect'!$A:$A,0)),"")</f>
        <v/>
      </c>
      <c r="AB106" s="3" t="str">
        <f t="shared" ca="1" si="1"/>
        <v/>
      </c>
      <c r="AC106" s="3">
        <f ca="1">IF(OR(AllocationUnits="Stories", AllocationUnits="Points"),'Work Indirect'!F106,F106/MAX('Work Indirect'!AB106,1))</f>
        <v>1</v>
      </c>
    </row>
    <row r="107" spans="1:29"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7" t="str">
        <f ca="1">IF(OFFSET('4. Work'!$A$1,ROW(D107)-1,COLUMN(D107)-1)="","",OFFSET('4. Work'!$A$1,ROW(D107)-1,COLUMN(D107)-1))</f>
        <v/>
      </c>
      <c r="E107" s="147"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I107" s="3" t="str">
        <f ca="1">IF(OFFSET('4. Work'!$A$1,ROW(I107)-1,COLUMN(I107)-1)="","",OFFSET('4. Work'!$A$1,ROW(I107)-1,COLUMN(I107)-1))</f>
        <v/>
      </c>
      <c r="T107" s="3" t="str">
        <f ca="1">IF(A107&lt;&gt;"",MAX('Initiative Indirect'!$T:$T)+(ROW(A107)-1),"")</f>
        <v/>
      </c>
      <c r="U107" s="3" t="str">
        <f ca="1">IF(B107&lt;&gt;"",INDEX('Initiative Indirect'!$T:$T,MATCH(B107,'Initiative Indirect'!$A:$A,0)),"")</f>
        <v/>
      </c>
      <c r="V107" s="3" t="str">
        <f ca="1">IF(C107&lt;&gt;"",INDEX('Team Indirect'!$T:$T,MATCH(C107,'Team Indirect'!$A:$A,0)),"")</f>
        <v/>
      </c>
      <c r="W107" s="3"/>
      <c r="X107" s="3"/>
      <c r="Y107" s="3" t="str">
        <f ca="1">IF($C107&lt;&gt;"",INDEX('Team Indirect'!$D:$D,MATCH($C107,'Team Indirect'!$A:$A,0)),"")</f>
        <v/>
      </c>
      <c r="Z107" s="3" t="str">
        <f ca="1">IF($C107&lt;&gt;"",INDEX('Team Indirect'!$E:$E,MATCH($C107,'Team Indirect'!$A:$A,0)),"")</f>
        <v/>
      </c>
      <c r="AA107" s="3" t="str">
        <f ca="1">IF($C107&lt;&gt;"",INDEX('Team Indirect'!$F:$F,MATCH($C107,'Team Indirect'!$A:$A,0)),"")</f>
        <v/>
      </c>
      <c r="AB107" s="3" t="str">
        <f t="shared" ca="1" si="1"/>
        <v/>
      </c>
      <c r="AC107" s="3">
        <f ca="1">IF(OR(AllocationUnits="Stories", AllocationUnits="Points"),'Work Indirect'!F107,F107/MAX('Work Indirect'!AB107,1))</f>
        <v>1</v>
      </c>
    </row>
    <row r="108" spans="1:29"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7" t="str">
        <f ca="1">IF(OFFSET('4. Work'!$A$1,ROW(D108)-1,COLUMN(D108)-1)="","",OFFSET('4. Work'!$A$1,ROW(D108)-1,COLUMN(D108)-1))</f>
        <v/>
      </c>
      <c r="E108" s="147"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I108" s="3" t="str">
        <f ca="1">IF(OFFSET('4. Work'!$A$1,ROW(I108)-1,COLUMN(I108)-1)="","",OFFSET('4. Work'!$A$1,ROW(I108)-1,COLUMN(I108)-1))</f>
        <v/>
      </c>
      <c r="T108" s="3" t="str">
        <f ca="1">IF(A108&lt;&gt;"",MAX('Initiative Indirect'!$T:$T)+(ROW(A108)-1),"")</f>
        <v/>
      </c>
      <c r="U108" s="3" t="str">
        <f ca="1">IF(B108&lt;&gt;"",INDEX('Initiative Indirect'!$T:$T,MATCH(B108,'Initiative Indirect'!$A:$A,0)),"")</f>
        <v/>
      </c>
      <c r="V108" s="3" t="str">
        <f ca="1">IF(C108&lt;&gt;"",INDEX('Team Indirect'!$T:$T,MATCH(C108,'Team Indirect'!$A:$A,0)),"")</f>
        <v/>
      </c>
      <c r="W108" s="3"/>
      <c r="X108" s="3"/>
      <c r="Y108" s="3" t="str">
        <f ca="1">IF($C108&lt;&gt;"",INDEX('Team Indirect'!$D:$D,MATCH($C108,'Team Indirect'!$A:$A,0)),"")</f>
        <v/>
      </c>
      <c r="Z108" s="3" t="str">
        <f ca="1">IF($C108&lt;&gt;"",INDEX('Team Indirect'!$E:$E,MATCH($C108,'Team Indirect'!$A:$A,0)),"")</f>
        <v/>
      </c>
      <c r="AA108" s="3" t="str">
        <f ca="1">IF($C108&lt;&gt;"",INDEX('Team Indirect'!$F:$F,MATCH($C108,'Team Indirect'!$A:$A,0)),"")</f>
        <v/>
      </c>
      <c r="AB108" s="3" t="str">
        <f t="shared" ca="1" si="1"/>
        <v/>
      </c>
      <c r="AC108" s="3">
        <f ca="1">IF(OR(AllocationUnits="Stories", AllocationUnits="Points"),'Work Indirect'!F108,F108/MAX('Work Indirect'!AB108,1))</f>
        <v>1</v>
      </c>
    </row>
    <row r="109" spans="1:29"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7" t="str">
        <f ca="1">IF(OFFSET('4. Work'!$A$1,ROW(D109)-1,COLUMN(D109)-1)="","",OFFSET('4. Work'!$A$1,ROW(D109)-1,COLUMN(D109)-1))</f>
        <v/>
      </c>
      <c r="E109" s="147"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I109" s="3" t="str">
        <f ca="1">IF(OFFSET('4. Work'!$A$1,ROW(I109)-1,COLUMN(I109)-1)="","",OFFSET('4. Work'!$A$1,ROW(I109)-1,COLUMN(I109)-1))</f>
        <v/>
      </c>
      <c r="T109" s="3" t="str">
        <f ca="1">IF(A109&lt;&gt;"",MAX('Initiative Indirect'!$T:$T)+(ROW(A109)-1),"")</f>
        <v/>
      </c>
      <c r="U109" s="3" t="str">
        <f ca="1">IF(B109&lt;&gt;"",INDEX('Initiative Indirect'!$T:$T,MATCH(B109,'Initiative Indirect'!$A:$A,0)),"")</f>
        <v/>
      </c>
      <c r="V109" s="3" t="str">
        <f ca="1">IF(C109&lt;&gt;"",INDEX('Team Indirect'!$T:$T,MATCH(C109,'Team Indirect'!$A:$A,0)),"")</f>
        <v/>
      </c>
      <c r="W109" s="3"/>
      <c r="X109" s="3"/>
      <c r="Y109" s="3" t="str">
        <f ca="1">IF($C109&lt;&gt;"",INDEX('Team Indirect'!$D:$D,MATCH($C109,'Team Indirect'!$A:$A,0)),"")</f>
        <v/>
      </c>
      <c r="Z109" s="3" t="str">
        <f ca="1">IF($C109&lt;&gt;"",INDEX('Team Indirect'!$E:$E,MATCH($C109,'Team Indirect'!$A:$A,0)),"")</f>
        <v/>
      </c>
      <c r="AA109" s="3" t="str">
        <f ca="1">IF($C109&lt;&gt;"",INDEX('Team Indirect'!$F:$F,MATCH($C109,'Team Indirect'!$A:$A,0)),"")</f>
        <v/>
      </c>
      <c r="AB109" s="3" t="str">
        <f t="shared" ca="1" si="1"/>
        <v/>
      </c>
      <c r="AC109" s="3">
        <f ca="1">IF(OR(AllocationUnits="Stories", AllocationUnits="Points"),'Work Indirect'!F109,F109/MAX('Work Indirect'!AB109,1))</f>
        <v>1</v>
      </c>
    </row>
    <row r="110" spans="1:29"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7" t="str">
        <f ca="1">IF(OFFSET('4. Work'!$A$1,ROW(D110)-1,COLUMN(D110)-1)="","",OFFSET('4. Work'!$A$1,ROW(D110)-1,COLUMN(D110)-1))</f>
        <v/>
      </c>
      <c r="E110" s="147"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I110" s="3" t="str">
        <f ca="1">IF(OFFSET('4. Work'!$A$1,ROW(I110)-1,COLUMN(I110)-1)="","",OFFSET('4. Work'!$A$1,ROW(I110)-1,COLUMN(I110)-1))</f>
        <v/>
      </c>
      <c r="T110" s="3" t="str">
        <f ca="1">IF(A110&lt;&gt;"",MAX('Initiative Indirect'!$T:$T)+(ROW(A110)-1),"")</f>
        <v/>
      </c>
      <c r="U110" s="3" t="str">
        <f ca="1">IF(B110&lt;&gt;"",INDEX('Initiative Indirect'!$T:$T,MATCH(B110,'Initiative Indirect'!$A:$A,0)),"")</f>
        <v/>
      </c>
      <c r="V110" s="3" t="str">
        <f ca="1">IF(C110&lt;&gt;"",INDEX('Team Indirect'!$T:$T,MATCH(C110,'Team Indirect'!$A:$A,0)),"")</f>
        <v/>
      </c>
      <c r="W110" s="3"/>
      <c r="X110" s="3"/>
      <c r="Y110" s="3" t="str">
        <f ca="1">IF($C110&lt;&gt;"",INDEX('Team Indirect'!$D:$D,MATCH($C110,'Team Indirect'!$A:$A,0)),"")</f>
        <v/>
      </c>
      <c r="Z110" s="3" t="str">
        <f ca="1">IF($C110&lt;&gt;"",INDEX('Team Indirect'!$E:$E,MATCH($C110,'Team Indirect'!$A:$A,0)),"")</f>
        <v/>
      </c>
      <c r="AA110" s="3" t="str">
        <f ca="1">IF($C110&lt;&gt;"",INDEX('Team Indirect'!$F:$F,MATCH($C110,'Team Indirect'!$A:$A,0)),"")</f>
        <v/>
      </c>
      <c r="AB110" s="3" t="str">
        <f t="shared" ca="1" si="1"/>
        <v/>
      </c>
      <c r="AC110" s="3">
        <f ca="1">IF(OR(AllocationUnits="Stories", AllocationUnits="Points"),'Work Indirect'!F110,F110/MAX('Work Indirect'!AB110,1))</f>
        <v>1</v>
      </c>
    </row>
    <row r="111" spans="1:29"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7" t="str">
        <f ca="1">IF(OFFSET('4. Work'!$A$1,ROW(D111)-1,COLUMN(D111)-1)="","",OFFSET('4. Work'!$A$1,ROW(D111)-1,COLUMN(D111)-1))</f>
        <v/>
      </c>
      <c r="E111" s="147"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I111" s="3" t="str">
        <f ca="1">IF(OFFSET('4. Work'!$A$1,ROW(I111)-1,COLUMN(I111)-1)="","",OFFSET('4. Work'!$A$1,ROW(I111)-1,COLUMN(I111)-1))</f>
        <v/>
      </c>
      <c r="T111" s="3" t="str">
        <f ca="1">IF(A111&lt;&gt;"",MAX('Initiative Indirect'!$T:$T)+(ROW(A111)-1),"")</f>
        <v/>
      </c>
      <c r="U111" s="3" t="str">
        <f ca="1">IF(B111&lt;&gt;"",INDEX('Initiative Indirect'!$T:$T,MATCH(B111,'Initiative Indirect'!$A:$A,0)),"")</f>
        <v/>
      </c>
      <c r="V111" s="3" t="str">
        <f ca="1">IF(C111&lt;&gt;"",INDEX('Team Indirect'!$T:$T,MATCH(C111,'Team Indirect'!$A:$A,0)),"")</f>
        <v/>
      </c>
      <c r="W111" s="3"/>
      <c r="X111" s="3"/>
      <c r="Y111" s="3" t="str">
        <f ca="1">IF($C111&lt;&gt;"",INDEX('Team Indirect'!$D:$D,MATCH($C111,'Team Indirect'!$A:$A,0)),"")</f>
        <v/>
      </c>
      <c r="Z111" s="3" t="str">
        <f ca="1">IF($C111&lt;&gt;"",INDEX('Team Indirect'!$E:$E,MATCH($C111,'Team Indirect'!$A:$A,0)),"")</f>
        <v/>
      </c>
      <c r="AA111" s="3" t="str">
        <f ca="1">IF($C111&lt;&gt;"",INDEX('Team Indirect'!$F:$F,MATCH($C111,'Team Indirect'!$A:$A,0)),"")</f>
        <v/>
      </c>
      <c r="AB111" s="3" t="str">
        <f t="shared" ca="1" si="1"/>
        <v/>
      </c>
      <c r="AC111" s="3">
        <f ca="1">IF(OR(AllocationUnits="Stories", AllocationUnits="Points"),'Work Indirect'!F111,F111/MAX('Work Indirect'!AB111,1))</f>
        <v>1</v>
      </c>
    </row>
    <row r="112" spans="1:29"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7" t="str">
        <f ca="1">IF(OFFSET('4. Work'!$A$1,ROW(D112)-1,COLUMN(D112)-1)="","",OFFSET('4. Work'!$A$1,ROW(D112)-1,COLUMN(D112)-1))</f>
        <v/>
      </c>
      <c r="E112" s="147"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I112" s="3" t="str">
        <f ca="1">IF(OFFSET('4. Work'!$A$1,ROW(I112)-1,COLUMN(I112)-1)="","",OFFSET('4. Work'!$A$1,ROW(I112)-1,COLUMN(I112)-1))</f>
        <v/>
      </c>
      <c r="T112" s="3" t="str">
        <f ca="1">IF(A112&lt;&gt;"",MAX('Initiative Indirect'!$T:$T)+(ROW(A112)-1),"")</f>
        <v/>
      </c>
      <c r="U112" s="3" t="str">
        <f ca="1">IF(B112&lt;&gt;"",INDEX('Initiative Indirect'!$T:$T,MATCH(B112,'Initiative Indirect'!$A:$A,0)),"")</f>
        <v/>
      </c>
      <c r="V112" s="3" t="str">
        <f ca="1">IF(C112&lt;&gt;"",INDEX('Team Indirect'!$T:$T,MATCH(C112,'Team Indirect'!$A:$A,0)),"")</f>
        <v/>
      </c>
      <c r="W112" s="3"/>
      <c r="X112" s="3"/>
      <c r="Y112" s="3" t="str">
        <f ca="1">IF($C112&lt;&gt;"",INDEX('Team Indirect'!$D:$D,MATCH($C112,'Team Indirect'!$A:$A,0)),"")</f>
        <v/>
      </c>
      <c r="Z112" s="3" t="str">
        <f ca="1">IF($C112&lt;&gt;"",INDEX('Team Indirect'!$E:$E,MATCH($C112,'Team Indirect'!$A:$A,0)),"")</f>
        <v/>
      </c>
      <c r="AA112" s="3" t="str">
        <f ca="1">IF($C112&lt;&gt;"",INDEX('Team Indirect'!$F:$F,MATCH($C112,'Team Indirect'!$A:$A,0)),"")</f>
        <v/>
      </c>
      <c r="AB112" s="3" t="str">
        <f t="shared" ca="1" si="1"/>
        <v/>
      </c>
      <c r="AC112" s="3">
        <f ca="1">IF(OR(AllocationUnits="Stories", AllocationUnits="Points"),'Work Indirect'!F112,F112/MAX('Work Indirect'!AB112,1))</f>
        <v>1</v>
      </c>
    </row>
    <row r="113" spans="1:29"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7" t="str">
        <f ca="1">IF(OFFSET('4. Work'!$A$1,ROW(D113)-1,COLUMN(D113)-1)="","",OFFSET('4. Work'!$A$1,ROW(D113)-1,COLUMN(D113)-1))</f>
        <v/>
      </c>
      <c r="E113" s="147"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I113" s="3" t="str">
        <f ca="1">IF(OFFSET('4. Work'!$A$1,ROW(I113)-1,COLUMN(I113)-1)="","",OFFSET('4. Work'!$A$1,ROW(I113)-1,COLUMN(I113)-1))</f>
        <v/>
      </c>
      <c r="T113" s="3" t="str">
        <f ca="1">IF(A113&lt;&gt;"",MAX('Initiative Indirect'!$T:$T)+(ROW(A113)-1),"")</f>
        <v/>
      </c>
      <c r="U113" s="3" t="str">
        <f ca="1">IF(B113&lt;&gt;"",INDEX('Initiative Indirect'!$T:$T,MATCH(B113,'Initiative Indirect'!$A:$A,0)),"")</f>
        <v/>
      </c>
      <c r="V113" s="3" t="str">
        <f ca="1">IF(C113&lt;&gt;"",INDEX('Team Indirect'!$T:$T,MATCH(C113,'Team Indirect'!$A:$A,0)),"")</f>
        <v/>
      </c>
      <c r="W113" s="3"/>
      <c r="X113" s="3"/>
      <c r="Y113" s="3" t="str">
        <f ca="1">IF($C113&lt;&gt;"",INDEX('Team Indirect'!$D:$D,MATCH($C113,'Team Indirect'!$A:$A,0)),"")</f>
        <v/>
      </c>
      <c r="Z113" s="3" t="str">
        <f ca="1">IF($C113&lt;&gt;"",INDEX('Team Indirect'!$E:$E,MATCH($C113,'Team Indirect'!$A:$A,0)),"")</f>
        <v/>
      </c>
      <c r="AA113" s="3" t="str">
        <f ca="1">IF($C113&lt;&gt;"",INDEX('Team Indirect'!$F:$F,MATCH($C113,'Team Indirect'!$A:$A,0)),"")</f>
        <v/>
      </c>
      <c r="AB113" s="3" t="str">
        <f t="shared" ca="1" si="1"/>
        <v/>
      </c>
      <c r="AC113" s="3">
        <f ca="1">IF(OR(AllocationUnits="Stories", AllocationUnits="Points"),'Work Indirect'!F113,F113/MAX('Work Indirect'!AB113,1))</f>
        <v>1</v>
      </c>
    </row>
    <row r="114" spans="1:29"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7" t="str">
        <f ca="1">IF(OFFSET('4. Work'!$A$1,ROW(D114)-1,COLUMN(D114)-1)="","",OFFSET('4. Work'!$A$1,ROW(D114)-1,COLUMN(D114)-1))</f>
        <v/>
      </c>
      <c r="E114" s="147"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I114" s="3" t="str">
        <f ca="1">IF(OFFSET('4. Work'!$A$1,ROW(I114)-1,COLUMN(I114)-1)="","",OFFSET('4. Work'!$A$1,ROW(I114)-1,COLUMN(I114)-1))</f>
        <v/>
      </c>
      <c r="T114" s="3" t="str">
        <f ca="1">IF(A114&lt;&gt;"",MAX('Initiative Indirect'!$T:$T)+(ROW(A114)-1),"")</f>
        <v/>
      </c>
      <c r="U114" s="3" t="str">
        <f ca="1">IF(B114&lt;&gt;"",INDEX('Initiative Indirect'!$T:$T,MATCH(B114,'Initiative Indirect'!$A:$A,0)),"")</f>
        <v/>
      </c>
      <c r="V114" s="3" t="str">
        <f ca="1">IF(C114&lt;&gt;"",INDEX('Team Indirect'!$T:$T,MATCH(C114,'Team Indirect'!$A:$A,0)),"")</f>
        <v/>
      </c>
      <c r="W114" s="3"/>
      <c r="X114" s="3"/>
      <c r="Y114" s="3" t="str">
        <f ca="1">IF($C114&lt;&gt;"",INDEX('Team Indirect'!$D:$D,MATCH($C114,'Team Indirect'!$A:$A,0)),"")</f>
        <v/>
      </c>
      <c r="Z114" s="3" t="str">
        <f ca="1">IF($C114&lt;&gt;"",INDEX('Team Indirect'!$E:$E,MATCH($C114,'Team Indirect'!$A:$A,0)),"")</f>
        <v/>
      </c>
      <c r="AA114" s="3" t="str">
        <f ca="1">IF($C114&lt;&gt;"",INDEX('Team Indirect'!$F:$F,MATCH($C114,'Team Indirect'!$A:$A,0)),"")</f>
        <v/>
      </c>
      <c r="AB114" s="3" t="str">
        <f t="shared" ca="1" si="1"/>
        <v/>
      </c>
      <c r="AC114" s="3">
        <f ca="1">IF(OR(AllocationUnits="Stories", AllocationUnits="Points"),'Work Indirect'!F114,F114/MAX('Work Indirect'!AB114,1))</f>
        <v>1</v>
      </c>
    </row>
    <row r="115" spans="1:29"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7" t="str">
        <f ca="1">IF(OFFSET('4. Work'!$A$1,ROW(D115)-1,COLUMN(D115)-1)="","",OFFSET('4. Work'!$A$1,ROW(D115)-1,COLUMN(D115)-1))</f>
        <v/>
      </c>
      <c r="E115" s="147"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I115" s="3" t="str">
        <f ca="1">IF(OFFSET('4. Work'!$A$1,ROW(I115)-1,COLUMN(I115)-1)="","",OFFSET('4. Work'!$A$1,ROW(I115)-1,COLUMN(I115)-1))</f>
        <v/>
      </c>
      <c r="T115" s="3" t="str">
        <f ca="1">IF(A115&lt;&gt;"",MAX('Initiative Indirect'!$T:$T)+(ROW(A115)-1),"")</f>
        <v/>
      </c>
      <c r="U115" s="3" t="str">
        <f ca="1">IF(B115&lt;&gt;"",INDEX('Initiative Indirect'!$T:$T,MATCH(B115,'Initiative Indirect'!$A:$A,0)),"")</f>
        <v/>
      </c>
      <c r="V115" s="3" t="str">
        <f ca="1">IF(C115&lt;&gt;"",INDEX('Team Indirect'!$T:$T,MATCH(C115,'Team Indirect'!$A:$A,0)),"")</f>
        <v/>
      </c>
      <c r="W115" s="3"/>
      <c r="X115" s="3"/>
      <c r="Y115" s="3" t="str">
        <f ca="1">IF($C115&lt;&gt;"",INDEX('Team Indirect'!$D:$D,MATCH($C115,'Team Indirect'!$A:$A,0)),"")</f>
        <v/>
      </c>
      <c r="Z115" s="3" t="str">
        <f ca="1">IF($C115&lt;&gt;"",INDEX('Team Indirect'!$E:$E,MATCH($C115,'Team Indirect'!$A:$A,0)),"")</f>
        <v/>
      </c>
      <c r="AA115" s="3" t="str">
        <f ca="1">IF($C115&lt;&gt;"",INDEX('Team Indirect'!$F:$F,MATCH($C115,'Team Indirect'!$A:$A,0)),"")</f>
        <v/>
      </c>
      <c r="AB115" s="3" t="str">
        <f t="shared" ca="1" si="1"/>
        <v/>
      </c>
      <c r="AC115" s="3">
        <f ca="1">IF(OR(AllocationUnits="Stories", AllocationUnits="Points"),'Work Indirect'!F115,F115/MAX('Work Indirect'!AB115,1))</f>
        <v>1</v>
      </c>
    </row>
    <row r="116" spans="1:29"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7" t="str">
        <f ca="1">IF(OFFSET('4. Work'!$A$1,ROW(D116)-1,COLUMN(D116)-1)="","",OFFSET('4. Work'!$A$1,ROW(D116)-1,COLUMN(D116)-1))</f>
        <v/>
      </c>
      <c r="E116" s="147"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I116" s="3" t="str">
        <f ca="1">IF(OFFSET('4. Work'!$A$1,ROW(I116)-1,COLUMN(I116)-1)="","",OFFSET('4. Work'!$A$1,ROW(I116)-1,COLUMN(I116)-1))</f>
        <v/>
      </c>
      <c r="T116" s="3" t="str">
        <f ca="1">IF(A116&lt;&gt;"",MAX('Initiative Indirect'!$T:$T)+(ROW(A116)-1),"")</f>
        <v/>
      </c>
      <c r="U116" s="3" t="str">
        <f ca="1">IF(B116&lt;&gt;"",INDEX('Initiative Indirect'!$T:$T,MATCH(B116,'Initiative Indirect'!$A:$A,0)),"")</f>
        <v/>
      </c>
      <c r="V116" s="3" t="str">
        <f ca="1">IF(C116&lt;&gt;"",INDEX('Team Indirect'!$T:$T,MATCH(C116,'Team Indirect'!$A:$A,0)),"")</f>
        <v/>
      </c>
      <c r="W116" s="3"/>
      <c r="X116" s="3"/>
      <c r="Y116" s="3" t="str">
        <f ca="1">IF($C116&lt;&gt;"",INDEX('Team Indirect'!$D:$D,MATCH($C116,'Team Indirect'!$A:$A,0)),"")</f>
        <v/>
      </c>
      <c r="Z116" s="3" t="str">
        <f ca="1">IF($C116&lt;&gt;"",INDEX('Team Indirect'!$E:$E,MATCH($C116,'Team Indirect'!$A:$A,0)),"")</f>
        <v/>
      </c>
      <c r="AA116" s="3" t="str">
        <f ca="1">IF($C116&lt;&gt;"",INDEX('Team Indirect'!$F:$F,MATCH($C116,'Team Indirect'!$A:$A,0)),"")</f>
        <v/>
      </c>
      <c r="AB116" s="3" t="str">
        <f t="shared" ca="1" si="1"/>
        <v/>
      </c>
      <c r="AC116" s="3">
        <f ca="1">IF(OR(AllocationUnits="Stories", AllocationUnits="Points"),'Work Indirect'!F116,F116/MAX('Work Indirect'!AB116,1))</f>
        <v>1</v>
      </c>
    </row>
    <row r="117" spans="1:29"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7" t="str">
        <f ca="1">IF(OFFSET('4. Work'!$A$1,ROW(D117)-1,COLUMN(D117)-1)="","",OFFSET('4. Work'!$A$1,ROW(D117)-1,COLUMN(D117)-1))</f>
        <v/>
      </c>
      <c r="E117" s="147"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I117" s="3" t="str">
        <f ca="1">IF(OFFSET('4. Work'!$A$1,ROW(I117)-1,COLUMN(I117)-1)="","",OFFSET('4. Work'!$A$1,ROW(I117)-1,COLUMN(I117)-1))</f>
        <v/>
      </c>
      <c r="T117" s="3" t="str">
        <f ca="1">IF(A117&lt;&gt;"",MAX('Initiative Indirect'!$T:$T)+(ROW(A117)-1),"")</f>
        <v/>
      </c>
      <c r="U117" s="3" t="str">
        <f ca="1">IF(B117&lt;&gt;"",INDEX('Initiative Indirect'!$T:$T,MATCH(B117,'Initiative Indirect'!$A:$A,0)),"")</f>
        <v/>
      </c>
      <c r="V117" s="3" t="str">
        <f ca="1">IF(C117&lt;&gt;"",INDEX('Team Indirect'!$T:$T,MATCH(C117,'Team Indirect'!$A:$A,0)),"")</f>
        <v/>
      </c>
      <c r="W117" s="3"/>
      <c r="X117" s="3"/>
      <c r="Y117" s="3" t="str">
        <f ca="1">IF($C117&lt;&gt;"",INDEX('Team Indirect'!$D:$D,MATCH($C117,'Team Indirect'!$A:$A,0)),"")</f>
        <v/>
      </c>
      <c r="Z117" s="3" t="str">
        <f ca="1">IF($C117&lt;&gt;"",INDEX('Team Indirect'!$E:$E,MATCH($C117,'Team Indirect'!$A:$A,0)),"")</f>
        <v/>
      </c>
      <c r="AA117" s="3" t="str">
        <f ca="1">IF($C117&lt;&gt;"",INDEX('Team Indirect'!$F:$F,MATCH($C117,'Team Indirect'!$A:$A,0)),"")</f>
        <v/>
      </c>
      <c r="AB117" s="3" t="str">
        <f t="shared" ca="1" si="1"/>
        <v/>
      </c>
      <c r="AC117" s="3">
        <f ca="1">IF(OR(AllocationUnits="Stories", AllocationUnits="Points"),'Work Indirect'!F117,F117/MAX('Work Indirect'!AB117,1))</f>
        <v>1</v>
      </c>
    </row>
    <row r="118" spans="1:29"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7" t="str">
        <f ca="1">IF(OFFSET('4. Work'!$A$1,ROW(D118)-1,COLUMN(D118)-1)="","",OFFSET('4. Work'!$A$1,ROW(D118)-1,COLUMN(D118)-1))</f>
        <v/>
      </c>
      <c r="E118" s="147"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I118" s="3" t="str">
        <f ca="1">IF(OFFSET('4. Work'!$A$1,ROW(I118)-1,COLUMN(I118)-1)="","",OFFSET('4. Work'!$A$1,ROW(I118)-1,COLUMN(I118)-1))</f>
        <v/>
      </c>
      <c r="T118" s="3" t="str">
        <f ca="1">IF(A118&lt;&gt;"",MAX('Initiative Indirect'!$T:$T)+(ROW(A118)-1),"")</f>
        <v/>
      </c>
      <c r="U118" s="3" t="str">
        <f ca="1">IF(B118&lt;&gt;"",INDEX('Initiative Indirect'!$T:$T,MATCH(B118,'Initiative Indirect'!$A:$A,0)),"")</f>
        <v/>
      </c>
      <c r="V118" s="3" t="str">
        <f ca="1">IF(C118&lt;&gt;"",INDEX('Team Indirect'!$T:$T,MATCH(C118,'Team Indirect'!$A:$A,0)),"")</f>
        <v/>
      </c>
      <c r="W118" s="3"/>
      <c r="X118" s="3"/>
      <c r="Y118" s="3" t="str">
        <f ca="1">IF($C118&lt;&gt;"",INDEX('Team Indirect'!$D:$D,MATCH($C118,'Team Indirect'!$A:$A,0)),"")</f>
        <v/>
      </c>
      <c r="Z118" s="3" t="str">
        <f ca="1">IF($C118&lt;&gt;"",INDEX('Team Indirect'!$E:$E,MATCH($C118,'Team Indirect'!$A:$A,0)),"")</f>
        <v/>
      </c>
      <c r="AA118" s="3" t="str">
        <f ca="1">IF($C118&lt;&gt;"",INDEX('Team Indirect'!$F:$F,MATCH($C118,'Team Indirect'!$A:$A,0)),"")</f>
        <v/>
      </c>
      <c r="AB118" s="3" t="str">
        <f t="shared" ca="1" si="1"/>
        <v/>
      </c>
      <c r="AC118" s="3">
        <f ca="1">IF(OR(AllocationUnits="Stories", AllocationUnits="Points"),'Work Indirect'!F118,F118/MAX('Work Indirect'!AB118,1))</f>
        <v>1</v>
      </c>
    </row>
    <row r="119" spans="1:29"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7" t="str">
        <f ca="1">IF(OFFSET('4. Work'!$A$1,ROW(D119)-1,COLUMN(D119)-1)="","",OFFSET('4. Work'!$A$1,ROW(D119)-1,COLUMN(D119)-1))</f>
        <v/>
      </c>
      <c r="E119" s="147"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I119" s="3" t="str">
        <f ca="1">IF(OFFSET('4. Work'!$A$1,ROW(I119)-1,COLUMN(I119)-1)="","",OFFSET('4. Work'!$A$1,ROW(I119)-1,COLUMN(I119)-1))</f>
        <v/>
      </c>
      <c r="T119" s="3" t="str">
        <f ca="1">IF(A119&lt;&gt;"",MAX('Initiative Indirect'!$T:$T)+(ROW(A119)-1),"")</f>
        <v/>
      </c>
      <c r="U119" s="3" t="str">
        <f ca="1">IF(B119&lt;&gt;"",INDEX('Initiative Indirect'!$T:$T,MATCH(B119,'Initiative Indirect'!$A:$A,0)),"")</f>
        <v/>
      </c>
      <c r="V119" s="3" t="str">
        <f ca="1">IF(C119&lt;&gt;"",INDEX('Team Indirect'!$T:$T,MATCH(C119,'Team Indirect'!$A:$A,0)),"")</f>
        <v/>
      </c>
      <c r="W119" s="3"/>
      <c r="X119" s="3"/>
      <c r="Y119" s="3" t="str">
        <f ca="1">IF($C119&lt;&gt;"",INDEX('Team Indirect'!$D:$D,MATCH($C119,'Team Indirect'!$A:$A,0)),"")</f>
        <v/>
      </c>
      <c r="Z119" s="3" t="str">
        <f ca="1">IF($C119&lt;&gt;"",INDEX('Team Indirect'!$E:$E,MATCH($C119,'Team Indirect'!$A:$A,0)),"")</f>
        <v/>
      </c>
      <c r="AA119" s="3" t="str">
        <f ca="1">IF($C119&lt;&gt;"",INDEX('Team Indirect'!$F:$F,MATCH($C119,'Team Indirect'!$A:$A,0)),"")</f>
        <v/>
      </c>
      <c r="AB119" s="3" t="str">
        <f t="shared" ca="1" si="1"/>
        <v/>
      </c>
      <c r="AC119" s="3">
        <f ca="1">IF(OR(AllocationUnits="Stories", AllocationUnits="Points"),'Work Indirect'!F119,F119/MAX('Work Indirect'!AB119,1))</f>
        <v>1</v>
      </c>
    </row>
    <row r="120" spans="1:29"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7" t="str">
        <f ca="1">IF(OFFSET('4. Work'!$A$1,ROW(D120)-1,COLUMN(D120)-1)="","",OFFSET('4. Work'!$A$1,ROW(D120)-1,COLUMN(D120)-1))</f>
        <v/>
      </c>
      <c r="E120" s="147"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I120" s="3" t="str">
        <f ca="1">IF(OFFSET('4. Work'!$A$1,ROW(I120)-1,COLUMN(I120)-1)="","",OFFSET('4. Work'!$A$1,ROW(I120)-1,COLUMN(I120)-1))</f>
        <v/>
      </c>
      <c r="T120" s="3" t="str">
        <f ca="1">IF(A120&lt;&gt;"",MAX('Initiative Indirect'!$T:$T)+(ROW(A120)-1),"")</f>
        <v/>
      </c>
      <c r="U120" s="3" t="str">
        <f ca="1">IF(B120&lt;&gt;"",INDEX('Initiative Indirect'!$T:$T,MATCH(B120,'Initiative Indirect'!$A:$A,0)),"")</f>
        <v/>
      </c>
      <c r="V120" s="3" t="str">
        <f ca="1">IF(C120&lt;&gt;"",INDEX('Team Indirect'!$T:$T,MATCH(C120,'Team Indirect'!$A:$A,0)),"")</f>
        <v/>
      </c>
      <c r="W120" s="3"/>
      <c r="X120" s="3"/>
      <c r="Y120" s="3" t="str">
        <f ca="1">IF($C120&lt;&gt;"",INDEX('Team Indirect'!$D:$D,MATCH($C120,'Team Indirect'!$A:$A,0)),"")</f>
        <v/>
      </c>
      <c r="Z120" s="3" t="str">
        <f ca="1">IF($C120&lt;&gt;"",INDEX('Team Indirect'!$E:$E,MATCH($C120,'Team Indirect'!$A:$A,0)),"")</f>
        <v/>
      </c>
      <c r="AA120" s="3" t="str">
        <f ca="1">IF($C120&lt;&gt;"",INDEX('Team Indirect'!$F:$F,MATCH($C120,'Team Indirect'!$A:$A,0)),"")</f>
        <v/>
      </c>
      <c r="AB120" s="3" t="str">
        <f t="shared" ca="1" si="1"/>
        <v/>
      </c>
      <c r="AC120" s="3">
        <f ca="1">IF(OR(AllocationUnits="Stories", AllocationUnits="Points"),'Work Indirect'!F120,F120/MAX('Work Indirect'!AB120,1))</f>
        <v>1</v>
      </c>
    </row>
    <row r="121" spans="1:29"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7" t="str">
        <f ca="1">IF(OFFSET('4. Work'!$A$1,ROW(D121)-1,COLUMN(D121)-1)="","",OFFSET('4. Work'!$A$1,ROW(D121)-1,COLUMN(D121)-1))</f>
        <v/>
      </c>
      <c r="E121" s="147"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I121" s="3" t="str">
        <f ca="1">IF(OFFSET('4. Work'!$A$1,ROW(I121)-1,COLUMN(I121)-1)="","",OFFSET('4. Work'!$A$1,ROW(I121)-1,COLUMN(I121)-1))</f>
        <v/>
      </c>
      <c r="T121" s="3" t="str">
        <f ca="1">IF(A121&lt;&gt;"",MAX('Initiative Indirect'!$T:$T)+(ROW(A121)-1),"")</f>
        <v/>
      </c>
      <c r="U121" s="3" t="str">
        <f ca="1">IF(B121&lt;&gt;"",INDEX('Initiative Indirect'!$T:$T,MATCH(B121,'Initiative Indirect'!$A:$A,0)),"")</f>
        <v/>
      </c>
      <c r="V121" s="3" t="str">
        <f ca="1">IF(C121&lt;&gt;"",INDEX('Team Indirect'!$T:$T,MATCH(C121,'Team Indirect'!$A:$A,0)),"")</f>
        <v/>
      </c>
      <c r="W121" s="3"/>
      <c r="X121" s="3"/>
      <c r="Y121" s="3" t="str">
        <f ca="1">IF($C121&lt;&gt;"",INDEX('Team Indirect'!$D:$D,MATCH($C121,'Team Indirect'!$A:$A,0)),"")</f>
        <v/>
      </c>
      <c r="Z121" s="3" t="str">
        <f ca="1">IF($C121&lt;&gt;"",INDEX('Team Indirect'!$E:$E,MATCH($C121,'Team Indirect'!$A:$A,0)),"")</f>
        <v/>
      </c>
      <c r="AA121" s="3" t="str">
        <f ca="1">IF($C121&lt;&gt;"",INDEX('Team Indirect'!$F:$F,MATCH($C121,'Team Indirect'!$A:$A,0)),"")</f>
        <v/>
      </c>
      <c r="AB121" s="3" t="str">
        <f t="shared" ca="1" si="1"/>
        <v/>
      </c>
      <c r="AC121" s="3">
        <f ca="1">IF(OR(AllocationUnits="Stories", AllocationUnits="Points"),'Work Indirect'!F121,F121/MAX('Work Indirect'!AB121,1))</f>
        <v>1</v>
      </c>
    </row>
    <row r="122" spans="1:29"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7" t="str">
        <f ca="1">IF(OFFSET('4. Work'!$A$1,ROW(D122)-1,COLUMN(D122)-1)="","",OFFSET('4. Work'!$A$1,ROW(D122)-1,COLUMN(D122)-1))</f>
        <v/>
      </c>
      <c r="E122" s="147"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I122" s="3" t="str">
        <f ca="1">IF(OFFSET('4. Work'!$A$1,ROW(I122)-1,COLUMN(I122)-1)="","",OFFSET('4. Work'!$A$1,ROW(I122)-1,COLUMN(I122)-1))</f>
        <v/>
      </c>
      <c r="T122" s="3" t="str">
        <f ca="1">IF(A122&lt;&gt;"",MAX('Initiative Indirect'!$T:$T)+(ROW(A122)-1),"")</f>
        <v/>
      </c>
      <c r="U122" s="3" t="str">
        <f ca="1">IF(B122&lt;&gt;"",INDEX('Initiative Indirect'!$T:$T,MATCH(B122,'Initiative Indirect'!$A:$A,0)),"")</f>
        <v/>
      </c>
      <c r="V122" s="3" t="str">
        <f ca="1">IF(C122&lt;&gt;"",INDEX('Team Indirect'!$T:$T,MATCH(C122,'Team Indirect'!$A:$A,0)),"")</f>
        <v/>
      </c>
      <c r="W122" s="3"/>
      <c r="X122" s="3"/>
      <c r="Y122" s="3" t="str">
        <f ca="1">IF($C122&lt;&gt;"",INDEX('Team Indirect'!$D:$D,MATCH($C122,'Team Indirect'!$A:$A,0)),"")</f>
        <v/>
      </c>
      <c r="Z122" s="3" t="str">
        <f ca="1">IF($C122&lt;&gt;"",INDEX('Team Indirect'!$E:$E,MATCH($C122,'Team Indirect'!$A:$A,0)),"")</f>
        <v/>
      </c>
      <c r="AA122" s="3" t="str">
        <f ca="1">IF($C122&lt;&gt;"",INDEX('Team Indirect'!$F:$F,MATCH($C122,'Team Indirect'!$A:$A,0)),"")</f>
        <v/>
      </c>
      <c r="AB122" s="3" t="str">
        <f t="shared" ca="1" si="1"/>
        <v/>
      </c>
      <c r="AC122" s="3">
        <f ca="1">IF(OR(AllocationUnits="Stories", AllocationUnits="Points"),'Work Indirect'!F122,F122/MAX('Work Indirect'!AB122,1))</f>
        <v>1</v>
      </c>
    </row>
    <row r="123" spans="1:29"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7" t="str">
        <f ca="1">IF(OFFSET('4. Work'!$A$1,ROW(D123)-1,COLUMN(D123)-1)="","",OFFSET('4. Work'!$A$1,ROW(D123)-1,COLUMN(D123)-1))</f>
        <v/>
      </c>
      <c r="E123" s="147"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I123" s="3" t="str">
        <f ca="1">IF(OFFSET('4. Work'!$A$1,ROW(I123)-1,COLUMN(I123)-1)="","",OFFSET('4. Work'!$A$1,ROW(I123)-1,COLUMN(I123)-1))</f>
        <v/>
      </c>
      <c r="T123" s="3" t="str">
        <f ca="1">IF(A123&lt;&gt;"",MAX('Initiative Indirect'!$T:$T)+(ROW(A123)-1),"")</f>
        <v/>
      </c>
      <c r="U123" s="3" t="str">
        <f ca="1">IF(B123&lt;&gt;"",INDEX('Initiative Indirect'!$T:$T,MATCH(B123,'Initiative Indirect'!$A:$A,0)),"")</f>
        <v/>
      </c>
      <c r="V123" s="3" t="str">
        <f ca="1">IF(C123&lt;&gt;"",INDEX('Team Indirect'!$T:$T,MATCH(C123,'Team Indirect'!$A:$A,0)),"")</f>
        <v/>
      </c>
      <c r="W123" s="3"/>
      <c r="X123" s="3"/>
      <c r="Y123" s="3" t="str">
        <f ca="1">IF($C123&lt;&gt;"",INDEX('Team Indirect'!$D:$D,MATCH($C123,'Team Indirect'!$A:$A,0)),"")</f>
        <v/>
      </c>
      <c r="Z123" s="3" t="str">
        <f ca="1">IF($C123&lt;&gt;"",INDEX('Team Indirect'!$E:$E,MATCH($C123,'Team Indirect'!$A:$A,0)),"")</f>
        <v/>
      </c>
      <c r="AA123" s="3" t="str">
        <f ca="1">IF($C123&lt;&gt;"",INDEX('Team Indirect'!$F:$F,MATCH($C123,'Team Indirect'!$A:$A,0)),"")</f>
        <v/>
      </c>
      <c r="AB123" s="3" t="str">
        <f t="shared" ca="1" si="1"/>
        <v/>
      </c>
      <c r="AC123" s="3">
        <f ca="1">IF(OR(AllocationUnits="Stories", AllocationUnits="Points"),'Work Indirect'!F123,F123/MAX('Work Indirect'!AB123,1))</f>
        <v>1</v>
      </c>
    </row>
    <row r="124" spans="1:29"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7" t="str">
        <f ca="1">IF(OFFSET('4. Work'!$A$1,ROW(D124)-1,COLUMN(D124)-1)="","",OFFSET('4. Work'!$A$1,ROW(D124)-1,COLUMN(D124)-1))</f>
        <v/>
      </c>
      <c r="E124" s="147"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I124" s="3" t="str">
        <f ca="1">IF(OFFSET('4. Work'!$A$1,ROW(I124)-1,COLUMN(I124)-1)="","",OFFSET('4. Work'!$A$1,ROW(I124)-1,COLUMN(I124)-1))</f>
        <v/>
      </c>
      <c r="T124" s="3" t="str">
        <f ca="1">IF(A124&lt;&gt;"",MAX('Initiative Indirect'!$T:$T)+(ROW(A124)-1),"")</f>
        <v/>
      </c>
      <c r="U124" s="3" t="str">
        <f ca="1">IF(B124&lt;&gt;"",INDEX('Initiative Indirect'!$T:$T,MATCH(B124,'Initiative Indirect'!$A:$A,0)),"")</f>
        <v/>
      </c>
      <c r="V124" s="3" t="str">
        <f ca="1">IF(C124&lt;&gt;"",INDEX('Team Indirect'!$T:$T,MATCH(C124,'Team Indirect'!$A:$A,0)),"")</f>
        <v/>
      </c>
      <c r="W124" s="3"/>
      <c r="X124" s="3"/>
      <c r="Y124" s="3" t="str">
        <f ca="1">IF($C124&lt;&gt;"",INDEX('Team Indirect'!$D:$D,MATCH($C124,'Team Indirect'!$A:$A,0)),"")</f>
        <v/>
      </c>
      <c r="Z124" s="3" t="str">
        <f ca="1">IF($C124&lt;&gt;"",INDEX('Team Indirect'!$E:$E,MATCH($C124,'Team Indirect'!$A:$A,0)),"")</f>
        <v/>
      </c>
      <c r="AA124" s="3" t="str">
        <f ca="1">IF($C124&lt;&gt;"",INDEX('Team Indirect'!$F:$F,MATCH($C124,'Team Indirect'!$A:$A,0)),"")</f>
        <v/>
      </c>
      <c r="AB124" s="3" t="str">
        <f t="shared" ca="1" si="1"/>
        <v/>
      </c>
      <c r="AC124" s="3">
        <f ca="1">IF(OR(AllocationUnits="Stories", AllocationUnits="Points"),'Work Indirect'!F124,F124/MAX('Work Indirect'!AB124,1))</f>
        <v>1</v>
      </c>
    </row>
    <row r="125" spans="1:29"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7" t="str">
        <f ca="1">IF(OFFSET('4. Work'!$A$1,ROW(D125)-1,COLUMN(D125)-1)="","",OFFSET('4. Work'!$A$1,ROW(D125)-1,COLUMN(D125)-1))</f>
        <v/>
      </c>
      <c r="E125" s="147"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I125" s="3" t="str">
        <f ca="1">IF(OFFSET('4. Work'!$A$1,ROW(I125)-1,COLUMN(I125)-1)="","",OFFSET('4. Work'!$A$1,ROW(I125)-1,COLUMN(I125)-1))</f>
        <v/>
      </c>
      <c r="T125" s="3" t="str">
        <f ca="1">IF(A125&lt;&gt;"",MAX('Initiative Indirect'!$T:$T)+(ROW(A125)-1),"")</f>
        <v/>
      </c>
      <c r="U125" s="3" t="str">
        <f ca="1">IF(B125&lt;&gt;"",INDEX('Initiative Indirect'!$T:$T,MATCH(B125,'Initiative Indirect'!$A:$A,0)),"")</f>
        <v/>
      </c>
      <c r="V125" s="3" t="str">
        <f ca="1">IF(C125&lt;&gt;"",INDEX('Team Indirect'!$T:$T,MATCH(C125,'Team Indirect'!$A:$A,0)),"")</f>
        <v/>
      </c>
      <c r="W125" s="3"/>
      <c r="X125" s="3"/>
      <c r="Y125" s="3" t="str">
        <f ca="1">IF($C125&lt;&gt;"",INDEX('Team Indirect'!$D:$D,MATCH($C125,'Team Indirect'!$A:$A,0)),"")</f>
        <v/>
      </c>
      <c r="Z125" s="3" t="str">
        <f ca="1">IF($C125&lt;&gt;"",INDEX('Team Indirect'!$E:$E,MATCH($C125,'Team Indirect'!$A:$A,0)),"")</f>
        <v/>
      </c>
      <c r="AA125" s="3" t="str">
        <f ca="1">IF($C125&lt;&gt;"",INDEX('Team Indirect'!$F:$F,MATCH($C125,'Team Indirect'!$A:$A,0)),"")</f>
        <v/>
      </c>
      <c r="AB125" s="3" t="str">
        <f t="shared" ca="1" si="1"/>
        <v/>
      </c>
      <c r="AC125" s="3">
        <f ca="1">IF(OR(AllocationUnits="Stories", AllocationUnits="Points"),'Work Indirect'!F125,F125/MAX('Work Indirect'!AB125,1))</f>
        <v>1</v>
      </c>
    </row>
    <row r="126" spans="1:29"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7" t="str">
        <f ca="1">IF(OFFSET('4. Work'!$A$1,ROW(D126)-1,COLUMN(D126)-1)="","",OFFSET('4. Work'!$A$1,ROW(D126)-1,COLUMN(D126)-1))</f>
        <v/>
      </c>
      <c r="E126" s="147"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I126" s="3" t="str">
        <f ca="1">IF(OFFSET('4. Work'!$A$1,ROW(I126)-1,COLUMN(I126)-1)="","",OFFSET('4. Work'!$A$1,ROW(I126)-1,COLUMN(I126)-1))</f>
        <v/>
      </c>
      <c r="T126" s="3" t="str">
        <f ca="1">IF(A126&lt;&gt;"",MAX('Initiative Indirect'!$T:$T)+(ROW(A126)-1),"")</f>
        <v/>
      </c>
      <c r="U126" s="3" t="str">
        <f ca="1">IF(B126&lt;&gt;"",INDEX('Initiative Indirect'!$T:$T,MATCH(B126,'Initiative Indirect'!$A:$A,0)),"")</f>
        <v/>
      </c>
      <c r="V126" s="3" t="str">
        <f ca="1">IF(C126&lt;&gt;"",INDEX('Team Indirect'!$T:$T,MATCH(C126,'Team Indirect'!$A:$A,0)),"")</f>
        <v/>
      </c>
      <c r="W126" s="3"/>
      <c r="X126" s="3"/>
      <c r="Y126" s="3" t="str">
        <f ca="1">IF($C126&lt;&gt;"",INDEX('Team Indirect'!$D:$D,MATCH($C126,'Team Indirect'!$A:$A,0)),"")</f>
        <v/>
      </c>
      <c r="Z126" s="3" t="str">
        <f ca="1">IF($C126&lt;&gt;"",INDEX('Team Indirect'!$E:$E,MATCH($C126,'Team Indirect'!$A:$A,0)),"")</f>
        <v/>
      </c>
      <c r="AA126" s="3" t="str">
        <f ca="1">IF($C126&lt;&gt;"",INDEX('Team Indirect'!$F:$F,MATCH($C126,'Team Indirect'!$A:$A,0)),"")</f>
        <v/>
      </c>
      <c r="AB126" s="3" t="str">
        <f t="shared" ca="1" si="1"/>
        <v/>
      </c>
      <c r="AC126" s="3">
        <f ca="1">IF(OR(AllocationUnits="Stories", AllocationUnits="Points"),'Work Indirect'!F126,F126/MAX('Work Indirect'!AB126,1))</f>
        <v>1</v>
      </c>
    </row>
    <row r="127" spans="1:29"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7" t="str">
        <f ca="1">IF(OFFSET('4. Work'!$A$1,ROW(D127)-1,COLUMN(D127)-1)="","",OFFSET('4. Work'!$A$1,ROW(D127)-1,COLUMN(D127)-1))</f>
        <v/>
      </c>
      <c r="E127" s="147"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I127" s="3" t="str">
        <f ca="1">IF(OFFSET('4. Work'!$A$1,ROW(I127)-1,COLUMN(I127)-1)="","",OFFSET('4. Work'!$A$1,ROW(I127)-1,COLUMN(I127)-1))</f>
        <v/>
      </c>
      <c r="T127" s="3" t="str">
        <f ca="1">IF(A127&lt;&gt;"",MAX('Initiative Indirect'!$T:$T)+(ROW(A127)-1),"")</f>
        <v/>
      </c>
      <c r="U127" s="3" t="str">
        <f ca="1">IF(B127&lt;&gt;"",INDEX('Initiative Indirect'!$T:$T,MATCH(B127,'Initiative Indirect'!$A:$A,0)),"")</f>
        <v/>
      </c>
      <c r="V127" s="3" t="str">
        <f ca="1">IF(C127&lt;&gt;"",INDEX('Team Indirect'!$T:$T,MATCH(C127,'Team Indirect'!$A:$A,0)),"")</f>
        <v/>
      </c>
      <c r="W127" s="3"/>
      <c r="X127" s="3"/>
      <c r="Y127" s="3" t="str">
        <f ca="1">IF($C127&lt;&gt;"",INDEX('Team Indirect'!$D:$D,MATCH($C127,'Team Indirect'!$A:$A,0)),"")</f>
        <v/>
      </c>
      <c r="Z127" s="3" t="str">
        <f ca="1">IF($C127&lt;&gt;"",INDEX('Team Indirect'!$E:$E,MATCH($C127,'Team Indirect'!$A:$A,0)),"")</f>
        <v/>
      </c>
      <c r="AA127" s="3" t="str">
        <f ca="1">IF($C127&lt;&gt;"",INDEX('Team Indirect'!$F:$F,MATCH($C127,'Team Indirect'!$A:$A,0)),"")</f>
        <v/>
      </c>
      <c r="AB127" s="3" t="str">
        <f t="shared" ca="1" si="1"/>
        <v/>
      </c>
      <c r="AC127" s="3">
        <f ca="1">IF(OR(AllocationUnits="Stories", AllocationUnits="Points"),'Work Indirect'!F127,F127/MAX('Work Indirect'!AB127,1))</f>
        <v>1</v>
      </c>
    </row>
    <row r="128" spans="1:29"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7" t="str">
        <f ca="1">IF(OFFSET('4. Work'!$A$1,ROW(D128)-1,COLUMN(D128)-1)="","",OFFSET('4. Work'!$A$1,ROW(D128)-1,COLUMN(D128)-1))</f>
        <v/>
      </c>
      <c r="E128" s="147"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I128" s="3" t="str">
        <f ca="1">IF(OFFSET('4. Work'!$A$1,ROW(I128)-1,COLUMN(I128)-1)="","",OFFSET('4. Work'!$A$1,ROW(I128)-1,COLUMN(I128)-1))</f>
        <v/>
      </c>
      <c r="T128" s="3" t="str">
        <f ca="1">IF(A128&lt;&gt;"",MAX('Initiative Indirect'!$T:$T)+(ROW(A128)-1),"")</f>
        <v/>
      </c>
      <c r="U128" s="3" t="str">
        <f ca="1">IF(B128&lt;&gt;"",INDEX('Initiative Indirect'!$T:$T,MATCH(B128,'Initiative Indirect'!$A:$A,0)),"")</f>
        <v/>
      </c>
      <c r="V128" s="3" t="str">
        <f ca="1">IF(C128&lt;&gt;"",INDEX('Team Indirect'!$T:$T,MATCH(C128,'Team Indirect'!$A:$A,0)),"")</f>
        <v/>
      </c>
      <c r="W128" s="3"/>
      <c r="X128" s="3"/>
      <c r="Y128" s="3" t="str">
        <f ca="1">IF($C128&lt;&gt;"",INDEX('Team Indirect'!$D:$D,MATCH($C128,'Team Indirect'!$A:$A,0)),"")</f>
        <v/>
      </c>
      <c r="Z128" s="3" t="str">
        <f ca="1">IF($C128&lt;&gt;"",INDEX('Team Indirect'!$E:$E,MATCH($C128,'Team Indirect'!$A:$A,0)),"")</f>
        <v/>
      </c>
      <c r="AA128" s="3" t="str">
        <f ca="1">IF($C128&lt;&gt;"",INDEX('Team Indirect'!$F:$F,MATCH($C128,'Team Indirect'!$A:$A,0)),"")</f>
        <v/>
      </c>
      <c r="AB128" s="3" t="str">
        <f t="shared" ca="1" si="1"/>
        <v/>
      </c>
      <c r="AC128" s="3">
        <f ca="1">IF(OR(AllocationUnits="Stories", AllocationUnits="Points"),'Work Indirect'!F128,F128/MAX('Work Indirect'!AB128,1))</f>
        <v>1</v>
      </c>
    </row>
    <row r="129" spans="1:29"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7" t="str">
        <f ca="1">IF(OFFSET('4. Work'!$A$1,ROW(D129)-1,COLUMN(D129)-1)="","",OFFSET('4. Work'!$A$1,ROW(D129)-1,COLUMN(D129)-1))</f>
        <v/>
      </c>
      <c r="E129" s="147"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I129" s="3" t="str">
        <f ca="1">IF(OFFSET('4. Work'!$A$1,ROW(I129)-1,COLUMN(I129)-1)="","",OFFSET('4. Work'!$A$1,ROW(I129)-1,COLUMN(I129)-1))</f>
        <v/>
      </c>
      <c r="T129" s="3" t="str">
        <f ca="1">IF(A129&lt;&gt;"",MAX('Initiative Indirect'!$T:$T)+(ROW(A129)-1),"")</f>
        <v/>
      </c>
      <c r="U129" s="3" t="str">
        <f ca="1">IF(B129&lt;&gt;"",INDEX('Initiative Indirect'!$T:$T,MATCH(B129,'Initiative Indirect'!$A:$A,0)),"")</f>
        <v/>
      </c>
      <c r="V129" s="3" t="str">
        <f ca="1">IF(C129&lt;&gt;"",INDEX('Team Indirect'!$T:$T,MATCH(C129,'Team Indirect'!$A:$A,0)),"")</f>
        <v/>
      </c>
      <c r="W129" s="3"/>
      <c r="X129" s="3"/>
      <c r="Y129" s="3" t="str">
        <f ca="1">IF($C129&lt;&gt;"",INDEX('Team Indirect'!$D:$D,MATCH($C129,'Team Indirect'!$A:$A,0)),"")</f>
        <v/>
      </c>
      <c r="Z129" s="3" t="str">
        <f ca="1">IF($C129&lt;&gt;"",INDEX('Team Indirect'!$E:$E,MATCH($C129,'Team Indirect'!$A:$A,0)),"")</f>
        <v/>
      </c>
      <c r="AA129" s="3" t="str">
        <f ca="1">IF($C129&lt;&gt;"",INDEX('Team Indirect'!$F:$F,MATCH($C129,'Team Indirect'!$A:$A,0)),"")</f>
        <v/>
      </c>
      <c r="AB129" s="3" t="str">
        <f t="shared" ca="1" si="1"/>
        <v/>
      </c>
      <c r="AC129" s="3">
        <f ca="1">IF(OR(AllocationUnits="Stories", AllocationUnits="Points"),'Work Indirect'!F129,F129/MAX('Work Indirect'!AB129,1))</f>
        <v>1</v>
      </c>
    </row>
    <row r="130" spans="1:29"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7" t="str">
        <f ca="1">IF(OFFSET('4. Work'!$A$1,ROW(D130)-1,COLUMN(D130)-1)="","",OFFSET('4. Work'!$A$1,ROW(D130)-1,COLUMN(D130)-1))</f>
        <v/>
      </c>
      <c r="E130" s="147"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I130" s="3" t="str">
        <f ca="1">IF(OFFSET('4. Work'!$A$1,ROW(I130)-1,COLUMN(I130)-1)="","",OFFSET('4. Work'!$A$1,ROW(I130)-1,COLUMN(I130)-1))</f>
        <v/>
      </c>
      <c r="T130" s="3" t="str">
        <f ca="1">IF(A130&lt;&gt;"",MAX('Initiative Indirect'!$T:$T)+(ROW(A130)-1),"")</f>
        <v/>
      </c>
      <c r="U130" s="3" t="str">
        <f ca="1">IF(B130&lt;&gt;"",INDEX('Initiative Indirect'!$T:$T,MATCH(B130,'Initiative Indirect'!$A:$A,0)),"")</f>
        <v/>
      </c>
      <c r="V130" s="3" t="str">
        <f ca="1">IF(C130&lt;&gt;"",INDEX('Team Indirect'!$T:$T,MATCH(C130,'Team Indirect'!$A:$A,0)),"")</f>
        <v/>
      </c>
      <c r="W130" s="3"/>
      <c r="X130" s="3"/>
      <c r="Y130" s="3" t="str">
        <f ca="1">IF($C130&lt;&gt;"",INDEX('Team Indirect'!$D:$D,MATCH($C130,'Team Indirect'!$A:$A,0)),"")</f>
        <v/>
      </c>
      <c r="Z130" s="3" t="str">
        <f ca="1">IF($C130&lt;&gt;"",INDEX('Team Indirect'!$E:$E,MATCH($C130,'Team Indirect'!$A:$A,0)),"")</f>
        <v/>
      </c>
      <c r="AA130" s="3" t="str">
        <f ca="1">IF($C130&lt;&gt;"",INDEX('Team Indirect'!$F:$F,MATCH($C130,'Team Indirect'!$A:$A,0)),"")</f>
        <v/>
      </c>
      <c r="AB130" s="3" t="str">
        <f t="shared" ref="AB130:AB193" ca="1" si="2">IF(AND(Y130&lt;&gt;"",Z130&lt;&gt;""),Y130+((Z130-Y130)*(1-MAX(0,AA130))*(1-Probability)),"")</f>
        <v/>
      </c>
      <c r="AC130" s="3">
        <f ca="1">IF(OR(AllocationUnits="Stories", AllocationUnits="Points"),'Work Indirect'!F130,F130/MAX('Work Indirect'!AB130,1))</f>
        <v>1</v>
      </c>
    </row>
    <row r="131" spans="1:29"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7" t="str">
        <f ca="1">IF(OFFSET('4. Work'!$A$1,ROW(D131)-1,COLUMN(D131)-1)="","",OFFSET('4. Work'!$A$1,ROW(D131)-1,COLUMN(D131)-1))</f>
        <v/>
      </c>
      <c r="E131" s="147"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I131" s="3" t="str">
        <f ca="1">IF(OFFSET('4. Work'!$A$1,ROW(I131)-1,COLUMN(I131)-1)="","",OFFSET('4. Work'!$A$1,ROW(I131)-1,COLUMN(I131)-1))</f>
        <v/>
      </c>
      <c r="T131" s="3" t="str">
        <f ca="1">IF(A131&lt;&gt;"",MAX('Initiative Indirect'!$T:$T)+(ROW(A131)-1),"")</f>
        <v/>
      </c>
      <c r="U131" s="3" t="str">
        <f ca="1">IF(B131&lt;&gt;"",INDEX('Initiative Indirect'!$T:$T,MATCH(B131,'Initiative Indirect'!$A:$A,0)),"")</f>
        <v/>
      </c>
      <c r="V131" s="3" t="str">
        <f ca="1">IF(C131&lt;&gt;"",INDEX('Team Indirect'!$T:$T,MATCH(C131,'Team Indirect'!$A:$A,0)),"")</f>
        <v/>
      </c>
      <c r="W131" s="3"/>
      <c r="X131" s="3"/>
      <c r="Y131" s="3" t="str">
        <f ca="1">IF($C131&lt;&gt;"",INDEX('Team Indirect'!$D:$D,MATCH($C131,'Team Indirect'!$A:$A,0)),"")</f>
        <v/>
      </c>
      <c r="Z131" s="3" t="str">
        <f ca="1">IF($C131&lt;&gt;"",INDEX('Team Indirect'!$E:$E,MATCH($C131,'Team Indirect'!$A:$A,0)),"")</f>
        <v/>
      </c>
      <c r="AA131" s="3" t="str">
        <f ca="1">IF($C131&lt;&gt;"",INDEX('Team Indirect'!$F:$F,MATCH($C131,'Team Indirect'!$A:$A,0)),"")</f>
        <v/>
      </c>
      <c r="AB131" s="3" t="str">
        <f t="shared" ca="1" si="2"/>
        <v/>
      </c>
      <c r="AC131" s="3">
        <f ca="1">IF(OR(AllocationUnits="Stories", AllocationUnits="Points"),'Work Indirect'!F131,F131/MAX('Work Indirect'!AB131,1))</f>
        <v>1</v>
      </c>
    </row>
    <row r="132" spans="1:29"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7" t="str">
        <f ca="1">IF(OFFSET('4. Work'!$A$1,ROW(D132)-1,COLUMN(D132)-1)="","",OFFSET('4. Work'!$A$1,ROW(D132)-1,COLUMN(D132)-1))</f>
        <v/>
      </c>
      <c r="E132" s="147"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I132" s="3" t="str">
        <f ca="1">IF(OFFSET('4. Work'!$A$1,ROW(I132)-1,COLUMN(I132)-1)="","",OFFSET('4. Work'!$A$1,ROW(I132)-1,COLUMN(I132)-1))</f>
        <v/>
      </c>
      <c r="T132" s="3" t="str">
        <f ca="1">IF(A132&lt;&gt;"",MAX('Initiative Indirect'!$T:$T)+(ROW(A132)-1),"")</f>
        <v/>
      </c>
      <c r="U132" s="3" t="str">
        <f ca="1">IF(B132&lt;&gt;"",INDEX('Initiative Indirect'!$T:$T,MATCH(B132,'Initiative Indirect'!$A:$A,0)),"")</f>
        <v/>
      </c>
      <c r="V132" s="3" t="str">
        <f ca="1">IF(C132&lt;&gt;"",INDEX('Team Indirect'!$T:$T,MATCH(C132,'Team Indirect'!$A:$A,0)),"")</f>
        <v/>
      </c>
      <c r="W132" s="3"/>
      <c r="X132" s="3"/>
      <c r="Y132" s="3" t="str">
        <f ca="1">IF($C132&lt;&gt;"",INDEX('Team Indirect'!$D:$D,MATCH($C132,'Team Indirect'!$A:$A,0)),"")</f>
        <v/>
      </c>
      <c r="Z132" s="3" t="str">
        <f ca="1">IF($C132&lt;&gt;"",INDEX('Team Indirect'!$E:$E,MATCH($C132,'Team Indirect'!$A:$A,0)),"")</f>
        <v/>
      </c>
      <c r="AA132" s="3" t="str">
        <f ca="1">IF($C132&lt;&gt;"",INDEX('Team Indirect'!$F:$F,MATCH($C132,'Team Indirect'!$A:$A,0)),"")</f>
        <v/>
      </c>
      <c r="AB132" s="3" t="str">
        <f t="shared" ca="1" si="2"/>
        <v/>
      </c>
      <c r="AC132" s="3">
        <f ca="1">IF(OR(AllocationUnits="Stories", AllocationUnits="Points"),'Work Indirect'!F132,F132/MAX('Work Indirect'!AB132,1))</f>
        <v>1</v>
      </c>
    </row>
    <row r="133" spans="1:29"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7" t="str">
        <f ca="1">IF(OFFSET('4. Work'!$A$1,ROW(D133)-1,COLUMN(D133)-1)="","",OFFSET('4. Work'!$A$1,ROW(D133)-1,COLUMN(D133)-1))</f>
        <v/>
      </c>
      <c r="E133" s="147"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I133" s="3" t="str">
        <f ca="1">IF(OFFSET('4. Work'!$A$1,ROW(I133)-1,COLUMN(I133)-1)="","",OFFSET('4. Work'!$A$1,ROW(I133)-1,COLUMN(I133)-1))</f>
        <v/>
      </c>
      <c r="T133" s="3" t="str">
        <f ca="1">IF(A133&lt;&gt;"",MAX('Initiative Indirect'!$T:$T)+(ROW(A133)-1),"")</f>
        <v/>
      </c>
      <c r="U133" s="3" t="str">
        <f ca="1">IF(B133&lt;&gt;"",INDEX('Initiative Indirect'!$T:$T,MATCH(B133,'Initiative Indirect'!$A:$A,0)),"")</f>
        <v/>
      </c>
      <c r="V133" s="3" t="str">
        <f ca="1">IF(C133&lt;&gt;"",INDEX('Team Indirect'!$T:$T,MATCH(C133,'Team Indirect'!$A:$A,0)),"")</f>
        <v/>
      </c>
      <c r="W133" s="3"/>
      <c r="X133" s="3"/>
      <c r="Y133" s="3" t="str">
        <f ca="1">IF($C133&lt;&gt;"",INDEX('Team Indirect'!$D:$D,MATCH($C133,'Team Indirect'!$A:$A,0)),"")</f>
        <v/>
      </c>
      <c r="Z133" s="3" t="str">
        <f ca="1">IF($C133&lt;&gt;"",INDEX('Team Indirect'!$E:$E,MATCH($C133,'Team Indirect'!$A:$A,0)),"")</f>
        <v/>
      </c>
      <c r="AA133" s="3" t="str">
        <f ca="1">IF($C133&lt;&gt;"",INDEX('Team Indirect'!$F:$F,MATCH($C133,'Team Indirect'!$A:$A,0)),"")</f>
        <v/>
      </c>
      <c r="AB133" s="3" t="str">
        <f t="shared" ca="1" si="2"/>
        <v/>
      </c>
      <c r="AC133" s="3">
        <f ca="1">IF(OR(AllocationUnits="Stories", AllocationUnits="Points"),'Work Indirect'!F133,F133/MAX('Work Indirect'!AB133,1))</f>
        <v>1</v>
      </c>
    </row>
    <row r="134" spans="1:29"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7" t="str">
        <f ca="1">IF(OFFSET('4. Work'!$A$1,ROW(D134)-1,COLUMN(D134)-1)="","",OFFSET('4. Work'!$A$1,ROW(D134)-1,COLUMN(D134)-1))</f>
        <v/>
      </c>
      <c r="E134" s="147"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I134" s="3" t="str">
        <f ca="1">IF(OFFSET('4. Work'!$A$1,ROW(I134)-1,COLUMN(I134)-1)="","",OFFSET('4. Work'!$A$1,ROW(I134)-1,COLUMN(I134)-1))</f>
        <v/>
      </c>
      <c r="T134" s="3" t="str">
        <f ca="1">IF(A134&lt;&gt;"",MAX('Initiative Indirect'!$T:$T)+(ROW(A134)-1),"")</f>
        <v/>
      </c>
      <c r="U134" s="3" t="str">
        <f ca="1">IF(B134&lt;&gt;"",INDEX('Initiative Indirect'!$T:$T,MATCH(B134,'Initiative Indirect'!$A:$A,0)),"")</f>
        <v/>
      </c>
      <c r="V134" s="3" t="str">
        <f ca="1">IF(C134&lt;&gt;"",INDEX('Team Indirect'!$T:$T,MATCH(C134,'Team Indirect'!$A:$A,0)),"")</f>
        <v/>
      </c>
      <c r="W134" s="3"/>
      <c r="X134" s="3"/>
      <c r="Y134" s="3" t="str">
        <f ca="1">IF($C134&lt;&gt;"",INDEX('Team Indirect'!$D:$D,MATCH($C134,'Team Indirect'!$A:$A,0)),"")</f>
        <v/>
      </c>
      <c r="Z134" s="3" t="str">
        <f ca="1">IF($C134&lt;&gt;"",INDEX('Team Indirect'!$E:$E,MATCH($C134,'Team Indirect'!$A:$A,0)),"")</f>
        <v/>
      </c>
      <c r="AA134" s="3" t="str">
        <f ca="1">IF($C134&lt;&gt;"",INDEX('Team Indirect'!$F:$F,MATCH($C134,'Team Indirect'!$A:$A,0)),"")</f>
        <v/>
      </c>
      <c r="AB134" s="3" t="str">
        <f t="shared" ca="1" si="2"/>
        <v/>
      </c>
      <c r="AC134" s="3">
        <f ca="1">IF(OR(AllocationUnits="Stories", AllocationUnits="Points"),'Work Indirect'!F134,F134/MAX('Work Indirect'!AB134,1))</f>
        <v>1</v>
      </c>
    </row>
    <row r="135" spans="1:29"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7" t="str">
        <f ca="1">IF(OFFSET('4. Work'!$A$1,ROW(D135)-1,COLUMN(D135)-1)="","",OFFSET('4. Work'!$A$1,ROW(D135)-1,COLUMN(D135)-1))</f>
        <v/>
      </c>
      <c r="E135" s="147"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I135" s="3" t="str">
        <f ca="1">IF(OFFSET('4. Work'!$A$1,ROW(I135)-1,COLUMN(I135)-1)="","",OFFSET('4. Work'!$A$1,ROW(I135)-1,COLUMN(I135)-1))</f>
        <v/>
      </c>
      <c r="T135" s="3" t="str">
        <f ca="1">IF(A135&lt;&gt;"",MAX('Initiative Indirect'!$T:$T)+(ROW(A135)-1),"")</f>
        <v/>
      </c>
      <c r="U135" s="3" t="str">
        <f ca="1">IF(B135&lt;&gt;"",INDEX('Initiative Indirect'!$T:$T,MATCH(B135,'Initiative Indirect'!$A:$A,0)),"")</f>
        <v/>
      </c>
      <c r="V135" s="3" t="str">
        <f ca="1">IF(C135&lt;&gt;"",INDEX('Team Indirect'!$T:$T,MATCH(C135,'Team Indirect'!$A:$A,0)),"")</f>
        <v/>
      </c>
      <c r="W135" s="3"/>
      <c r="X135" s="3"/>
      <c r="Y135" s="3" t="str">
        <f ca="1">IF($C135&lt;&gt;"",INDEX('Team Indirect'!$D:$D,MATCH($C135,'Team Indirect'!$A:$A,0)),"")</f>
        <v/>
      </c>
      <c r="Z135" s="3" t="str">
        <f ca="1">IF($C135&lt;&gt;"",INDEX('Team Indirect'!$E:$E,MATCH($C135,'Team Indirect'!$A:$A,0)),"")</f>
        <v/>
      </c>
      <c r="AA135" s="3" t="str">
        <f ca="1">IF($C135&lt;&gt;"",INDEX('Team Indirect'!$F:$F,MATCH($C135,'Team Indirect'!$A:$A,0)),"")</f>
        <v/>
      </c>
      <c r="AB135" s="3" t="str">
        <f t="shared" ca="1" si="2"/>
        <v/>
      </c>
      <c r="AC135" s="3">
        <f ca="1">IF(OR(AllocationUnits="Stories", AllocationUnits="Points"),'Work Indirect'!F135,F135/MAX('Work Indirect'!AB135,1))</f>
        <v>1</v>
      </c>
    </row>
    <row r="136" spans="1:29"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7" t="str">
        <f ca="1">IF(OFFSET('4. Work'!$A$1,ROW(D136)-1,COLUMN(D136)-1)="","",OFFSET('4. Work'!$A$1,ROW(D136)-1,COLUMN(D136)-1))</f>
        <v/>
      </c>
      <c r="E136" s="147"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I136" s="3" t="str">
        <f ca="1">IF(OFFSET('4. Work'!$A$1,ROW(I136)-1,COLUMN(I136)-1)="","",OFFSET('4. Work'!$A$1,ROW(I136)-1,COLUMN(I136)-1))</f>
        <v/>
      </c>
      <c r="T136" s="3" t="str">
        <f ca="1">IF(A136&lt;&gt;"",MAX('Initiative Indirect'!$T:$T)+(ROW(A136)-1),"")</f>
        <v/>
      </c>
      <c r="U136" s="3" t="str">
        <f ca="1">IF(B136&lt;&gt;"",INDEX('Initiative Indirect'!$T:$T,MATCH(B136,'Initiative Indirect'!$A:$A,0)),"")</f>
        <v/>
      </c>
      <c r="V136" s="3" t="str">
        <f ca="1">IF(C136&lt;&gt;"",INDEX('Team Indirect'!$T:$T,MATCH(C136,'Team Indirect'!$A:$A,0)),"")</f>
        <v/>
      </c>
      <c r="W136" s="3"/>
      <c r="X136" s="3"/>
      <c r="Y136" s="3" t="str">
        <f ca="1">IF($C136&lt;&gt;"",INDEX('Team Indirect'!$D:$D,MATCH($C136,'Team Indirect'!$A:$A,0)),"")</f>
        <v/>
      </c>
      <c r="Z136" s="3" t="str">
        <f ca="1">IF($C136&lt;&gt;"",INDEX('Team Indirect'!$E:$E,MATCH($C136,'Team Indirect'!$A:$A,0)),"")</f>
        <v/>
      </c>
      <c r="AA136" s="3" t="str">
        <f ca="1">IF($C136&lt;&gt;"",INDEX('Team Indirect'!$F:$F,MATCH($C136,'Team Indirect'!$A:$A,0)),"")</f>
        <v/>
      </c>
      <c r="AB136" s="3" t="str">
        <f t="shared" ca="1" si="2"/>
        <v/>
      </c>
      <c r="AC136" s="3">
        <f ca="1">IF(OR(AllocationUnits="Stories", AllocationUnits="Points"),'Work Indirect'!F136,F136/MAX('Work Indirect'!AB136,1))</f>
        <v>1</v>
      </c>
    </row>
    <row r="137" spans="1:29"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7" t="str">
        <f ca="1">IF(OFFSET('4. Work'!$A$1,ROW(D137)-1,COLUMN(D137)-1)="","",OFFSET('4. Work'!$A$1,ROW(D137)-1,COLUMN(D137)-1))</f>
        <v/>
      </c>
      <c r="E137" s="147"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I137" s="3" t="str">
        <f ca="1">IF(OFFSET('4. Work'!$A$1,ROW(I137)-1,COLUMN(I137)-1)="","",OFFSET('4. Work'!$A$1,ROW(I137)-1,COLUMN(I137)-1))</f>
        <v/>
      </c>
      <c r="T137" s="3" t="str">
        <f ca="1">IF(A137&lt;&gt;"",MAX('Initiative Indirect'!$T:$T)+(ROW(A137)-1),"")</f>
        <v/>
      </c>
      <c r="U137" s="3" t="str">
        <f ca="1">IF(B137&lt;&gt;"",INDEX('Initiative Indirect'!$T:$T,MATCH(B137,'Initiative Indirect'!$A:$A,0)),"")</f>
        <v/>
      </c>
      <c r="V137" s="3" t="str">
        <f ca="1">IF(C137&lt;&gt;"",INDEX('Team Indirect'!$T:$T,MATCH(C137,'Team Indirect'!$A:$A,0)),"")</f>
        <v/>
      </c>
      <c r="W137" s="3"/>
      <c r="X137" s="3"/>
      <c r="Y137" s="3" t="str">
        <f ca="1">IF($C137&lt;&gt;"",INDEX('Team Indirect'!$D:$D,MATCH($C137,'Team Indirect'!$A:$A,0)),"")</f>
        <v/>
      </c>
      <c r="Z137" s="3" t="str">
        <f ca="1">IF($C137&lt;&gt;"",INDEX('Team Indirect'!$E:$E,MATCH($C137,'Team Indirect'!$A:$A,0)),"")</f>
        <v/>
      </c>
      <c r="AA137" s="3" t="str">
        <f ca="1">IF($C137&lt;&gt;"",INDEX('Team Indirect'!$F:$F,MATCH($C137,'Team Indirect'!$A:$A,0)),"")</f>
        <v/>
      </c>
      <c r="AB137" s="3" t="str">
        <f t="shared" ca="1" si="2"/>
        <v/>
      </c>
      <c r="AC137" s="3">
        <f ca="1">IF(OR(AllocationUnits="Stories", AllocationUnits="Points"),'Work Indirect'!F137,F137/MAX('Work Indirect'!AB137,1))</f>
        <v>1</v>
      </c>
    </row>
    <row r="138" spans="1:29"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7" t="str">
        <f ca="1">IF(OFFSET('4. Work'!$A$1,ROW(D138)-1,COLUMN(D138)-1)="","",OFFSET('4. Work'!$A$1,ROW(D138)-1,COLUMN(D138)-1))</f>
        <v/>
      </c>
      <c r="E138" s="147"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I138" s="3" t="str">
        <f ca="1">IF(OFFSET('4. Work'!$A$1,ROW(I138)-1,COLUMN(I138)-1)="","",OFFSET('4. Work'!$A$1,ROW(I138)-1,COLUMN(I138)-1))</f>
        <v/>
      </c>
      <c r="T138" s="3" t="str">
        <f ca="1">IF(A138&lt;&gt;"",MAX('Initiative Indirect'!$T:$T)+(ROW(A138)-1),"")</f>
        <v/>
      </c>
      <c r="U138" s="3" t="str">
        <f ca="1">IF(B138&lt;&gt;"",INDEX('Initiative Indirect'!$T:$T,MATCH(B138,'Initiative Indirect'!$A:$A,0)),"")</f>
        <v/>
      </c>
      <c r="V138" s="3" t="str">
        <f ca="1">IF(C138&lt;&gt;"",INDEX('Team Indirect'!$T:$T,MATCH(C138,'Team Indirect'!$A:$A,0)),"")</f>
        <v/>
      </c>
      <c r="W138" s="3"/>
      <c r="X138" s="3"/>
      <c r="Y138" s="3" t="str">
        <f ca="1">IF($C138&lt;&gt;"",INDEX('Team Indirect'!$D:$D,MATCH($C138,'Team Indirect'!$A:$A,0)),"")</f>
        <v/>
      </c>
      <c r="Z138" s="3" t="str">
        <f ca="1">IF($C138&lt;&gt;"",INDEX('Team Indirect'!$E:$E,MATCH($C138,'Team Indirect'!$A:$A,0)),"")</f>
        <v/>
      </c>
      <c r="AA138" s="3" t="str">
        <f ca="1">IF($C138&lt;&gt;"",INDEX('Team Indirect'!$F:$F,MATCH($C138,'Team Indirect'!$A:$A,0)),"")</f>
        <v/>
      </c>
      <c r="AB138" s="3" t="str">
        <f t="shared" ca="1" si="2"/>
        <v/>
      </c>
      <c r="AC138" s="3">
        <f ca="1">IF(OR(AllocationUnits="Stories", AllocationUnits="Points"),'Work Indirect'!F138,F138/MAX('Work Indirect'!AB138,1))</f>
        <v>1</v>
      </c>
    </row>
    <row r="139" spans="1:29"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7" t="str">
        <f ca="1">IF(OFFSET('4. Work'!$A$1,ROW(D139)-1,COLUMN(D139)-1)="","",OFFSET('4. Work'!$A$1,ROW(D139)-1,COLUMN(D139)-1))</f>
        <v/>
      </c>
      <c r="E139" s="147"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I139" s="3" t="str">
        <f ca="1">IF(OFFSET('4. Work'!$A$1,ROW(I139)-1,COLUMN(I139)-1)="","",OFFSET('4. Work'!$A$1,ROW(I139)-1,COLUMN(I139)-1))</f>
        <v/>
      </c>
      <c r="T139" s="3" t="str">
        <f ca="1">IF(A139&lt;&gt;"",MAX('Initiative Indirect'!$T:$T)+(ROW(A139)-1),"")</f>
        <v/>
      </c>
      <c r="U139" s="3" t="str">
        <f ca="1">IF(B139&lt;&gt;"",INDEX('Initiative Indirect'!$T:$T,MATCH(B139,'Initiative Indirect'!$A:$A,0)),"")</f>
        <v/>
      </c>
      <c r="V139" s="3" t="str">
        <f ca="1">IF(C139&lt;&gt;"",INDEX('Team Indirect'!$T:$T,MATCH(C139,'Team Indirect'!$A:$A,0)),"")</f>
        <v/>
      </c>
      <c r="W139" s="3"/>
      <c r="X139" s="3"/>
      <c r="Y139" s="3" t="str">
        <f ca="1">IF($C139&lt;&gt;"",INDEX('Team Indirect'!$D:$D,MATCH($C139,'Team Indirect'!$A:$A,0)),"")</f>
        <v/>
      </c>
      <c r="Z139" s="3" t="str">
        <f ca="1">IF($C139&lt;&gt;"",INDEX('Team Indirect'!$E:$E,MATCH($C139,'Team Indirect'!$A:$A,0)),"")</f>
        <v/>
      </c>
      <c r="AA139" s="3" t="str">
        <f ca="1">IF($C139&lt;&gt;"",INDEX('Team Indirect'!$F:$F,MATCH($C139,'Team Indirect'!$A:$A,0)),"")</f>
        <v/>
      </c>
      <c r="AB139" s="3" t="str">
        <f t="shared" ca="1" si="2"/>
        <v/>
      </c>
      <c r="AC139" s="3">
        <f ca="1">IF(OR(AllocationUnits="Stories", AllocationUnits="Points"),'Work Indirect'!F139,F139/MAX('Work Indirect'!AB139,1))</f>
        <v>1</v>
      </c>
    </row>
    <row r="140" spans="1:29"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7" t="str">
        <f ca="1">IF(OFFSET('4. Work'!$A$1,ROW(D140)-1,COLUMN(D140)-1)="","",OFFSET('4. Work'!$A$1,ROW(D140)-1,COLUMN(D140)-1))</f>
        <v/>
      </c>
      <c r="E140" s="147"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I140" s="3" t="str">
        <f ca="1">IF(OFFSET('4. Work'!$A$1,ROW(I140)-1,COLUMN(I140)-1)="","",OFFSET('4. Work'!$A$1,ROW(I140)-1,COLUMN(I140)-1))</f>
        <v/>
      </c>
      <c r="T140" s="3" t="str">
        <f ca="1">IF(A140&lt;&gt;"",MAX('Initiative Indirect'!$T:$T)+(ROW(A140)-1),"")</f>
        <v/>
      </c>
      <c r="U140" s="3" t="str">
        <f ca="1">IF(B140&lt;&gt;"",INDEX('Initiative Indirect'!$T:$T,MATCH(B140,'Initiative Indirect'!$A:$A,0)),"")</f>
        <v/>
      </c>
      <c r="V140" s="3" t="str">
        <f ca="1">IF(C140&lt;&gt;"",INDEX('Team Indirect'!$T:$T,MATCH(C140,'Team Indirect'!$A:$A,0)),"")</f>
        <v/>
      </c>
      <c r="W140" s="3"/>
      <c r="X140" s="3"/>
      <c r="Y140" s="3" t="str">
        <f ca="1">IF($C140&lt;&gt;"",INDEX('Team Indirect'!$D:$D,MATCH($C140,'Team Indirect'!$A:$A,0)),"")</f>
        <v/>
      </c>
      <c r="Z140" s="3" t="str">
        <f ca="1">IF($C140&lt;&gt;"",INDEX('Team Indirect'!$E:$E,MATCH($C140,'Team Indirect'!$A:$A,0)),"")</f>
        <v/>
      </c>
      <c r="AA140" s="3" t="str">
        <f ca="1">IF($C140&lt;&gt;"",INDEX('Team Indirect'!$F:$F,MATCH($C140,'Team Indirect'!$A:$A,0)),"")</f>
        <v/>
      </c>
      <c r="AB140" s="3" t="str">
        <f t="shared" ca="1" si="2"/>
        <v/>
      </c>
      <c r="AC140" s="3">
        <f ca="1">IF(OR(AllocationUnits="Stories", AllocationUnits="Points"),'Work Indirect'!F140,F140/MAX('Work Indirect'!AB140,1))</f>
        <v>1</v>
      </c>
    </row>
    <row r="141" spans="1:29"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7" t="str">
        <f ca="1">IF(OFFSET('4. Work'!$A$1,ROW(D141)-1,COLUMN(D141)-1)="","",OFFSET('4. Work'!$A$1,ROW(D141)-1,COLUMN(D141)-1))</f>
        <v/>
      </c>
      <c r="E141" s="147"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I141" s="3" t="str">
        <f ca="1">IF(OFFSET('4. Work'!$A$1,ROW(I141)-1,COLUMN(I141)-1)="","",OFFSET('4. Work'!$A$1,ROW(I141)-1,COLUMN(I141)-1))</f>
        <v/>
      </c>
      <c r="T141" s="3" t="str">
        <f ca="1">IF(A141&lt;&gt;"",MAX('Initiative Indirect'!$T:$T)+(ROW(A141)-1),"")</f>
        <v/>
      </c>
      <c r="U141" s="3" t="str">
        <f ca="1">IF(B141&lt;&gt;"",INDEX('Initiative Indirect'!$T:$T,MATCH(B141,'Initiative Indirect'!$A:$A,0)),"")</f>
        <v/>
      </c>
      <c r="V141" s="3" t="str">
        <f ca="1">IF(C141&lt;&gt;"",INDEX('Team Indirect'!$T:$T,MATCH(C141,'Team Indirect'!$A:$A,0)),"")</f>
        <v/>
      </c>
      <c r="W141" s="3"/>
      <c r="X141" s="3"/>
      <c r="Y141" s="3" t="str">
        <f ca="1">IF($C141&lt;&gt;"",INDEX('Team Indirect'!$D:$D,MATCH($C141,'Team Indirect'!$A:$A,0)),"")</f>
        <v/>
      </c>
      <c r="Z141" s="3" t="str">
        <f ca="1">IF($C141&lt;&gt;"",INDEX('Team Indirect'!$E:$E,MATCH($C141,'Team Indirect'!$A:$A,0)),"")</f>
        <v/>
      </c>
      <c r="AA141" s="3" t="str">
        <f ca="1">IF($C141&lt;&gt;"",INDEX('Team Indirect'!$F:$F,MATCH($C141,'Team Indirect'!$A:$A,0)),"")</f>
        <v/>
      </c>
      <c r="AB141" s="3" t="str">
        <f t="shared" ca="1" si="2"/>
        <v/>
      </c>
      <c r="AC141" s="3">
        <f ca="1">IF(OR(AllocationUnits="Stories", AllocationUnits="Points"),'Work Indirect'!F141,F141/MAX('Work Indirect'!AB141,1))</f>
        <v>1</v>
      </c>
    </row>
    <row r="142" spans="1:29"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7" t="str">
        <f ca="1">IF(OFFSET('4. Work'!$A$1,ROW(D142)-1,COLUMN(D142)-1)="","",OFFSET('4. Work'!$A$1,ROW(D142)-1,COLUMN(D142)-1))</f>
        <v/>
      </c>
      <c r="E142" s="147"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I142" s="3" t="str">
        <f ca="1">IF(OFFSET('4. Work'!$A$1,ROW(I142)-1,COLUMN(I142)-1)="","",OFFSET('4. Work'!$A$1,ROW(I142)-1,COLUMN(I142)-1))</f>
        <v/>
      </c>
      <c r="T142" s="3" t="str">
        <f ca="1">IF(A142&lt;&gt;"",MAX('Initiative Indirect'!$T:$T)+(ROW(A142)-1),"")</f>
        <v/>
      </c>
      <c r="U142" s="3" t="str">
        <f ca="1">IF(B142&lt;&gt;"",INDEX('Initiative Indirect'!$T:$T,MATCH(B142,'Initiative Indirect'!$A:$A,0)),"")</f>
        <v/>
      </c>
      <c r="V142" s="3" t="str">
        <f ca="1">IF(C142&lt;&gt;"",INDEX('Team Indirect'!$T:$T,MATCH(C142,'Team Indirect'!$A:$A,0)),"")</f>
        <v/>
      </c>
      <c r="W142" s="3"/>
      <c r="X142" s="3"/>
      <c r="Y142" s="3" t="str">
        <f ca="1">IF($C142&lt;&gt;"",INDEX('Team Indirect'!$D:$D,MATCH($C142,'Team Indirect'!$A:$A,0)),"")</f>
        <v/>
      </c>
      <c r="Z142" s="3" t="str">
        <f ca="1">IF($C142&lt;&gt;"",INDEX('Team Indirect'!$E:$E,MATCH($C142,'Team Indirect'!$A:$A,0)),"")</f>
        <v/>
      </c>
      <c r="AA142" s="3" t="str">
        <f ca="1">IF($C142&lt;&gt;"",INDEX('Team Indirect'!$F:$F,MATCH($C142,'Team Indirect'!$A:$A,0)),"")</f>
        <v/>
      </c>
      <c r="AB142" s="3" t="str">
        <f t="shared" ca="1" si="2"/>
        <v/>
      </c>
      <c r="AC142" s="3">
        <f ca="1">IF(OR(AllocationUnits="Stories", AllocationUnits="Points"),'Work Indirect'!F142,F142/MAX('Work Indirect'!AB142,1))</f>
        <v>1</v>
      </c>
    </row>
    <row r="143" spans="1:29"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7" t="str">
        <f ca="1">IF(OFFSET('4. Work'!$A$1,ROW(D143)-1,COLUMN(D143)-1)="","",OFFSET('4. Work'!$A$1,ROW(D143)-1,COLUMN(D143)-1))</f>
        <v/>
      </c>
      <c r="E143" s="147"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I143" s="3" t="str">
        <f ca="1">IF(OFFSET('4. Work'!$A$1,ROW(I143)-1,COLUMN(I143)-1)="","",OFFSET('4. Work'!$A$1,ROW(I143)-1,COLUMN(I143)-1))</f>
        <v/>
      </c>
      <c r="T143" s="3" t="str">
        <f ca="1">IF(A143&lt;&gt;"",MAX('Initiative Indirect'!$T:$T)+(ROW(A143)-1),"")</f>
        <v/>
      </c>
      <c r="U143" s="3" t="str">
        <f ca="1">IF(B143&lt;&gt;"",INDEX('Initiative Indirect'!$T:$T,MATCH(B143,'Initiative Indirect'!$A:$A,0)),"")</f>
        <v/>
      </c>
      <c r="V143" s="3" t="str">
        <f ca="1">IF(C143&lt;&gt;"",INDEX('Team Indirect'!$T:$T,MATCH(C143,'Team Indirect'!$A:$A,0)),"")</f>
        <v/>
      </c>
      <c r="W143" s="3"/>
      <c r="X143" s="3"/>
      <c r="Y143" s="3" t="str">
        <f ca="1">IF($C143&lt;&gt;"",INDEX('Team Indirect'!$D:$D,MATCH($C143,'Team Indirect'!$A:$A,0)),"")</f>
        <v/>
      </c>
      <c r="Z143" s="3" t="str">
        <f ca="1">IF($C143&lt;&gt;"",INDEX('Team Indirect'!$E:$E,MATCH($C143,'Team Indirect'!$A:$A,0)),"")</f>
        <v/>
      </c>
      <c r="AA143" s="3" t="str">
        <f ca="1">IF($C143&lt;&gt;"",INDEX('Team Indirect'!$F:$F,MATCH($C143,'Team Indirect'!$A:$A,0)),"")</f>
        <v/>
      </c>
      <c r="AB143" s="3" t="str">
        <f t="shared" ca="1" si="2"/>
        <v/>
      </c>
      <c r="AC143" s="3">
        <f ca="1">IF(OR(AllocationUnits="Stories", AllocationUnits="Points"),'Work Indirect'!F143,F143/MAX('Work Indirect'!AB143,1))</f>
        <v>1</v>
      </c>
    </row>
    <row r="144" spans="1:29"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7" t="str">
        <f ca="1">IF(OFFSET('4. Work'!$A$1,ROW(D144)-1,COLUMN(D144)-1)="","",OFFSET('4. Work'!$A$1,ROW(D144)-1,COLUMN(D144)-1))</f>
        <v/>
      </c>
      <c r="E144" s="147"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I144" s="3" t="str">
        <f ca="1">IF(OFFSET('4. Work'!$A$1,ROW(I144)-1,COLUMN(I144)-1)="","",OFFSET('4. Work'!$A$1,ROW(I144)-1,COLUMN(I144)-1))</f>
        <v/>
      </c>
      <c r="T144" s="3" t="str">
        <f ca="1">IF(A144&lt;&gt;"",MAX('Initiative Indirect'!$T:$T)+(ROW(A144)-1),"")</f>
        <v/>
      </c>
      <c r="U144" s="3" t="str">
        <f ca="1">IF(B144&lt;&gt;"",INDEX('Initiative Indirect'!$T:$T,MATCH(B144,'Initiative Indirect'!$A:$A,0)),"")</f>
        <v/>
      </c>
      <c r="V144" s="3" t="str">
        <f ca="1">IF(C144&lt;&gt;"",INDEX('Team Indirect'!$T:$T,MATCH(C144,'Team Indirect'!$A:$A,0)),"")</f>
        <v/>
      </c>
      <c r="W144" s="3"/>
      <c r="X144" s="3"/>
      <c r="Y144" s="3" t="str">
        <f ca="1">IF($C144&lt;&gt;"",INDEX('Team Indirect'!$D:$D,MATCH($C144,'Team Indirect'!$A:$A,0)),"")</f>
        <v/>
      </c>
      <c r="Z144" s="3" t="str">
        <f ca="1">IF($C144&lt;&gt;"",INDEX('Team Indirect'!$E:$E,MATCH($C144,'Team Indirect'!$A:$A,0)),"")</f>
        <v/>
      </c>
      <c r="AA144" s="3" t="str">
        <f ca="1">IF($C144&lt;&gt;"",INDEX('Team Indirect'!$F:$F,MATCH($C144,'Team Indirect'!$A:$A,0)),"")</f>
        <v/>
      </c>
      <c r="AB144" s="3" t="str">
        <f t="shared" ca="1" si="2"/>
        <v/>
      </c>
      <c r="AC144" s="3">
        <f ca="1">IF(OR(AllocationUnits="Stories", AllocationUnits="Points"),'Work Indirect'!F144,F144/MAX('Work Indirect'!AB144,1))</f>
        <v>1</v>
      </c>
    </row>
    <row r="145" spans="1:29"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7" t="str">
        <f ca="1">IF(OFFSET('4. Work'!$A$1,ROW(D145)-1,COLUMN(D145)-1)="","",OFFSET('4. Work'!$A$1,ROW(D145)-1,COLUMN(D145)-1))</f>
        <v/>
      </c>
      <c r="E145" s="147"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I145" s="3" t="str">
        <f ca="1">IF(OFFSET('4. Work'!$A$1,ROW(I145)-1,COLUMN(I145)-1)="","",OFFSET('4. Work'!$A$1,ROW(I145)-1,COLUMN(I145)-1))</f>
        <v/>
      </c>
      <c r="T145" s="3" t="str">
        <f ca="1">IF(A145&lt;&gt;"",MAX('Initiative Indirect'!$T:$T)+(ROW(A145)-1),"")</f>
        <v/>
      </c>
      <c r="U145" s="3" t="str">
        <f ca="1">IF(B145&lt;&gt;"",INDEX('Initiative Indirect'!$T:$T,MATCH(B145,'Initiative Indirect'!$A:$A,0)),"")</f>
        <v/>
      </c>
      <c r="V145" s="3" t="str">
        <f ca="1">IF(C145&lt;&gt;"",INDEX('Team Indirect'!$T:$T,MATCH(C145,'Team Indirect'!$A:$A,0)),"")</f>
        <v/>
      </c>
      <c r="W145" s="3"/>
      <c r="X145" s="3"/>
      <c r="Y145" s="3" t="str">
        <f ca="1">IF($C145&lt;&gt;"",INDEX('Team Indirect'!$D:$D,MATCH($C145,'Team Indirect'!$A:$A,0)),"")</f>
        <v/>
      </c>
      <c r="Z145" s="3" t="str">
        <f ca="1">IF($C145&lt;&gt;"",INDEX('Team Indirect'!$E:$E,MATCH($C145,'Team Indirect'!$A:$A,0)),"")</f>
        <v/>
      </c>
      <c r="AA145" s="3" t="str">
        <f ca="1">IF($C145&lt;&gt;"",INDEX('Team Indirect'!$F:$F,MATCH($C145,'Team Indirect'!$A:$A,0)),"")</f>
        <v/>
      </c>
      <c r="AB145" s="3" t="str">
        <f t="shared" ca="1" si="2"/>
        <v/>
      </c>
      <c r="AC145" s="3">
        <f ca="1">IF(OR(AllocationUnits="Stories", AllocationUnits="Points"),'Work Indirect'!F145,F145/MAX('Work Indirect'!AB145,1))</f>
        <v>1</v>
      </c>
    </row>
    <row r="146" spans="1:29"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7" t="str">
        <f ca="1">IF(OFFSET('4. Work'!$A$1,ROW(D146)-1,COLUMN(D146)-1)="","",OFFSET('4. Work'!$A$1,ROW(D146)-1,COLUMN(D146)-1))</f>
        <v/>
      </c>
      <c r="E146" s="147"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I146" s="3" t="str">
        <f ca="1">IF(OFFSET('4. Work'!$A$1,ROW(I146)-1,COLUMN(I146)-1)="","",OFFSET('4. Work'!$A$1,ROW(I146)-1,COLUMN(I146)-1))</f>
        <v/>
      </c>
      <c r="T146" s="3" t="str">
        <f ca="1">IF(A146&lt;&gt;"",MAX('Initiative Indirect'!$T:$T)+(ROW(A146)-1),"")</f>
        <v/>
      </c>
      <c r="U146" s="3" t="str">
        <f ca="1">IF(B146&lt;&gt;"",INDEX('Initiative Indirect'!$T:$T,MATCH(B146,'Initiative Indirect'!$A:$A,0)),"")</f>
        <v/>
      </c>
      <c r="V146" s="3" t="str">
        <f ca="1">IF(C146&lt;&gt;"",INDEX('Team Indirect'!$T:$T,MATCH(C146,'Team Indirect'!$A:$A,0)),"")</f>
        <v/>
      </c>
      <c r="W146" s="3"/>
      <c r="X146" s="3"/>
      <c r="Y146" s="3" t="str">
        <f ca="1">IF($C146&lt;&gt;"",INDEX('Team Indirect'!$D:$D,MATCH($C146,'Team Indirect'!$A:$A,0)),"")</f>
        <v/>
      </c>
      <c r="Z146" s="3" t="str">
        <f ca="1">IF($C146&lt;&gt;"",INDEX('Team Indirect'!$E:$E,MATCH($C146,'Team Indirect'!$A:$A,0)),"")</f>
        <v/>
      </c>
      <c r="AA146" s="3" t="str">
        <f ca="1">IF($C146&lt;&gt;"",INDEX('Team Indirect'!$F:$F,MATCH($C146,'Team Indirect'!$A:$A,0)),"")</f>
        <v/>
      </c>
      <c r="AB146" s="3" t="str">
        <f t="shared" ca="1" si="2"/>
        <v/>
      </c>
      <c r="AC146" s="3">
        <f ca="1">IF(OR(AllocationUnits="Stories", AllocationUnits="Points"),'Work Indirect'!F146,F146/MAX('Work Indirect'!AB146,1))</f>
        <v>1</v>
      </c>
    </row>
    <row r="147" spans="1:29"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7" t="str">
        <f ca="1">IF(OFFSET('4. Work'!$A$1,ROW(D147)-1,COLUMN(D147)-1)="","",OFFSET('4. Work'!$A$1,ROW(D147)-1,COLUMN(D147)-1))</f>
        <v/>
      </c>
      <c r="E147" s="147"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I147" s="3" t="str">
        <f ca="1">IF(OFFSET('4. Work'!$A$1,ROW(I147)-1,COLUMN(I147)-1)="","",OFFSET('4. Work'!$A$1,ROW(I147)-1,COLUMN(I147)-1))</f>
        <v/>
      </c>
      <c r="T147" s="3" t="str">
        <f ca="1">IF(A147&lt;&gt;"",MAX('Initiative Indirect'!$T:$T)+(ROW(A147)-1),"")</f>
        <v/>
      </c>
      <c r="U147" s="3" t="str">
        <f ca="1">IF(B147&lt;&gt;"",INDEX('Initiative Indirect'!$T:$T,MATCH(B147,'Initiative Indirect'!$A:$A,0)),"")</f>
        <v/>
      </c>
      <c r="V147" s="3" t="str">
        <f ca="1">IF(C147&lt;&gt;"",INDEX('Team Indirect'!$T:$T,MATCH(C147,'Team Indirect'!$A:$A,0)),"")</f>
        <v/>
      </c>
      <c r="W147" s="3"/>
      <c r="X147" s="3"/>
      <c r="Y147" s="3" t="str">
        <f ca="1">IF($C147&lt;&gt;"",INDEX('Team Indirect'!$D:$D,MATCH($C147,'Team Indirect'!$A:$A,0)),"")</f>
        <v/>
      </c>
      <c r="Z147" s="3" t="str">
        <f ca="1">IF($C147&lt;&gt;"",INDEX('Team Indirect'!$E:$E,MATCH($C147,'Team Indirect'!$A:$A,0)),"")</f>
        <v/>
      </c>
      <c r="AA147" s="3" t="str">
        <f ca="1">IF($C147&lt;&gt;"",INDEX('Team Indirect'!$F:$F,MATCH($C147,'Team Indirect'!$A:$A,0)),"")</f>
        <v/>
      </c>
      <c r="AB147" s="3" t="str">
        <f t="shared" ca="1" si="2"/>
        <v/>
      </c>
      <c r="AC147" s="3">
        <f ca="1">IF(OR(AllocationUnits="Stories", AllocationUnits="Points"),'Work Indirect'!F147,F147/MAX('Work Indirect'!AB147,1))</f>
        <v>1</v>
      </c>
    </row>
    <row r="148" spans="1:29"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7" t="str">
        <f ca="1">IF(OFFSET('4. Work'!$A$1,ROW(D148)-1,COLUMN(D148)-1)="","",OFFSET('4. Work'!$A$1,ROW(D148)-1,COLUMN(D148)-1))</f>
        <v/>
      </c>
      <c r="E148" s="147"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I148" s="3" t="str">
        <f ca="1">IF(OFFSET('4. Work'!$A$1,ROW(I148)-1,COLUMN(I148)-1)="","",OFFSET('4. Work'!$A$1,ROW(I148)-1,COLUMN(I148)-1))</f>
        <v/>
      </c>
      <c r="T148" s="3" t="str">
        <f ca="1">IF(A148&lt;&gt;"",MAX('Initiative Indirect'!$T:$T)+(ROW(A148)-1),"")</f>
        <v/>
      </c>
      <c r="U148" s="3" t="str">
        <f ca="1">IF(B148&lt;&gt;"",INDEX('Initiative Indirect'!$T:$T,MATCH(B148,'Initiative Indirect'!$A:$A,0)),"")</f>
        <v/>
      </c>
      <c r="V148" s="3" t="str">
        <f ca="1">IF(C148&lt;&gt;"",INDEX('Team Indirect'!$T:$T,MATCH(C148,'Team Indirect'!$A:$A,0)),"")</f>
        <v/>
      </c>
      <c r="W148" s="3"/>
      <c r="X148" s="3"/>
      <c r="Y148" s="3" t="str">
        <f ca="1">IF($C148&lt;&gt;"",INDEX('Team Indirect'!$D:$D,MATCH($C148,'Team Indirect'!$A:$A,0)),"")</f>
        <v/>
      </c>
      <c r="Z148" s="3" t="str">
        <f ca="1">IF($C148&lt;&gt;"",INDEX('Team Indirect'!$E:$E,MATCH($C148,'Team Indirect'!$A:$A,0)),"")</f>
        <v/>
      </c>
      <c r="AA148" s="3" t="str">
        <f ca="1">IF($C148&lt;&gt;"",INDEX('Team Indirect'!$F:$F,MATCH($C148,'Team Indirect'!$A:$A,0)),"")</f>
        <v/>
      </c>
      <c r="AB148" s="3" t="str">
        <f t="shared" ca="1" si="2"/>
        <v/>
      </c>
      <c r="AC148" s="3">
        <f ca="1">IF(OR(AllocationUnits="Stories", AllocationUnits="Points"),'Work Indirect'!F148,F148/MAX('Work Indirect'!AB148,1))</f>
        <v>1</v>
      </c>
    </row>
    <row r="149" spans="1:29"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7" t="str">
        <f ca="1">IF(OFFSET('4. Work'!$A$1,ROW(D149)-1,COLUMN(D149)-1)="","",OFFSET('4. Work'!$A$1,ROW(D149)-1,COLUMN(D149)-1))</f>
        <v/>
      </c>
      <c r="E149" s="147"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I149" s="3" t="str">
        <f ca="1">IF(OFFSET('4. Work'!$A$1,ROW(I149)-1,COLUMN(I149)-1)="","",OFFSET('4. Work'!$A$1,ROW(I149)-1,COLUMN(I149)-1))</f>
        <v/>
      </c>
      <c r="T149" s="3" t="str">
        <f ca="1">IF(A149&lt;&gt;"",MAX('Initiative Indirect'!$T:$T)+(ROW(A149)-1),"")</f>
        <v/>
      </c>
      <c r="U149" s="3" t="str">
        <f ca="1">IF(B149&lt;&gt;"",INDEX('Initiative Indirect'!$T:$T,MATCH(B149,'Initiative Indirect'!$A:$A,0)),"")</f>
        <v/>
      </c>
      <c r="V149" s="3" t="str">
        <f ca="1">IF(C149&lt;&gt;"",INDEX('Team Indirect'!$T:$T,MATCH(C149,'Team Indirect'!$A:$A,0)),"")</f>
        <v/>
      </c>
      <c r="W149" s="3"/>
      <c r="X149" s="3"/>
      <c r="Y149" s="3" t="str">
        <f ca="1">IF($C149&lt;&gt;"",INDEX('Team Indirect'!$D:$D,MATCH($C149,'Team Indirect'!$A:$A,0)),"")</f>
        <v/>
      </c>
      <c r="Z149" s="3" t="str">
        <f ca="1">IF($C149&lt;&gt;"",INDEX('Team Indirect'!$E:$E,MATCH($C149,'Team Indirect'!$A:$A,0)),"")</f>
        <v/>
      </c>
      <c r="AA149" s="3" t="str">
        <f ca="1">IF($C149&lt;&gt;"",INDEX('Team Indirect'!$F:$F,MATCH($C149,'Team Indirect'!$A:$A,0)),"")</f>
        <v/>
      </c>
      <c r="AB149" s="3" t="str">
        <f t="shared" ca="1" si="2"/>
        <v/>
      </c>
      <c r="AC149" s="3">
        <f ca="1">IF(OR(AllocationUnits="Stories", AllocationUnits="Points"),'Work Indirect'!F149,F149/MAX('Work Indirect'!AB149,1))</f>
        <v>1</v>
      </c>
    </row>
    <row r="150" spans="1:29"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7" t="str">
        <f ca="1">IF(OFFSET('4. Work'!$A$1,ROW(D150)-1,COLUMN(D150)-1)="","",OFFSET('4. Work'!$A$1,ROW(D150)-1,COLUMN(D150)-1))</f>
        <v/>
      </c>
      <c r="E150" s="147"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I150" s="3" t="str">
        <f ca="1">IF(OFFSET('4. Work'!$A$1,ROW(I150)-1,COLUMN(I150)-1)="","",OFFSET('4. Work'!$A$1,ROW(I150)-1,COLUMN(I150)-1))</f>
        <v/>
      </c>
      <c r="T150" s="3" t="str">
        <f ca="1">IF(A150&lt;&gt;"",MAX('Initiative Indirect'!$T:$T)+(ROW(A150)-1),"")</f>
        <v/>
      </c>
      <c r="U150" s="3" t="str">
        <f ca="1">IF(B150&lt;&gt;"",INDEX('Initiative Indirect'!$T:$T,MATCH(B150,'Initiative Indirect'!$A:$A,0)),"")</f>
        <v/>
      </c>
      <c r="V150" s="3" t="str">
        <f ca="1">IF(C150&lt;&gt;"",INDEX('Team Indirect'!$T:$T,MATCH(C150,'Team Indirect'!$A:$A,0)),"")</f>
        <v/>
      </c>
      <c r="W150" s="3"/>
      <c r="X150" s="3"/>
      <c r="Y150" s="3" t="str">
        <f ca="1">IF($C150&lt;&gt;"",INDEX('Team Indirect'!$D:$D,MATCH($C150,'Team Indirect'!$A:$A,0)),"")</f>
        <v/>
      </c>
      <c r="Z150" s="3" t="str">
        <f ca="1">IF($C150&lt;&gt;"",INDEX('Team Indirect'!$E:$E,MATCH($C150,'Team Indirect'!$A:$A,0)),"")</f>
        <v/>
      </c>
      <c r="AA150" s="3" t="str">
        <f ca="1">IF($C150&lt;&gt;"",INDEX('Team Indirect'!$F:$F,MATCH($C150,'Team Indirect'!$A:$A,0)),"")</f>
        <v/>
      </c>
      <c r="AB150" s="3" t="str">
        <f t="shared" ca="1" si="2"/>
        <v/>
      </c>
      <c r="AC150" s="3">
        <f ca="1">IF(OR(AllocationUnits="Stories", AllocationUnits="Points"),'Work Indirect'!F150,F150/MAX('Work Indirect'!AB150,1))</f>
        <v>1</v>
      </c>
    </row>
    <row r="151" spans="1:29"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7" t="str">
        <f ca="1">IF(OFFSET('4. Work'!$A$1,ROW(D151)-1,COLUMN(D151)-1)="","",OFFSET('4. Work'!$A$1,ROW(D151)-1,COLUMN(D151)-1))</f>
        <v/>
      </c>
      <c r="E151" s="147"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I151" s="3" t="str">
        <f ca="1">IF(OFFSET('4. Work'!$A$1,ROW(I151)-1,COLUMN(I151)-1)="","",OFFSET('4. Work'!$A$1,ROW(I151)-1,COLUMN(I151)-1))</f>
        <v/>
      </c>
      <c r="T151" s="3" t="str">
        <f ca="1">IF(A151&lt;&gt;"",MAX('Initiative Indirect'!$T:$T)+(ROW(A151)-1),"")</f>
        <v/>
      </c>
      <c r="U151" s="3" t="str">
        <f ca="1">IF(B151&lt;&gt;"",INDEX('Initiative Indirect'!$T:$T,MATCH(B151,'Initiative Indirect'!$A:$A,0)),"")</f>
        <v/>
      </c>
      <c r="V151" s="3" t="str">
        <f ca="1">IF(C151&lt;&gt;"",INDEX('Team Indirect'!$T:$T,MATCH(C151,'Team Indirect'!$A:$A,0)),"")</f>
        <v/>
      </c>
      <c r="W151" s="3"/>
      <c r="X151" s="3"/>
      <c r="Y151" s="3" t="str">
        <f ca="1">IF($C151&lt;&gt;"",INDEX('Team Indirect'!$D:$D,MATCH($C151,'Team Indirect'!$A:$A,0)),"")</f>
        <v/>
      </c>
      <c r="Z151" s="3" t="str">
        <f ca="1">IF($C151&lt;&gt;"",INDEX('Team Indirect'!$E:$E,MATCH($C151,'Team Indirect'!$A:$A,0)),"")</f>
        <v/>
      </c>
      <c r="AA151" s="3" t="str">
        <f ca="1">IF($C151&lt;&gt;"",INDEX('Team Indirect'!$F:$F,MATCH($C151,'Team Indirect'!$A:$A,0)),"")</f>
        <v/>
      </c>
      <c r="AB151" s="3" t="str">
        <f t="shared" ca="1" si="2"/>
        <v/>
      </c>
      <c r="AC151" s="3">
        <f ca="1">IF(OR(AllocationUnits="Stories", AllocationUnits="Points"),'Work Indirect'!F151,F151/MAX('Work Indirect'!AB151,1))</f>
        <v>1</v>
      </c>
    </row>
    <row r="152" spans="1:29"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7" t="str">
        <f ca="1">IF(OFFSET('4. Work'!$A$1,ROW(D152)-1,COLUMN(D152)-1)="","",OFFSET('4. Work'!$A$1,ROW(D152)-1,COLUMN(D152)-1))</f>
        <v/>
      </c>
      <c r="E152" s="147"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I152" s="3" t="str">
        <f ca="1">IF(OFFSET('4. Work'!$A$1,ROW(I152)-1,COLUMN(I152)-1)="","",OFFSET('4. Work'!$A$1,ROW(I152)-1,COLUMN(I152)-1))</f>
        <v/>
      </c>
      <c r="T152" s="3" t="str">
        <f ca="1">IF(A152&lt;&gt;"",MAX('Initiative Indirect'!$T:$T)+(ROW(A152)-1),"")</f>
        <v/>
      </c>
      <c r="U152" s="3" t="str">
        <f ca="1">IF(B152&lt;&gt;"",INDEX('Initiative Indirect'!$T:$T,MATCH(B152,'Initiative Indirect'!$A:$A,0)),"")</f>
        <v/>
      </c>
      <c r="V152" s="3" t="str">
        <f ca="1">IF(C152&lt;&gt;"",INDEX('Team Indirect'!$T:$T,MATCH(C152,'Team Indirect'!$A:$A,0)),"")</f>
        <v/>
      </c>
      <c r="W152" s="3"/>
      <c r="X152" s="3"/>
      <c r="Y152" s="3" t="str">
        <f ca="1">IF($C152&lt;&gt;"",INDEX('Team Indirect'!$D:$D,MATCH($C152,'Team Indirect'!$A:$A,0)),"")</f>
        <v/>
      </c>
      <c r="Z152" s="3" t="str">
        <f ca="1">IF($C152&lt;&gt;"",INDEX('Team Indirect'!$E:$E,MATCH($C152,'Team Indirect'!$A:$A,0)),"")</f>
        <v/>
      </c>
      <c r="AA152" s="3" t="str">
        <f ca="1">IF($C152&lt;&gt;"",INDEX('Team Indirect'!$F:$F,MATCH($C152,'Team Indirect'!$A:$A,0)),"")</f>
        <v/>
      </c>
      <c r="AB152" s="3" t="str">
        <f t="shared" ca="1" si="2"/>
        <v/>
      </c>
      <c r="AC152" s="3">
        <f ca="1">IF(OR(AllocationUnits="Stories", AllocationUnits="Points"),'Work Indirect'!F152,F152/MAX('Work Indirect'!AB152,1))</f>
        <v>1</v>
      </c>
    </row>
    <row r="153" spans="1:29"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7" t="str">
        <f ca="1">IF(OFFSET('4. Work'!$A$1,ROW(D153)-1,COLUMN(D153)-1)="","",OFFSET('4. Work'!$A$1,ROW(D153)-1,COLUMN(D153)-1))</f>
        <v/>
      </c>
      <c r="E153" s="147"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I153" s="3" t="str">
        <f ca="1">IF(OFFSET('4. Work'!$A$1,ROW(I153)-1,COLUMN(I153)-1)="","",OFFSET('4. Work'!$A$1,ROW(I153)-1,COLUMN(I153)-1))</f>
        <v/>
      </c>
      <c r="T153" s="3" t="str">
        <f ca="1">IF(A153&lt;&gt;"",MAX('Initiative Indirect'!$T:$T)+(ROW(A153)-1),"")</f>
        <v/>
      </c>
      <c r="U153" s="3" t="str">
        <f ca="1">IF(B153&lt;&gt;"",INDEX('Initiative Indirect'!$T:$T,MATCH(B153,'Initiative Indirect'!$A:$A,0)),"")</f>
        <v/>
      </c>
      <c r="V153" s="3" t="str">
        <f ca="1">IF(C153&lt;&gt;"",INDEX('Team Indirect'!$T:$T,MATCH(C153,'Team Indirect'!$A:$A,0)),"")</f>
        <v/>
      </c>
      <c r="W153" s="3"/>
      <c r="X153" s="3"/>
      <c r="Y153" s="3" t="str">
        <f ca="1">IF($C153&lt;&gt;"",INDEX('Team Indirect'!$D:$D,MATCH($C153,'Team Indirect'!$A:$A,0)),"")</f>
        <v/>
      </c>
      <c r="Z153" s="3" t="str">
        <f ca="1">IF($C153&lt;&gt;"",INDEX('Team Indirect'!$E:$E,MATCH($C153,'Team Indirect'!$A:$A,0)),"")</f>
        <v/>
      </c>
      <c r="AA153" s="3" t="str">
        <f ca="1">IF($C153&lt;&gt;"",INDEX('Team Indirect'!$F:$F,MATCH($C153,'Team Indirect'!$A:$A,0)),"")</f>
        <v/>
      </c>
      <c r="AB153" s="3" t="str">
        <f t="shared" ca="1" si="2"/>
        <v/>
      </c>
      <c r="AC153" s="3">
        <f ca="1">IF(OR(AllocationUnits="Stories", AllocationUnits="Points"),'Work Indirect'!F153,F153/MAX('Work Indirect'!AB153,1))</f>
        <v>1</v>
      </c>
    </row>
    <row r="154" spans="1:29"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7" t="str">
        <f ca="1">IF(OFFSET('4. Work'!$A$1,ROW(D154)-1,COLUMN(D154)-1)="","",OFFSET('4. Work'!$A$1,ROW(D154)-1,COLUMN(D154)-1))</f>
        <v/>
      </c>
      <c r="E154" s="147"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I154" s="3" t="str">
        <f ca="1">IF(OFFSET('4. Work'!$A$1,ROW(I154)-1,COLUMN(I154)-1)="","",OFFSET('4. Work'!$A$1,ROW(I154)-1,COLUMN(I154)-1))</f>
        <v/>
      </c>
      <c r="T154" s="3" t="str">
        <f ca="1">IF(A154&lt;&gt;"",MAX('Initiative Indirect'!$T:$T)+(ROW(A154)-1),"")</f>
        <v/>
      </c>
      <c r="U154" s="3" t="str">
        <f ca="1">IF(B154&lt;&gt;"",INDEX('Initiative Indirect'!$T:$T,MATCH(B154,'Initiative Indirect'!$A:$A,0)),"")</f>
        <v/>
      </c>
      <c r="V154" s="3" t="str">
        <f ca="1">IF(C154&lt;&gt;"",INDEX('Team Indirect'!$T:$T,MATCH(C154,'Team Indirect'!$A:$A,0)),"")</f>
        <v/>
      </c>
      <c r="W154" s="3"/>
      <c r="X154" s="3"/>
      <c r="Y154" s="3" t="str">
        <f ca="1">IF($C154&lt;&gt;"",INDEX('Team Indirect'!$D:$D,MATCH($C154,'Team Indirect'!$A:$A,0)),"")</f>
        <v/>
      </c>
      <c r="Z154" s="3" t="str">
        <f ca="1">IF($C154&lt;&gt;"",INDEX('Team Indirect'!$E:$E,MATCH($C154,'Team Indirect'!$A:$A,0)),"")</f>
        <v/>
      </c>
      <c r="AA154" s="3" t="str">
        <f ca="1">IF($C154&lt;&gt;"",INDEX('Team Indirect'!$F:$F,MATCH($C154,'Team Indirect'!$A:$A,0)),"")</f>
        <v/>
      </c>
      <c r="AB154" s="3" t="str">
        <f t="shared" ca="1" si="2"/>
        <v/>
      </c>
      <c r="AC154" s="3">
        <f ca="1">IF(OR(AllocationUnits="Stories", AllocationUnits="Points"),'Work Indirect'!F154,F154/MAX('Work Indirect'!AB154,1))</f>
        <v>1</v>
      </c>
    </row>
    <row r="155" spans="1:29"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7" t="str">
        <f ca="1">IF(OFFSET('4. Work'!$A$1,ROW(D155)-1,COLUMN(D155)-1)="","",OFFSET('4. Work'!$A$1,ROW(D155)-1,COLUMN(D155)-1))</f>
        <v/>
      </c>
      <c r="E155" s="147"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I155" s="3" t="str">
        <f ca="1">IF(OFFSET('4. Work'!$A$1,ROW(I155)-1,COLUMN(I155)-1)="","",OFFSET('4. Work'!$A$1,ROW(I155)-1,COLUMN(I155)-1))</f>
        <v/>
      </c>
      <c r="T155" s="3" t="str">
        <f ca="1">IF(A155&lt;&gt;"",MAX('Initiative Indirect'!$T:$T)+(ROW(A155)-1),"")</f>
        <v/>
      </c>
      <c r="U155" s="3" t="str">
        <f ca="1">IF(B155&lt;&gt;"",INDEX('Initiative Indirect'!$T:$T,MATCH(B155,'Initiative Indirect'!$A:$A,0)),"")</f>
        <v/>
      </c>
      <c r="V155" s="3" t="str">
        <f ca="1">IF(C155&lt;&gt;"",INDEX('Team Indirect'!$T:$T,MATCH(C155,'Team Indirect'!$A:$A,0)),"")</f>
        <v/>
      </c>
      <c r="W155" s="3"/>
      <c r="X155" s="3"/>
      <c r="Y155" s="3" t="str">
        <f ca="1">IF($C155&lt;&gt;"",INDEX('Team Indirect'!$D:$D,MATCH($C155,'Team Indirect'!$A:$A,0)),"")</f>
        <v/>
      </c>
      <c r="Z155" s="3" t="str">
        <f ca="1">IF($C155&lt;&gt;"",INDEX('Team Indirect'!$E:$E,MATCH($C155,'Team Indirect'!$A:$A,0)),"")</f>
        <v/>
      </c>
      <c r="AA155" s="3" t="str">
        <f ca="1">IF($C155&lt;&gt;"",INDEX('Team Indirect'!$F:$F,MATCH($C155,'Team Indirect'!$A:$A,0)),"")</f>
        <v/>
      </c>
      <c r="AB155" s="3" t="str">
        <f t="shared" ca="1" si="2"/>
        <v/>
      </c>
      <c r="AC155" s="3">
        <f ca="1">IF(OR(AllocationUnits="Stories", AllocationUnits="Points"),'Work Indirect'!F155,F155/MAX('Work Indirect'!AB155,1))</f>
        <v>1</v>
      </c>
    </row>
    <row r="156" spans="1:29"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7" t="str">
        <f ca="1">IF(OFFSET('4. Work'!$A$1,ROW(D156)-1,COLUMN(D156)-1)="","",OFFSET('4. Work'!$A$1,ROW(D156)-1,COLUMN(D156)-1))</f>
        <v/>
      </c>
      <c r="E156" s="147"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I156" s="3" t="str">
        <f ca="1">IF(OFFSET('4. Work'!$A$1,ROW(I156)-1,COLUMN(I156)-1)="","",OFFSET('4. Work'!$A$1,ROW(I156)-1,COLUMN(I156)-1))</f>
        <v/>
      </c>
      <c r="T156" s="3" t="str">
        <f ca="1">IF(A156&lt;&gt;"",MAX('Initiative Indirect'!$T:$T)+(ROW(A156)-1),"")</f>
        <v/>
      </c>
      <c r="U156" s="3" t="str">
        <f ca="1">IF(B156&lt;&gt;"",INDEX('Initiative Indirect'!$T:$T,MATCH(B156,'Initiative Indirect'!$A:$A,0)),"")</f>
        <v/>
      </c>
      <c r="V156" s="3" t="str">
        <f ca="1">IF(C156&lt;&gt;"",INDEX('Team Indirect'!$T:$T,MATCH(C156,'Team Indirect'!$A:$A,0)),"")</f>
        <v/>
      </c>
      <c r="W156" s="3"/>
      <c r="X156" s="3"/>
      <c r="Y156" s="3" t="str">
        <f ca="1">IF($C156&lt;&gt;"",INDEX('Team Indirect'!$D:$D,MATCH($C156,'Team Indirect'!$A:$A,0)),"")</f>
        <v/>
      </c>
      <c r="Z156" s="3" t="str">
        <f ca="1">IF($C156&lt;&gt;"",INDEX('Team Indirect'!$E:$E,MATCH($C156,'Team Indirect'!$A:$A,0)),"")</f>
        <v/>
      </c>
      <c r="AA156" s="3" t="str">
        <f ca="1">IF($C156&lt;&gt;"",INDEX('Team Indirect'!$F:$F,MATCH($C156,'Team Indirect'!$A:$A,0)),"")</f>
        <v/>
      </c>
      <c r="AB156" s="3" t="str">
        <f t="shared" ca="1" si="2"/>
        <v/>
      </c>
      <c r="AC156" s="3">
        <f ca="1">IF(OR(AllocationUnits="Stories", AllocationUnits="Points"),'Work Indirect'!F156,F156/MAX('Work Indirect'!AB156,1))</f>
        <v>1</v>
      </c>
    </row>
    <row r="157" spans="1:29"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7" t="str">
        <f ca="1">IF(OFFSET('4. Work'!$A$1,ROW(D157)-1,COLUMN(D157)-1)="","",OFFSET('4. Work'!$A$1,ROW(D157)-1,COLUMN(D157)-1))</f>
        <v/>
      </c>
      <c r="E157" s="147"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I157" s="3" t="str">
        <f ca="1">IF(OFFSET('4. Work'!$A$1,ROW(I157)-1,COLUMN(I157)-1)="","",OFFSET('4. Work'!$A$1,ROW(I157)-1,COLUMN(I157)-1))</f>
        <v/>
      </c>
      <c r="T157" s="3" t="str">
        <f ca="1">IF(A157&lt;&gt;"",MAX('Initiative Indirect'!$T:$T)+(ROW(A157)-1),"")</f>
        <v/>
      </c>
      <c r="U157" s="3" t="str">
        <f ca="1">IF(B157&lt;&gt;"",INDEX('Initiative Indirect'!$T:$T,MATCH(B157,'Initiative Indirect'!$A:$A,0)),"")</f>
        <v/>
      </c>
      <c r="V157" s="3" t="str">
        <f ca="1">IF(C157&lt;&gt;"",INDEX('Team Indirect'!$T:$T,MATCH(C157,'Team Indirect'!$A:$A,0)),"")</f>
        <v/>
      </c>
      <c r="W157" s="3"/>
      <c r="X157" s="3"/>
      <c r="Y157" s="3" t="str">
        <f ca="1">IF($C157&lt;&gt;"",INDEX('Team Indirect'!$D:$D,MATCH($C157,'Team Indirect'!$A:$A,0)),"")</f>
        <v/>
      </c>
      <c r="Z157" s="3" t="str">
        <f ca="1">IF($C157&lt;&gt;"",INDEX('Team Indirect'!$E:$E,MATCH($C157,'Team Indirect'!$A:$A,0)),"")</f>
        <v/>
      </c>
      <c r="AA157" s="3" t="str">
        <f ca="1">IF($C157&lt;&gt;"",INDEX('Team Indirect'!$F:$F,MATCH($C157,'Team Indirect'!$A:$A,0)),"")</f>
        <v/>
      </c>
      <c r="AB157" s="3" t="str">
        <f t="shared" ca="1" si="2"/>
        <v/>
      </c>
      <c r="AC157" s="3">
        <f ca="1">IF(OR(AllocationUnits="Stories", AllocationUnits="Points"),'Work Indirect'!F157,F157/MAX('Work Indirect'!AB157,1))</f>
        <v>1</v>
      </c>
    </row>
    <row r="158" spans="1:29"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7" t="str">
        <f ca="1">IF(OFFSET('4. Work'!$A$1,ROW(D158)-1,COLUMN(D158)-1)="","",OFFSET('4. Work'!$A$1,ROW(D158)-1,COLUMN(D158)-1))</f>
        <v/>
      </c>
      <c r="E158" s="147"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I158" s="3" t="str">
        <f ca="1">IF(OFFSET('4. Work'!$A$1,ROW(I158)-1,COLUMN(I158)-1)="","",OFFSET('4. Work'!$A$1,ROW(I158)-1,COLUMN(I158)-1))</f>
        <v/>
      </c>
      <c r="T158" s="3" t="str">
        <f ca="1">IF(A158&lt;&gt;"",MAX('Initiative Indirect'!$T:$T)+(ROW(A158)-1),"")</f>
        <v/>
      </c>
      <c r="U158" s="3" t="str">
        <f ca="1">IF(B158&lt;&gt;"",INDEX('Initiative Indirect'!$T:$T,MATCH(B158,'Initiative Indirect'!$A:$A,0)),"")</f>
        <v/>
      </c>
      <c r="V158" s="3" t="str">
        <f ca="1">IF(C158&lt;&gt;"",INDEX('Team Indirect'!$T:$T,MATCH(C158,'Team Indirect'!$A:$A,0)),"")</f>
        <v/>
      </c>
      <c r="W158" s="3"/>
      <c r="X158" s="3"/>
      <c r="Y158" s="3" t="str">
        <f ca="1">IF($C158&lt;&gt;"",INDEX('Team Indirect'!$D:$D,MATCH($C158,'Team Indirect'!$A:$A,0)),"")</f>
        <v/>
      </c>
      <c r="Z158" s="3" t="str">
        <f ca="1">IF($C158&lt;&gt;"",INDEX('Team Indirect'!$E:$E,MATCH($C158,'Team Indirect'!$A:$A,0)),"")</f>
        <v/>
      </c>
      <c r="AA158" s="3" t="str">
        <f ca="1">IF($C158&lt;&gt;"",INDEX('Team Indirect'!$F:$F,MATCH($C158,'Team Indirect'!$A:$A,0)),"")</f>
        <v/>
      </c>
      <c r="AB158" s="3" t="str">
        <f t="shared" ca="1" si="2"/>
        <v/>
      </c>
      <c r="AC158" s="3">
        <f ca="1">IF(OR(AllocationUnits="Stories", AllocationUnits="Points"),'Work Indirect'!F158,F158/MAX('Work Indirect'!AB158,1))</f>
        <v>1</v>
      </c>
    </row>
    <row r="159" spans="1:29"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7" t="str">
        <f ca="1">IF(OFFSET('4. Work'!$A$1,ROW(D159)-1,COLUMN(D159)-1)="","",OFFSET('4. Work'!$A$1,ROW(D159)-1,COLUMN(D159)-1))</f>
        <v/>
      </c>
      <c r="E159" s="147"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I159" s="3" t="str">
        <f ca="1">IF(OFFSET('4. Work'!$A$1,ROW(I159)-1,COLUMN(I159)-1)="","",OFFSET('4. Work'!$A$1,ROW(I159)-1,COLUMN(I159)-1))</f>
        <v/>
      </c>
      <c r="T159" s="3" t="str">
        <f ca="1">IF(A159&lt;&gt;"",MAX('Initiative Indirect'!$T:$T)+(ROW(A159)-1),"")</f>
        <v/>
      </c>
      <c r="U159" s="3" t="str">
        <f ca="1">IF(B159&lt;&gt;"",INDEX('Initiative Indirect'!$T:$T,MATCH(B159,'Initiative Indirect'!$A:$A,0)),"")</f>
        <v/>
      </c>
      <c r="V159" s="3" t="str">
        <f ca="1">IF(C159&lt;&gt;"",INDEX('Team Indirect'!$T:$T,MATCH(C159,'Team Indirect'!$A:$A,0)),"")</f>
        <v/>
      </c>
      <c r="W159" s="3"/>
      <c r="X159" s="3"/>
      <c r="Y159" s="3" t="str">
        <f ca="1">IF($C159&lt;&gt;"",INDEX('Team Indirect'!$D:$D,MATCH($C159,'Team Indirect'!$A:$A,0)),"")</f>
        <v/>
      </c>
      <c r="Z159" s="3" t="str">
        <f ca="1">IF($C159&lt;&gt;"",INDEX('Team Indirect'!$E:$E,MATCH($C159,'Team Indirect'!$A:$A,0)),"")</f>
        <v/>
      </c>
      <c r="AA159" s="3" t="str">
        <f ca="1">IF($C159&lt;&gt;"",INDEX('Team Indirect'!$F:$F,MATCH($C159,'Team Indirect'!$A:$A,0)),"")</f>
        <v/>
      </c>
      <c r="AB159" s="3" t="str">
        <f t="shared" ca="1" si="2"/>
        <v/>
      </c>
      <c r="AC159" s="3">
        <f ca="1">IF(OR(AllocationUnits="Stories", AllocationUnits="Points"),'Work Indirect'!F159,F159/MAX('Work Indirect'!AB159,1))</f>
        <v>1</v>
      </c>
    </row>
    <row r="160" spans="1:29"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7" t="str">
        <f ca="1">IF(OFFSET('4. Work'!$A$1,ROW(D160)-1,COLUMN(D160)-1)="","",OFFSET('4. Work'!$A$1,ROW(D160)-1,COLUMN(D160)-1))</f>
        <v/>
      </c>
      <c r="E160" s="147"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I160" s="3" t="str">
        <f ca="1">IF(OFFSET('4. Work'!$A$1,ROW(I160)-1,COLUMN(I160)-1)="","",OFFSET('4. Work'!$A$1,ROW(I160)-1,COLUMN(I160)-1))</f>
        <v/>
      </c>
      <c r="T160" s="3" t="str">
        <f ca="1">IF(A160&lt;&gt;"",MAX('Initiative Indirect'!$T:$T)+(ROW(A160)-1),"")</f>
        <v/>
      </c>
      <c r="U160" s="3" t="str">
        <f ca="1">IF(B160&lt;&gt;"",INDEX('Initiative Indirect'!$T:$T,MATCH(B160,'Initiative Indirect'!$A:$A,0)),"")</f>
        <v/>
      </c>
      <c r="V160" s="3" t="str">
        <f ca="1">IF(C160&lt;&gt;"",INDEX('Team Indirect'!$T:$T,MATCH(C160,'Team Indirect'!$A:$A,0)),"")</f>
        <v/>
      </c>
      <c r="W160" s="3"/>
      <c r="X160" s="3"/>
      <c r="Y160" s="3" t="str">
        <f ca="1">IF($C160&lt;&gt;"",INDEX('Team Indirect'!$D:$D,MATCH($C160,'Team Indirect'!$A:$A,0)),"")</f>
        <v/>
      </c>
      <c r="Z160" s="3" t="str">
        <f ca="1">IF($C160&lt;&gt;"",INDEX('Team Indirect'!$E:$E,MATCH($C160,'Team Indirect'!$A:$A,0)),"")</f>
        <v/>
      </c>
      <c r="AA160" s="3" t="str">
        <f ca="1">IF($C160&lt;&gt;"",INDEX('Team Indirect'!$F:$F,MATCH($C160,'Team Indirect'!$A:$A,0)),"")</f>
        <v/>
      </c>
      <c r="AB160" s="3" t="str">
        <f t="shared" ca="1" si="2"/>
        <v/>
      </c>
      <c r="AC160" s="3">
        <f ca="1">IF(OR(AllocationUnits="Stories", AllocationUnits="Points"),'Work Indirect'!F160,F160/MAX('Work Indirect'!AB160,1))</f>
        <v>1</v>
      </c>
    </row>
    <row r="161" spans="1:29"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7" t="str">
        <f ca="1">IF(OFFSET('4. Work'!$A$1,ROW(D161)-1,COLUMN(D161)-1)="","",OFFSET('4. Work'!$A$1,ROW(D161)-1,COLUMN(D161)-1))</f>
        <v/>
      </c>
      <c r="E161" s="147"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I161" s="3" t="str">
        <f ca="1">IF(OFFSET('4. Work'!$A$1,ROW(I161)-1,COLUMN(I161)-1)="","",OFFSET('4. Work'!$A$1,ROW(I161)-1,COLUMN(I161)-1))</f>
        <v/>
      </c>
      <c r="T161" s="3" t="str">
        <f ca="1">IF(A161&lt;&gt;"",MAX('Initiative Indirect'!$T:$T)+(ROW(A161)-1),"")</f>
        <v/>
      </c>
      <c r="U161" s="3" t="str">
        <f ca="1">IF(B161&lt;&gt;"",INDEX('Initiative Indirect'!$T:$T,MATCH(B161,'Initiative Indirect'!$A:$A,0)),"")</f>
        <v/>
      </c>
      <c r="V161" s="3" t="str">
        <f ca="1">IF(C161&lt;&gt;"",INDEX('Team Indirect'!$T:$T,MATCH(C161,'Team Indirect'!$A:$A,0)),"")</f>
        <v/>
      </c>
      <c r="W161" s="3"/>
      <c r="X161" s="3"/>
      <c r="Y161" s="3" t="str">
        <f ca="1">IF($C161&lt;&gt;"",INDEX('Team Indirect'!$D:$D,MATCH($C161,'Team Indirect'!$A:$A,0)),"")</f>
        <v/>
      </c>
      <c r="Z161" s="3" t="str">
        <f ca="1">IF($C161&lt;&gt;"",INDEX('Team Indirect'!$E:$E,MATCH($C161,'Team Indirect'!$A:$A,0)),"")</f>
        <v/>
      </c>
      <c r="AA161" s="3" t="str">
        <f ca="1">IF($C161&lt;&gt;"",INDEX('Team Indirect'!$F:$F,MATCH($C161,'Team Indirect'!$A:$A,0)),"")</f>
        <v/>
      </c>
      <c r="AB161" s="3" t="str">
        <f t="shared" ca="1" si="2"/>
        <v/>
      </c>
      <c r="AC161" s="3">
        <f ca="1">IF(OR(AllocationUnits="Stories", AllocationUnits="Points"),'Work Indirect'!F161,F161/MAX('Work Indirect'!AB161,1))</f>
        <v>1</v>
      </c>
    </row>
    <row r="162" spans="1:29"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7" t="str">
        <f ca="1">IF(OFFSET('4. Work'!$A$1,ROW(D162)-1,COLUMN(D162)-1)="","",OFFSET('4. Work'!$A$1,ROW(D162)-1,COLUMN(D162)-1))</f>
        <v/>
      </c>
      <c r="E162" s="147"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I162" s="3" t="str">
        <f ca="1">IF(OFFSET('4. Work'!$A$1,ROW(I162)-1,COLUMN(I162)-1)="","",OFFSET('4. Work'!$A$1,ROW(I162)-1,COLUMN(I162)-1))</f>
        <v/>
      </c>
      <c r="T162" s="3" t="str">
        <f ca="1">IF(A162&lt;&gt;"",MAX('Initiative Indirect'!$T:$T)+(ROW(A162)-1),"")</f>
        <v/>
      </c>
      <c r="U162" s="3" t="str">
        <f ca="1">IF(B162&lt;&gt;"",INDEX('Initiative Indirect'!$T:$T,MATCH(B162,'Initiative Indirect'!$A:$A,0)),"")</f>
        <v/>
      </c>
      <c r="V162" s="3" t="str">
        <f ca="1">IF(C162&lt;&gt;"",INDEX('Team Indirect'!$T:$T,MATCH(C162,'Team Indirect'!$A:$A,0)),"")</f>
        <v/>
      </c>
      <c r="W162" s="3"/>
      <c r="X162" s="3"/>
      <c r="Y162" s="3" t="str">
        <f ca="1">IF($C162&lt;&gt;"",INDEX('Team Indirect'!$D:$D,MATCH($C162,'Team Indirect'!$A:$A,0)),"")</f>
        <v/>
      </c>
      <c r="Z162" s="3" t="str">
        <f ca="1">IF($C162&lt;&gt;"",INDEX('Team Indirect'!$E:$E,MATCH($C162,'Team Indirect'!$A:$A,0)),"")</f>
        <v/>
      </c>
      <c r="AA162" s="3" t="str">
        <f ca="1">IF($C162&lt;&gt;"",INDEX('Team Indirect'!$F:$F,MATCH($C162,'Team Indirect'!$A:$A,0)),"")</f>
        <v/>
      </c>
      <c r="AB162" s="3" t="str">
        <f t="shared" ca="1" si="2"/>
        <v/>
      </c>
      <c r="AC162" s="3">
        <f ca="1">IF(OR(AllocationUnits="Stories", AllocationUnits="Points"),'Work Indirect'!F162,F162/MAX('Work Indirect'!AB162,1))</f>
        <v>1</v>
      </c>
    </row>
    <row r="163" spans="1:29"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7" t="str">
        <f ca="1">IF(OFFSET('4. Work'!$A$1,ROW(D163)-1,COLUMN(D163)-1)="","",OFFSET('4. Work'!$A$1,ROW(D163)-1,COLUMN(D163)-1))</f>
        <v/>
      </c>
      <c r="E163" s="147"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I163" s="3" t="str">
        <f ca="1">IF(OFFSET('4. Work'!$A$1,ROW(I163)-1,COLUMN(I163)-1)="","",OFFSET('4. Work'!$A$1,ROW(I163)-1,COLUMN(I163)-1))</f>
        <v/>
      </c>
      <c r="T163" s="3" t="str">
        <f ca="1">IF(A163&lt;&gt;"",MAX('Initiative Indirect'!$T:$T)+(ROW(A163)-1),"")</f>
        <v/>
      </c>
      <c r="U163" s="3" t="str">
        <f ca="1">IF(B163&lt;&gt;"",INDEX('Initiative Indirect'!$T:$T,MATCH(B163,'Initiative Indirect'!$A:$A,0)),"")</f>
        <v/>
      </c>
      <c r="V163" s="3" t="str">
        <f ca="1">IF(C163&lt;&gt;"",INDEX('Team Indirect'!$T:$T,MATCH(C163,'Team Indirect'!$A:$A,0)),"")</f>
        <v/>
      </c>
      <c r="W163" s="3"/>
      <c r="X163" s="3"/>
      <c r="Y163" s="3" t="str">
        <f ca="1">IF($C163&lt;&gt;"",INDEX('Team Indirect'!$D:$D,MATCH($C163,'Team Indirect'!$A:$A,0)),"")</f>
        <v/>
      </c>
      <c r="Z163" s="3" t="str">
        <f ca="1">IF($C163&lt;&gt;"",INDEX('Team Indirect'!$E:$E,MATCH($C163,'Team Indirect'!$A:$A,0)),"")</f>
        <v/>
      </c>
      <c r="AA163" s="3" t="str">
        <f ca="1">IF($C163&lt;&gt;"",INDEX('Team Indirect'!$F:$F,MATCH($C163,'Team Indirect'!$A:$A,0)),"")</f>
        <v/>
      </c>
      <c r="AB163" s="3" t="str">
        <f t="shared" ca="1" si="2"/>
        <v/>
      </c>
      <c r="AC163" s="3">
        <f ca="1">IF(OR(AllocationUnits="Stories", AllocationUnits="Points"),'Work Indirect'!F163,F163/MAX('Work Indirect'!AB163,1))</f>
        <v>1</v>
      </c>
    </row>
    <row r="164" spans="1:29"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7" t="str">
        <f ca="1">IF(OFFSET('4. Work'!$A$1,ROW(D164)-1,COLUMN(D164)-1)="","",OFFSET('4. Work'!$A$1,ROW(D164)-1,COLUMN(D164)-1))</f>
        <v/>
      </c>
      <c r="E164" s="147"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I164" s="3" t="str">
        <f ca="1">IF(OFFSET('4. Work'!$A$1,ROW(I164)-1,COLUMN(I164)-1)="","",OFFSET('4. Work'!$A$1,ROW(I164)-1,COLUMN(I164)-1))</f>
        <v/>
      </c>
      <c r="T164" s="3" t="str">
        <f ca="1">IF(A164&lt;&gt;"",MAX('Initiative Indirect'!$T:$T)+(ROW(A164)-1),"")</f>
        <v/>
      </c>
      <c r="U164" s="3" t="str">
        <f ca="1">IF(B164&lt;&gt;"",INDEX('Initiative Indirect'!$T:$T,MATCH(B164,'Initiative Indirect'!$A:$A,0)),"")</f>
        <v/>
      </c>
      <c r="V164" s="3" t="str">
        <f ca="1">IF(C164&lt;&gt;"",INDEX('Team Indirect'!$T:$T,MATCH(C164,'Team Indirect'!$A:$A,0)),"")</f>
        <v/>
      </c>
      <c r="W164" s="3"/>
      <c r="X164" s="3"/>
      <c r="Y164" s="3" t="str">
        <f ca="1">IF($C164&lt;&gt;"",INDEX('Team Indirect'!$D:$D,MATCH($C164,'Team Indirect'!$A:$A,0)),"")</f>
        <v/>
      </c>
      <c r="Z164" s="3" t="str">
        <f ca="1">IF($C164&lt;&gt;"",INDEX('Team Indirect'!$E:$E,MATCH($C164,'Team Indirect'!$A:$A,0)),"")</f>
        <v/>
      </c>
      <c r="AA164" s="3" t="str">
        <f ca="1">IF($C164&lt;&gt;"",INDEX('Team Indirect'!$F:$F,MATCH($C164,'Team Indirect'!$A:$A,0)),"")</f>
        <v/>
      </c>
      <c r="AB164" s="3" t="str">
        <f t="shared" ca="1" si="2"/>
        <v/>
      </c>
      <c r="AC164" s="3">
        <f ca="1">IF(OR(AllocationUnits="Stories", AllocationUnits="Points"),'Work Indirect'!F164,F164/MAX('Work Indirect'!AB164,1))</f>
        <v>1</v>
      </c>
    </row>
    <row r="165" spans="1:29"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7" t="str">
        <f ca="1">IF(OFFSET('4. Work'!$A$1,ROW(D165)-1,COLUMN(D165)-1)="","",OFFSET('4. Work'!$A$1,ROW(D165)-1,COLUMN(D165)-1))</f>
        <v/>
      </c>
      <c r="E165" s="147"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I165" s="3" t="str">
        <f ca="1">IF(OFFSET('4. Work'!$A$1,ROW(I165)-1,COLUMN(I165)-1)="","",OFFSET('4. Work'!$A$1,ROW(I165)-1,COLUMN(I165)-1))</f>
        <v/>
      </c>
      <c r="T165" s="3" t="str">
        <f ca="1">IF(A165&lt;&gt;"",MAX('Initiative Indirect'!$T:$T)+(ROW(A165)-1),"")</f>
        <v/>
      </c>
      <c r="U165" s="3" t="str">
        <f ca="1">IF(B165&lt;&gt;"",INDEX('Initiative Indirect'!$T:$T,MATCH(B165,'Initiative Indirect'!$A:$A,0)),"")</f>
        <v/>
      </c>
      <c r="V165" s="3" t="str">
        <f ca="1">IF(C165&lt;&gt;"",INDEX('Team Indirect'!$T:$T,MATCH(C165,'Team Indirect'!$A:$A,0)),"")</f>
        <v/>
      </c>
      <c r="W165" s="3"/>
      <c r="X165" s="3"/>
      <c r="Y165" s="3" t="str">
        <f ca="1">IF($C165&lt;&gt;"",INDEX('Team Indirect'!$D:$D,MATCH($C165,'Team Indirect'!$A:$A,0)),"")</f>
        <v/>
      </c>
      <c r="Z165" s="3" t="str">
        <f ca="1">IF($C165&lt;&gt;"",INDEX('Team Indirect'!$E:$E,MATCH($C165,'Team Indirect'!$A:$A,0)),"")</f>
        <v/>
      </c>
      <c r="AA165" s="3" t="str">
        <f ca="1">IF($C165&lt;&gt;"",INDEX('Team Indirect'!$F:$F,MATCH($C165,'Team Indirect'!$A:$A,0)),"")</f>
        <v/>
      </c>
      <c r="AB165" s="3" t="str">
        <f t="shared" ca="1" si="2"/>
        <v/>
      </c>
      <c r="AC165" s="3">
        <f ca="1">IF(OR(AllocationUnits="Stories", AllocationUnits="Points"),'Work Indirect'!F165,F165/MAX('Work Indirect'!AB165,1))</f>
        <v>1</v>
      </c>
    </row>
    <row r="166" spans="1:29"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7" t="str">
        <f ca="1">IF(OFFSET('4. Work'!$A$1,ROW(D166)-1,COLUMN(D166)-1)="","",OFFSET('4. Work'!$A$1,ROW(D166)-1,COLUMN(D166)-1))</f>
        <v/>
      </c>
      <c r="E166" s="147"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I166" s="3" t="str">
        <f ca="1">IF(OFFSET('4. Work'!$A$1,ROW(I166)-1,COLUMN(I166)-1)="","",OFFSET('4. Work'!$A$1,ROW(I166)-1,COLUMN(I166)-1))</f>
        <v/>
      </c>
      <c r="T166" s="3" t="str">
        <f ca="1">IF(A166&lt;&gt;"",MAX('Initiative Indirect'!$T:$T)+(ROW(A166)-1),"")</f>
        <v/>
      </c>
      <c r="U166" s="3" t="str">
        <f ca="1">IF(B166&lt;&gt;"",INDEX('Initiative Indirect'!$T:$T,MATCH(B166,'Initiative Indirect'!$A:$A,0)),"")</f>
        <v/>
      </c>
      <c r="V166" s="3" t="str">
        <f ca="1">IF(C166&lt;&gt;"",INDEX('Team Indirect'!$T:$T,MATCH(C166,'Team Indirect'!$A:$A,0)),"")</f>
        <v/>
      </c>
      <c r="W166" s="3"/>
      <c r="X166" s="3"/>
      <c r="Y166" s="3" t="str">
        <f ca="1">IF($C166&lt;&gt;"",INDEX('Team Indirect'!$D:$D,MATCH($C166,'Team Indirect'!$A:$A,0)),"")</f>
        <v/>
      </c>
      <c r="Z166" s="3" t="str">
        <f ca="1">IF($C166&lt;&gt;"",INDEX('Team Indirect'!$E:$E,MATCH($C166,'Team Indirect'!$A:$A,0)),"")</f>
        <v/>
      </c>
      <c r="AA166" s="3" t="str">
        <f ca="1">IF($C166&lt;&gt;"",INDEX('Team Indirect'!$F:$F,MATCH($C166,'Team Indirect'!$A:$A,0)),"")</f>
        <v/>
      </c>
      <c r="AB166" s="3" t="str">
        <f t="shared" ca="1" si="2"/>
        <v/>
      </c>
      <c r="AC166" s="3">
        <f ca="1">IF(OR(AllocationUnits="Stories", AllocationUnits="Points"),'Work Indirect'!F166,F166/MAX('Work Indirect'!AB166,1))</f>
        <v>1</v>
      </c>
    </row>
    <row r="167" spans="1:29"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7" t="str">
        <f ca="1">IF(OFFSET('4. Work'!$A$1,ROW(D167)-1,COLUMN(D167)-1)="","",OFFSET('4. Work'!$A$1,ROW(D167)-1,COLUMN(D167)-1))</f>
        <v/>
      </c>
      <c r="E167" s="147"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I167" s="3" t="str">
        <f ca="1">IF(OFFSET('4. Work'!$A$1,ROW(I167)-1,COLUMN(I167)-1)="","",OFFSET('4. Work'!$A$1,ROW(I167)-1,COLUMN(I167)-1))</f>
        <v/>
      </c>
      <c r="T167" s="3" t="str">
        <f ca="1">IF(A167&lt;&gt;"",MAX('Initiative Indirect'!$T:$T)+(ROW(A167)-1),"")</f>
        <v/>
      </c>
      <c r="U167" s="3" t="str">
        <f ca="1">IF(B167&lt;&gt;"",INDEX('Initiative Indirect'!$T:$T,MATCH(B167,'Initiative Indirect'!$A:$A,0)),"")</f>
        <v/>
      </c>
      <c r="V167" s="3" t="str">
        <f ca="1">IF(C167&lt;&gt;"",INDEX('Team Indirect'!$T:$T,MATCH(C167,'Team Indirect'!$A:$A,0)),"")</f>
        <v/>
      </c>
      <c r="W167" s="3"/>
      <c r="X167" s="3"/>
      <c r="Y167" s="3" t="str">
        <f ca="1">IF($C167&lt;&gt;"",INDEX('Team Indirect'!$D:$D,MATCH($C167,'Team Indirect'!$A:$A,0)),"")</f>
        <v/>
      </c>
      <c r="Z167" s="3" t="str">
        <f ca="1">IF($C167&lt;&gt;"",INDEX('Team Indirect'!$E:$E,MATCH($C167,'Team Indirect'!$A:$A,0)),"")</f>
        <v/>
      </c>
      <c r="AA167" s="3" t="str">
        <f ca="1">IF($C167&lt;&gt;"",INDEX('Team Indirect'!$F:$F,MATCH($C167,'Team Indirect'!$A:$A,0)),"")</f>
        <v/>
      </c>
      <c r="AB167" s="3" t="str">
        <f t="shared" ca="1" si="2"/>
        <v/>
      </c>
      <c r="AC167" s="3">
        <f ca="1">IF(OR(AllocationUnits="Stories", AllocationUnits="Points"),'Work Indirect'!F167,F167/MAX('Work Indirect'!AB167,1))</f>
        <v>1</v>
      </c>
    </row>
    <row r="168" spans="1:29"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7" t="str">
        <f ca="1">IF(OFFSET('4. Work'!$A$1,ROW(D168)-1,COLUMN(D168)-1)="","",OFFSET('4. Work'!$A$1,ROW(D168)-1,COLUMN(D168)-1))</f>
        <v/>
      </c>
      <c r="E168" s="147"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I168" s="3" t="str">
        <f ca="1">IF(OFFSET('4. Work'!$A$1,ROW(I168)-1,COLUMN(I168)-1)="","",OFFSET('4. Work'!$A$1,ROW(I168)-1,COLUMN(I168)-1))</f>
        <v/>
      </c>
      <c r="T168" s="3" t="str">
        <f ca="1">IF(A168&lt;&gt;"",MAX('Initiative Indirect'!$T:$T)+(ROW(A168)-1),"")</f>
        <v/>
      </c>
      <c r="U168" s="3" t="str">
        <f ca="1">IF(B168&lt;&gt;"",INDEX('Initiative Indirect'!$T:$T,MATCH(B168,'Initiative Indirect'!$A:$A,0)),"")</f>
        <v/>
      </c>
      <c r="V168" s="3" t="str">
        <f ca="1">IF(C168&lt;&gt;"",INDEX('Team Indirect'!$T:$T,MATCH(C168,'Team Indirect'!$A:$A,0)),"")</f>
        <v/>
      </c>
      <c r="W168" s="3"/>
      <c r="X168" s="3"/>
      <c r="Y168" s="3" t="str">
        <f ca="1">IF($C168&lt;&gt;"",INDEX('Team Indirect'!$D:$D,MATCH($C168,'Team Indirect'!$A:$A,0)),"")</f>
        <v/>
      </c>
      <c r="Z168" s="3" t="str">
        <f ca="1">IF($C168&lt;&gt;"",INDEX('Team Indirect'!$E:$E,MATCH($C168,'Team Indirect'!$A:$A,0)),"")</f>
        <v/>
      </c>
      <c r="AA168" s="3" t="str">
        <f ca="1">IF($C168&lt;&gt;"",INDEX('Team Indirect'!$F:$F,MATCH($C168,'Team Indirect'!$A:$A,0)),"")</f>
        <v/>
      </c>
      <c r="AB168" s="3" t="str">
        <f t="shared" ca="1" si="2"/>
        <v/>
      </c>
      <c r="AC168" s="3">
        <f ca="1">IF(OR(AllocationUnits="Stories", AllocationUnits="Points"),'Work Indirect'!F168,F168/MAX('Work Indirect'!AB168,1))</f>
        <v>1</v>
      </c>
    </row>
    <row r="169" spans="1:29"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7" t="str">
        <f ca="1">IF(OFFSET('4. Work'!$A$1,ROW(D169)-1,COLUMN(D169)-1)="","",OFFSET('4. Work'!$A$1,ROW(D169)-1,COLUMN(D169)-1))</f>
        <v/>
      </c>
      <c r="E169" s="147"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I169" s="3" t="str">
        <f ca="1">IF(OFFSET('4. Work'!$A$1,ROW(I169)-1,COLUMN(I169)-1)="","",OFFSET('4. Work'!$A$1,ROW(I169)-1,COLUMN(I169)-1))</f>
        <v/>
      </c>
      <c r="T169" s="3" t="str">
        <f ca="1">IF(A169&lt;&gt;"",MAX('Initiative Indirect'!$T:$T)+(ROW(A169)-1),"")</f>
        <v/>
      </c>
      <c r="U169" s="3" t="str">
        <f ca="1">IF(B169&lt;&gt;"",INDEX('Initiative Indirect'!$T:$T,MATCH(B169,'Initiative Indirect'!$A:$A,0)),"")</f>
        <v/>
      </c>
      <c r="V169" s="3" t="str">
        <f ca="1">IF(C169&lt;&gt;"",INDEX('Team Indirect'!$T:$T,MATCH(C169,'Team Indirect'!$A:$A,0)),"")</f>
        <v/>
      </c>
      <c r="W169" s="3"/>
      <c r="X169" s="3"/>
      <c r="Y169" s="3" t="str">
        <f ca="1">IF($C169&lt;&gt;"",INDEX('Team Indirect'!$D:$D,MATCH($C169,'Team Indirect'!$A:$A,0)),"")</f>
        <v/>
      </c>
      <c r="Z169" s="3" t="str">
        <f ca="1">IF($C169&lt;&gt;"",INDEX('Team Indirect'!$E:$E,MATCH($C169,'Team Indirect'!$A:$A,0)),"")</f>
        <v/>
      </c>
      <c r="AA169" s="3" t="str">
        <f ca="1">IF($C169&lt;&gt;"",INDEX('Team Indirect'!$F:$F,MATCH($C169,'Team Indirect'!$A:$A,0)),"")</f>
        <v/>
      </c>
      <c r="AB169" s="3" t="str">
        <f t="shared" ca="1" si="2"/>
        <v/>
      </c>
      <c r="AC169" s="3">
        <f ca="1">IF(OR(AllocationUnits="Stories", AllocationUnits="Points"),'Work Indirect'!F169,F169/MAX('Work Indirect'!AB169,1))</f>
        <v>1</v>
      </c>
    </row>
    <row r="170" spans="1:29"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7" t="str">
        <f ca="1">IF(OFFSET('4. Work'!$A$1,ROW(D170)-1,COLUMN(D170)-1)="","",OFFSET('4. Work'!$A$1,ROW(D170)-1,COLUMN(D170)-1))</f>
        <v/>
      </c>
      <c r="E170" s="147"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I170" s="3" t="str">
        <f ca="1">IF(OFFSET('4. Work'!$A$1,ROW(I170)-1,COLUMN(I170)-1)="","",OFFSET('4. Work'!$A$1,ROW(I170)-1,COLUMN(I170)-1))</f>
        <v/>
      </c>
      <c r="T170" s="3" t="str">
        <f ca="1">IF(A170&lt;&gt;"",MAX('Initiative Indirect'!$T:$T)+(ROW(A170)-1),"")</f>
        <v/>
      </c>
      <c r="U170" s="3" t="str">
        <f ca="1">IF(B170&lt;&gt;"",INDEX('Initiative Indirect'!$T:$T,MATCH(B170,'Initiative Indirect'!$A:$A,0)),"")</f>
        <v/>
      </c>
      <c r="V170" s="3" t="str">
        <f ca="1">IF(C170&lt;&gt;"",INDEX('Team Indirect'!$T:$T,MATCH(C170,'Team Indirect'!$A:$A,0)),"")</f>
        <v/>
      </c>
      <c r="W170" s="3"/>
      <c r="X170" s="3"/>
      <c r="Y170" s="3" t="str">
        <f ca="1">IF($C170&lt;&gt;"",INDEX('Team Indirect'!$D:$D,MATCH($C170,'Team Indirect'!$A:$A,0)),"")</f>
        <v/>
      </c>
      <c r="Z170" s="3" t="str">
        <f ca="1">IF($C170&lt;&gt;"",INDEX('Team Indirect'!$E:$E,MATCH($C170,'Team Indirect'!$A:$A,0)),"")</f>
        <v/>
      </c>
      <c r="AA170" s="3" t="str">
        <f ca="1">IF($C170&lt;&gt;"",INDEX('Team Indirect'!$F:$F,MATCH($C170,'Team Indirect'!$A:$A,0)),"")</f>
        <v/>
      </c>
      <c r="AB170" s="3" t="str">
        <f t="shared" ca="1" si="2"/>
        <v/>
      </c>
      <c r="AC170" s="3">
        <f ca="1">IF(OR(AllocationUnits="Stories", AllocationUnits="Points"),'Work Indirect'!F170,F170/MAX('Work Indirect'!AB170,1))</f>
        <v>1</v>
      </c>
    </row>
    <row r="171" spans="1:29"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7" t="str">
        <f ca="1">IF(OFFSET('4. Work'!$A$1,ROW(D171)-1,COLUMN(D171)-1)="","",OFFSET('4. Work'!$A$1,ROW(D171)-1,COLUMN(D171)-1))</f>
        <v/>
      </c>
      <c r="E171" s="147"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I171" s="3" t="str">
        <f ca="1">IF(OFFSET('4. Work'!$A$1,ROW(I171)-1,COLUMN(I171)-1)="","",OFFSET('4. Work'!$A$1,ROW(I171)-1,COLUMN(I171)-1))</f>
        <v/>
      </c>
      <c r="T171" s="3" t="str">
        <f ca="1">IF(A171&lt;&gt;"",MAX('Initiative Indirect'!$T:$T)+(ROW(A171)-1),"")</f>
        <v/>
      </c>
      <c r="U171" s="3" t="str">
        <f ca="1">IF(B171&lt;&gt;"",INDEX('Initiative Indirect'!$T:$T,MATCH(B171,'Initiative Indirect'!$A:$A,0)),"")</f>
        <v/>
      </c>
      <c r="V171" s="3" t="str">
        <f ca="1">IF(C171&lt;&gt;"",INDEX('Team Indirect'!$T:$T,MATCH(C171,'Team Indirect'!$A:$A,0)),"")</f>
        <v/>
      </c>
      <c r="W171" s="3"/>
      <c r="X171" s="3"/>
      <c r="Y171" s="3" t="str">
        <f ca="1">IF($C171&lt;&gt;"",INDEX('Team Indirect'!$D:$D,MATCH($C171,'Team Indirect'!$A:$A,0)),"")</f>
        <v/>
      </c>
      <c r="Z171" s="3" t="str">
        <f ca="1">IF($C171&lt;&gt;"",INDEX('Team Indirect'!$E:$E,MATCH($C171,'Team Indirect'!$A:$A,0)),"")</f>
        <v/>
      </c>
      <c r="AA171" s="3" t="str">
        <f ca="1">IF($C171&lt;&gt;"",INDEX('Team Indirect'!$F:$F,MATCH($C171,'Team Indirect'!$A:$A,0)),"")</f>
        <v/>
      </c>
      <c r="AB171" s="3" t="str">
        <f t="shared" ca="1" si="2"/>
        <v/>
      </c>
      <c r="AC171" s="3">
        <f ca="1">IF(OR(AllocationUnits="Stories", AllocationUnits="Points"),'Work Indirect'!F171,F171/MAX('Work Indirect'!AB171,1))</f>
        <v>1</v>
      </c>
    </row>
    <row r="172" spans="1:29"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7" t="str">
        <f ca="1">IF(OFFSET('4. Work'!$A$1,ROW(D172)-1,COLUMN(D172)-1)="","",OFFSET('4. Work'!$A$1,ROW(D172)-1,COLUMN(D172)-1))</f>
        <v/>
      </c>
      <c r="E172" s="147"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I172" s="3" t="str">
        <f ca="1">IF(OFFSET('4. Work'!$A$1,ROW(I172)-1,COLUMN(I172)-1)="","",OFFSET('4. Work'!$A$1,ROW(I172)-1,COLUMN(I172)-1))</f>
        <v/>
      </c>
      <c r="T172" s="3" t="str">
        <f ca="1">IF(A172&lt;&gt;"",MAX('Initiative Indirect'!$T:$T)+(ROW(A172)-1),"")</f>
        <v/>
      </c>
      <c r="U172" s="3" t="str">
        <f ca="1">IF(B172&lt;&gt;"",INDEX('Initiative Indirect'!$T:$T,MATCH(B172,'Initiative Indirect'!$A:$A,0)),"")</f>
        <v/>
      </c>
      <c r="V172" s="3" t="str">
        <f ca="1">IF(C172&lt;&gt;"",INDEX('Team Indirect'!$T:$T,MATCH(C172,'Team Indirect'!$A:$A,0)),"")</f>
        <v/>
      </c>
      <c r="W172" s="3"/>
      <c r="X172" s="3"/>
      <c r="Y172" s="3" t="str">
        <f ca="1">IF($C172&lt;&gt;"",INDEX('Team Indirect'!$D:$D,MATCH($C172,'Team Indirect'!$A:$A,0)),"")</f>
        <v/>
      </c>
      <c r="Z172" s="3" t="str">
        <f ca="1">IF($C172&lt;&gt;"",INDEX('Team Indirect'!$E:$E,MATCH($C172,'Team Indirect'!$A:$A,0)),"")</f>
        <v/>
      </c>
      <c r="AA172" s="3" t="str">
        <f ca="1">IF($C172&lt;&gt;"",INDEX('Team Indirect'!$F:$F,MATCH($C172,'Team Indirect'!$A:$A,0)),"")</f>
        <v/>
      </c>
      <c r="AB172" s="3" t="str">
        <f t="shared" ca="1" si="2"/>
        <v/>
      </c>
      <c r="AC172" s="3">
        <f ca="1">IF(OR(AllocationUnits="Stories", AllocationUnits="Points"),'Work Indirect'!F172,F172/MAX('Work Indirect'!AB172,1))</f>
        <v>1</v>
      </c>
    </row>
    <row r="173" spans="1:29"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7" t="str">
        <f ca="1">IF(OFFSET('4. Work'!$A$1,ROW(D173)-1,COLUMN(D173)-1)="","",OFFSET('4. Work'!$A$1,ROW(D173)-1,COLUMN(D173)-1))</f>
        <v/>
      </c>
      <c r="E173" s="147"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I173" s="3" t="str">
        <f ca="1">IF(OFFSET('4. Work'!$A$1,ROW(I173)-1,COLUMN(I173)-1)="","",OFFSET('4. Work'!$A$1,ROW(I173)-1,COLUMN(I173)-1))</f>
        <v/>
      </c>
      <c r="T173" s="3" t="str">
        <f ca="1">IF(A173&lt;&gt;"",MAX('Initiative Indirect'!$T:$T)+(ROW(A173)-1),"")</f>
        <v/>
      </c>
      <c r="U173" s="3" t="str">
        <f ca="1">IF(B173&lt;&gt;"",INDEX('Initiative Indirect'!$T:$T,MATCH(B173,'Initiative Indirect'!$A:$A,0)),"")</f>
        <v/>
      </c>
      <c r="V173" s="3" t="str">
        <f ca="1">IF(C173&lt;&gt;"",INDEX('Team Indirect'!$T:$T,MATCH(C173,'Team Indirect'!$A:$A,0)),"")</f>
        <v/>
      </c>
      <c r="W173" s="3"/>
      <c r="X173" s="3"/>
      <c r="Y173" s="3" t="str">
        <f ca="1">IF($C173&lt;&gt;"",INDEX('Team Indirect'!$D:$D,MATCH($C173,'Team Indirect'!$A:$A,0)),"")</f>
        <v/>
      </c>
      <c r="Z173" s="3" t="str">
        <f ca="1">IF($C173&lt;&gt;"",INDEX('Team Indirect'!$E:$E,MATCH($C173,'Team Indirect'!$A:$A,0)),"")</f>
        <v/>
      </c>
      <c r="AA173" s="3" t="str">
        <f ca="1">IF($C173&lt;&gt;"",INDEX('Team Indirect'!$F:$F,MATCH($C173,'Team Indirect'!$A:$A,0)),"")</f>
        <v/>
      </c>
      <c r="AB173" s="3" t="str">
        <f t="shared" ca="1" si="2"/>
        <v/>
      </c>
      <c r="AC173" s="3">
        <f ca="1">IF(OR(AllocationUnits="Stories", AllocationUnits="Points"),'Work Indirect'!F173,F173/MAX('Work Indirect'!AB173,1))</f>
        <v>1</v>
      </c>
    </row>
    <row r="174" spans="1:29"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7" t="str">
        <f ca="1">IF(OFFSET('4. Work'!$A$1,ROW(D174)-1,COLUMN(D174)-1)="","",OFFSET('4. Work'!$A$1,ROW(D174)-1,COLUMN(D174)-1))</f>
        <v/>
      </c>
      <c r="E174" s="147"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I174" s="3" t="str">
        <f ca="1">IF(OFFSET('4. Work'!$A$1,ROW(I174)-1,COLUMN(I174)-1)="","",OFFSET('4. Work'!$A$1,ROW(I174)-1,COLUMN(I174)-1))</f>
        <v/>
      </c>
      <c r="T174" s="3" t="str">
        <f ca="1">IF(A174&lt;&gt;"",MAX('Initiative Indirect'!$T:$T)+(ROW(A174)-1),"")</f>
        <v/>
      </c>
      <c r="U174" s="3" t="str">
        <f ca="1">IF(B174&lt;&gt;"",INDEX('Initiative Indirect'!$T:$T,MATCH(B174,'Initiative Indirect'!$A:$A,0)),"")</f>
        <v/>
      </c>
      <c r="V174" s="3" t="str">
        <f ca="1">IF(C174&lt;&gt;"",INDEX('Team Indirect'!$T:$T,MATCH(C174,'Team Indirect'!$A:$A,0)),"")</f>
        <v/>
      </c>
      <c r="W174" s="3"/>
      <c r="X174" s="3"/>
      <c r="Y174" s="3" t="str">
        <f ca="1">IF($C174&lt;&gt;"",INDEX('Team Indirect'!$D:$D,MATCH($C174,'Team Indirect'!$A:$A,0)),"")</f>
        <v/>
      </c>
      <c r="Z174" s="3" t="str">
        <f ca="1">IF($C174&lt;&gt;"",INDEX('Team Indirect'!$E:$E,MATCH($C174,'Team Indirect'!$A:$A,0)),"")</f>
        <v/>
      </c>
      <c r="AA174" s="3" t="str">
        <f ca="1">IF($C174&lt;&gt;"",INDEX('Team Indirect'!$F:$F,MATCH($C174,'Team Indirect'!$A:$A,0)),"")</f>
        <v/>
      </c>
      <c r="AB174" s="3" t="str">
        <f t="shared" ca="1" si="2"/>
        <v/>
      </c>
      <c r="AC174" s="3">
        <f ca="1">IF(OR(AllocationUnits="Stories", AllocationUnits="Points"),'Work Indirect'!F174,F174/MAX('Work Indirect'!AB174,1))</f>
        <v>1</v>
      </c>
    </row>
    <row r="175" spans="1:29"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7" t="str">
        <f ca="1">IF(OFFSET('4. Work'!$A$1,ROW(D175)-1,COLUMN(D175)-1)="","",OFFSET('4. Work'!$A$1,ROW(D175)-1,COLUMN(D175)-1))</f>
        <v/>
      </c>
      <c r="E175" s="147"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I175" s="3" t="str">
        <f ca="1">IF(OFFSET('4. Work'!$A$1,ROW(I175)-1,COLUMN(I175)-1)="","",OFFSET('4. Work'!$A$1,ROW(I175)-1,COLUMN(I175)-1))</f>
        <v/>
      </c>
      <c r="T175" s="3" t="str">
        <f ca="1">IF(A175&lt;&gt;"",MAX('Initiative Indirect'!$T:$T)+(ROW(A175)-1),"")</f>
        <v/>
      </c>
      <c r="U175" s="3" t="str">
        <f ca="1">IF(B175&lt;&gt;"",INDEX('Initiative Indirect'!$T:$T,MATCH(B175,'Initiative Indirect'!$A:$A,0)),"")</f>
        <v/>
      </c>
      <c r="V175" s="3" t="str">
        <f ca="1">IF(C175&lt;&gt;"",INDEX('Team Indirect'!$T:$T,MATCH(C175,'Team Indirect'!$A:$A,0)),"")</f>
        <v/>
      </c>
      <c r="W175" s="3"/>
      <c r="X175" s="3"/>
      <c r="Y175" s="3" t="str">
        <f ca="1">IF($C175&lt;&gt;"",INDEX('Team Indirect'!$D:$D,MATCH($C175,'Team Indirect'!$A:$A,0)),"")</f>
        <v/>
      </c>
      <c r="Z175" s="3" t="str">
        <f ca="1">IF($C175&lt;&gt;"",INDEX('Team Indirect'!$E:$E,MATCH($C175,'Team Indirect'!$A:$A,0)),"")</f>
        <v/>
      </c>
      <c r="AA175" s="3" t="str">
        <f ca="1">IF($C175&lt;&gt;"",INDEX('Team Indirect'!$F:$F,MATCH($C175,'Team Indirect'!$A:$A,0)),"")</f>
        <v/>
      </c>
      <c r="AB175" s="3" t="str">
        <f t="shared" ca="1" si="2"/>
        <v/>
      </c>
      <c r="AC175" s="3">
        <f ca="1">IF(OR(AllocationUnits="Stories", AllocationUnits="Points"),'Work Indirect'!F175,F175/MAX('Work Indirect'!AB175,1))</f>
        <v>1</v>
      </c>
    </row>
    <row r="176" spans="1:29"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7" t="str">
        <f ca="1">IF(OFFSET('4. Work'!$A$1,ROW(D176)-1,COLUMN(D176)-1)="","",OFFSET('4. Work'!$A$1,ROW(D176)-1,COLUMN(D176)-1))</f>
        <v/>
      </c>
      <c r="E176" s="147"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I176" s="3" t="str">
        <f ca="1">IF(OFFSET('4. Work'!$A$1,ROW(I176)-1,COLUMN(I176)-1)="","",OFFSET('4. Work'!$A$1,ROW(I176)-1,COLUMN(I176)-1))</f>
        <v/>
      </c>
      <c r="T176" s="3" t="str">
        <f ca="1">IF(A176&lt;&gt;"",MAX('Initiative Indirect'!$T:$T)+(ROW(A176)-1),"")</f>
        <v/>
      </c>
      <c r="U176" s="3" t="str">
        <f ca="1">IF(B176&lt;&gt;"",INDEX('Initiative Indirect'!$T:$T,MATCH(B176,'Initiative Indirect'!$A:$A,0)),"")</f>
        <v/>
      </c>
      <c r="V176" s="3" t="str">
        <f ca="1">IF(C176&lt;&gt;"",INDEX('Team Indirect'!$T:$T,MATCH(C176,'Team Indirect'!$A:$A,0)),"")</f>
        <v/>
      </c>
      <c r="W176" s="3"/>
      <c r="X176" s="3"/>
      <c r="Y176" s="3" t="str">
        <f ca="1">IF($C176&lt;&gt;"",INDEX('Team Indirect'!$D:$D,MATCH($C176,'Team Indirect'!$A:$A,0)),"")</f>
        <v/>
      </c>
      <c r="Z176" s="3" t="str">
        <f ca="1">IF($C176&lt;&gt;"",INDEX('Team Indirect'!$E:$E,MATCH($C176,'Team Indirect'!$A:$A,0)),"")</f>
        <v/>
      </c>
      <c r="AA176" s="3" t="str">
        <f ca="1">IF($C176&lt;&gt;"",INDEX('Team Indirect'!$F:$F,MATCH($C176,'Team Indirect'!$A:$A,0)),"")</f>
        <v/>
      </c>
      <c r="AB176" s="3" t="str">
        <f t="shared" ca="1" si="2"/>
        <v/>
      </c>
      <c r="AC176" s="3">
        <f ca="1">IF(OR(AllocationUnits="Stories", AllocationUnits="Points"),'Work Indirect'!F176,F176/MAX('Work Indirect'!AB176,1))</f>
        <v>1</v>
      </c>
    </row>
    <row r="177" spans="1:29"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7" t="str">
        <f ca="1">IF(OFFSET('4. Work'!$A$1,ROW(D177)-1,COLUMN(D177)-1)="","",OFFSET('4. Work'!$A$1,ROW(D177)-1,COLUMN(D177)-1))</f>
        <v/>
      </c>
      <c r="E177" s="147"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I177" s="3" t="str">
        <f ca="1">IF(OFFSET('4. Work'!$A$1,ROW(I177)-1,COLUMN(I177)-1)="","",OFFSET('4. Work'!$A$1,ROW(I177)-1,COLUMN(I177)-1))</f>
        <v/>
      </c>
      <c r="T177" s="3" t="str">
        <f ca="1">IF(A177&lt;&gt;"",MAX('Initiative Indirect'!$T:$T)+(ROW(A177)-1),"")</f>
        <v/>
      </c>
      <c r="U177" s="3" t="str">
        <f ca="1">IF(B177&lt;&gt;"",INDEX('Initiative Indirect'!$T:$T,MATCH(B177,'Initiative Indirect'!$A:$A,0)),"")</f>
        <v/>
      </c>
      <c r="V177" s="3" t="str">
        <f ca="1">IF(C177&lt;&gt;"",INDEX('Team Indirect'!$T:$T,MATCH(C177,'Team Indirect'!$A:$A,0)),"")</f>
        <v/>
      </c>
      <c r="W177" s="3"/>
      <c r="X177" s="3"/>
      <c r="Y177" s="3" t="str">
        <f ca="1">IF($C177&lt;&gt;"",INDEX('Team Indirect'!$D:$D,MATCH($C177,'Team Indirect'!$A:$A,0)),"")</f>
        <v/>
      </c>
      <c r="Z177" s="3" t="str">
        <f ca="1">IF($C177&lt;&gt;"",INDEX('Team Indirect'!$E:$E,MATCH($C177,'Team Indirect'!$A:$A,0)),"")</f>
        <v/>
      </c>
      <c r="AA177" s="3" t="str">
        <f ca="1">IF($C177&lt;&gt;"",INDEX('Team Indirect'!$F:$F,MATCH($C177,'Team Indirect'!$A:$A,0)),"")</f>
        <v/>
      </c>
      <c r="AB177" s="3" t="str">
        <f t="shared" ca="1" si="2"/>
        <v/>
      </c>
      <c r="AC177" s="3">
        <f ca="1">IF(OR(AllocationUnits="Stories", AllocationUnits="Points"),'Work Indirect'!F177,F177/MAX('Work Indirect'!AB177,1))</f>
        <v>1</v>
      </c>
    </row>
    <row r="178" spans="1:29"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7" t="str">
        <f ca="1">IF(OFFSET('4. Work'!$A$1,ROW(D178)-1,COLUMN(D178)-1)="","",OFFSET('4. Work'!$A$1,ROW(D178)-1,COLUMN(D178)-1))</f>
        <v/>
      </c>
      <c r="E178" s="147"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I178" s="3" t="str">
        <f ca="1">IF(OFFSET('4. Work'!$A$1,ROW(I178)-1,COLUMN(I178)-1)="","",OFFSET('4. Work'!$A$1,ROW(I178)-1,COLUMN(I178)-1))</f>
        <v/>
      </c>
      <c r="T178" s="3" t="str">
        <f ca="1">IF(A178&lt;&gt;"",MAX('Initiative Indirect'!$T:$T)+(ROW(A178)-1),"")</f>
        <v/>
      </c>
      <c r="U178" s="3" t="str">
        <f ca="1">IF(B178&lt;&gt;"",INDEX('Initiative Indirect'!$T:$T,MATCH(B178,'Initiative Indirect'!$A:$A,0)),"")</f>
        <v/>
      </c>
      <c r="V178" s="3" t="str">
        <f ca="1">IF(C178&lt;&gt;"",INDEX('Team Indirect'!$T:$T,MATCH(C178,'Team Indirect'!$A:$A,0)),"")</f>
        <v/>
      </c>
      <c r="W178" s="3"/>
      <c r="X178" s="3"/>
      <c r="Y178" s="3" t="str">
        <f ca="1">IF($C178&lt;&gt;"",INDEX('Team Indirect'!$D:$D,MATCH($C178,'Team Indirect'!$A:$A,0)),"")</f>
        <v/>
      </c>
      <c r="Z178" s="3" t="str">
        <f ca="1">IF($C178&lt;&gt;"",INDEX('Team Indirect'!$E:$E,MATCH($C178,'Team Indirect'!$A:$A,0)),"")</f>
        <v/>
      </c>
      <c r="AA178" s="3" t="str">
        <f ca="1">IF($C178&lt;&gt;"",INDEX('Team Indirect'!$F:$F,MATCH($C178,'Team Indirect'!$A:$A,0)),"")</f>
        <v/>
      </c>
      <c r="AB178" s="3" t="str">
        <f t="shared" ca="1" si="2"/>
        <v/>
      </c>
      <c r="AC178" s="3">
        <f ca="1">IF(OR(AllocationUnits="Stories", AllocationUnits="Points"),'Work Indirect'!F178,F178/MAX('Work Indirect'!AB178,1))</f>
        <v>1</v>
      </c>
    </row>
    <row r="179" spans="1:29"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7" t="str">
        <f ca="1">IF(OFFSET('4. Work'!$A$1,ROW(D179)-1,COLUMN(D179)-1)="","",OFFSET('4. Work'!$A$1,ROW(D179)-1,COLUMN(D179)-1))</f>
        <v/>
      </c>
      <c r="E179" s="147"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I179" s="3" t="str">
        <f ca="1">IF(OFFSET('4. Work'!$A$1,ROW(I179)-1,COLUMN(I179)-1)="","",OFFSET('4. Work'!$A$1,ROW(I179)-1,COLUMN(I179)-1))</f>
        <v/>
      </c>
      <c r="T179" s="3" t="str">
        <f ca="1">IF(A179&lt;&gt;"",MAX('Initiative Indirect'!$T:$T)+(ROW(A179)-1),"")</f>
        <v/>
      </c>
      <c r="U179" s="3" t="str">
        <f ca="1">IF(B179&lt;&gt;"",INDEX('Initiative Indirect'!$T:$T,MATCH(B179,'Initiative Indirect'!$A:$A,0)),"")</f>
        <v/>
      </c>
      <c r="V179" s="3" t="str">
        <f ca="1">IF(C179&lt;&gt;"",INDEX('Team Indirect'!$T:$T,MATCH(C179,'Team Indirect'!$A:$A,0)),"")</f>
        <v/>
      </c>
      <c r="W179" s="3"/>
      <c r="X179" s="3"/>
      <c r="Y179" s="3" t="str">
        <f ca="1">IF($C179&lt;&gt;"",INDEX('Team Indirect'!$D:$D,MATCH($C179,'Team Indirect'!$A:$A,0)),"")</f>
        <v/>
      </c>
      <c r="Z179" s="3" t="str">
        <f ca="1">IF($C179&lt;&gt;"",INDEX('Team Indirect'!$E:$E,MATCH($C179,'Team Indirect'!$A:$A,0)),"")</f>
        <v/>
      </c>
      <c r="AA179" s="3" t="str">
        <f ca="1">IF($C179&lt;&gt;"",INDEX('Team Indirect'!$F:$F,MATCH($C179,'Team Indirect'!$A:$A,0)),"")</f>
        <v/>
      </c>
      <c r="AB179" s="3" t="str">
        <f t="shared" ca="1" si="2"/>
        <v/>
      </c>
      <c r="AC179" s="3">
        <f ca="1">IF(OR(AllocationUnits="Stories", AllocationUnits="Points"),'Work Indirect'!F179,F179/MAX('Work Indirect'!AB179,1))</f>
        <v>1</v>
      </c>
    </row>
    <row r="180" spans="1:29"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7" t="str">
        <f ca="1">IF(OFFSET('4. Work'!$A$1,ROW(D180)-1,COLUMN(D180)-1)="","",OFFSET('4. Work'!$A$1,ROW(D180)-1,COLUMN(D180)-1))</f>
        <v/>
      </c>
      <c r="E180" s="147"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I180" s="3" t="str">
        <f ca="1">IF(OFFSET('4. Work'!$A$1,ROW(I180)-1,COLUMN(I180)-1)="","",OFFSET('4. Work'!$A$1,ROW(I180)-1,COLUMN(I180)-1))</f>
        <v/>
      </c>
      <c r="T180" s="3" t="str">
        <f ca="1">IF(A180&lt;&gt;"",MAX('Initiative Indirect'!$T:$T)+(ROW(A180)-1),"")</f>
        <v/>
      </c>
      <c r="U180" s="3" t="str">
        <f ca="1">IF(B180&lt;&gt;"",INDEX('Initiative Indirect'!$T:$T,MATCH(B180,'Initiative Indirect'!$A:$A,0)),"")</f>
        <v/>
      </c>
      <c r="V180" s="3" t="str">
        <f ca="1">IF(C180&lt;&gt;"",INDEX('Team Indirect'!$T:$T,MATCH(C180,'Team Indirect'!$A:$A,0)),"")</f>
        <v/>
      </c>
      <c r="W180" s="3"/>
      <c r="X180" s="3"/>
      <c r="Y180" s="3" t="str">
        <f ca="1">IF($C180&lt;&gt;"",INDEX('Team Indirect'!$D:$D,MATCH($C180,'Team Indirect'!$A:$A,0)),"")</f>
        <v/>
      </c>
      <c r="Z180" s="3" t="str">
        <f ca="1">IF($C180&lt;&gt;"",INDEX('Team Indirect'!$E:$E,MATCH($C180,'Team Indirect'!$A:$A,0)),"")</f>
        <v/>
      </c>
      <c r="AA180" s="3" t="str">
        <f ca="1">IF($C180&lt;&gt;"",INDEX('Team Indirect'!$F:$F,MATCH($C180,'Team Indirect'!$A:$A,0)),"")</f>
        <v/>
      </c>
      <c r="AB180" s="3" t="str">
        <f t="shared" ca="1" si="2"/>
        <v/>
      </c>
      <c r="AC180" s="3">
        <f ca="1">IF(OR(AllocationUnits="Stories", AllocationUnits="Points"),'Work Indirect'!F180,F180/MAX('Work Indirect'!AB180,1))</f>
        <v>1</v>
      </c>
    </row>
    <row r="181" spans="1:29"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7" t="str">
        <f ca="1">IF(OFFSET('4. Work'!$A$1,ROW(D181)-1,COLUMN(D181)-1)="","",OFFSET('4. Work'!$A$1,ROW(D181)-1,COLUMN(D181)-1))</f>
        <v/>
      </c>
      <c r="E181" s="147"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I181" s="3" t="str">
        <f ca="1">IF(OFFSET('4. Work'!$A$1,ROW(I181)-1,COLUMN(I181)-1)="","",OFFSET('4. Work'!$A$1,ROW(I181)-1,COLUMN(I181)-1))</f>
        <v/>
      </c>
      <c r="T181" s="3" t="str">
        <f ca="1">IF(A181&lt;&gt;"",MAX('Initiative Indirect'!$T:$T)+(ROW(A181)-1),"")</f>
        <v/>
      </c>
      <c r="U181" s="3" t="str">
        <f ca="1">IF(B181&lt;&gt;"",INDEX('Initiative Indirect'!$T:$T,MATCH(B181,'Initiative Indirect'!$A:$A,0)),"")</f>
        <v/>
      </c>
      <c r="V181" s="3" t="str">
        <f ca="1">IF(C181&lt;&gt;"",INDEX('Team Indirect'!$T:$T,MATCH(C181,'Team Indirect'!$A:$A,0)),"")</f>
        <v/>
      </c>
      <c r="W181" s="3"/>
      <c r="X181" s="3"/>
      <c r="Y181" s="3" t="str">
        <f ca="1">IF($C181&lt;&gt;"",INDEX('Team Indirect'!$D:$D,MATCH($C181,'Team Indirect'!$A:$A,0)),"")</f>
        <v/>
      </c>
      <c r="Z181" s="3" t="str">
        <f ca="1">IF($C181&lt;&gt;"",INDEX('Team Indirect'!$E:$E,MATCH($C181,'Team Indirect'!$A:$A,0)),"")</f>
        <v/>
      </c>
      <c r="AA181" s="3" t="str">
        <f ca="1">IF($C181&lt;&gt;"",INDEX('Team Indirect'!$F:$F,MATCH($C181,'Team Indirect'!$A:$A,0)),"")</f>
        <v/>
      </c>
      <c r="AB181" s="3" t="str">
        <f t="shared" ca="1" si="2"/>
        <v/>
      </c>
      <c r="AC181" s="3">
        <f ca="1">IF(OR(AllocationUnits="Stories", AllocationUnits="Points"),'Work Indirect'!F181,F181/MAX('Work Indirect'!AB181,1))</f>
        <v>1</v>
      </c>
    </row>
    <row r="182" spans="1:29"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7" t="str">
        <f ca="1">IF(OFFSET('4. Work'!$A$1,ROW(D182)-1,COLUMN(D182)-1)="","",OFFSET('4. Work'!$A$1,ROW(D182)-1,COLUMN(D182)-1))</f>
        <v/>
      </c>
      <c r="E182" s="147"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I182" s="3" t="str">
        <f ca="1">IF(OFFSET('4. Work'!$A$1,ROW(I182)-1,COLUMN(I182)-1)="","",OFFSET('4. Work'!$A$1,ROW(I182)-1,COLUMN(I182)-1))</f>
        <v/>
      </c>
      <c r="T182" s="3" t="str">
        <f ca="1">IF(A182&lt;&gt;"",MAX('Initiative Indirect'!$T:$T)+(ROW(A182)-1),"")</f>
        <v/>
      </c>
      <c r="U182" s="3" t="str">
        <f ca="1">IF(B182&lt;&gt;"",INDEX('Initiative Indirect'!$T:$T,MATCH(B182,'Initiative Indirect'!$A:$A,0)),"")</f>
        <v/>
      </c>
      <c r="V182" s="3" t="str">
        <f ca="1">IF(C182&lt;&gt;"",INDEX('Team Indirect'!$T:$T,MATCH(C182,'Team Indirect'!$A:$A,0)),"")</f>
        <v/>
      </c>
      <c r="W182" s="3"/>
      <c r="X182" s="3"/>
      <c r="Y182" s="3" t="str">
        <f ca="1">IF($C182&lt;&gt;"",INDEX('Team Indirect'!$D:$D,MATCH($C182,'Team Indirect'!$A:$A,0)),"")</f>
        <v/>
      </c>
      <c r="Z182" s="3" t="str">
        <f ca="1">IF($C182&lt;&gt;"",INDEX('Team Indirect'!$E:$E,MATCH($C182,'Team Indirect'!$A:$A,0)),"")</f>
        <v/>
      </c>
      <c r="AA182" s="3" t="str">
        <f ca="1">IF($C182&lt;&gt;"",INDEX('Team Indirect'!$F:$F,MATCH($C182,'Team Indirect'!$A:$A,0)),"")</f>
        <v/>
      </c>
      <c r="AB182" s="3" t="str">
        <f t="shared" ca="1" si="2"/>
        <v/>
      </c>
      <c r="AC182" s="3">
        <f ca="1">IF(OR(AllocationUnits="Stories", AllocationUnits="Points"),'Work Indirect'!F182,F182/MAX('Work Indirect'!AB182,1))</f>
        <v>1</v>
      </c>
    </row>
    <row r="183" spans="1:29"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7" t="str">
        <f ca="1">IF(OFFSET('4. Work'!$A$1,ROW(D183)-1,COLUMN(D183)-1)="","",OFFSET('4. Work'!$A$1,ROW(D183)-1,COLUMN(D183)-1))</f>
        <v/>
      </c>
      <c r="E183" s="147"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I183" s="3" t="str">
        <f ca="1">IF(OFFSET('4. Work'!$A$1,ROW(I183)-1,COLUMN(I183)-1)="","",OFFSET('4. Work'!$A$1,ROW(I183)-1,COLUMN(I183)-1))</f>
        <v/>
      </c>
      <c r="T183" s="3" t="str">
        <f ca="1">IF(A183&lt;&gt;"",MAX('Initiative Indirect'!$T:$T)+(ROW(A183)-1),"")</f>
        <v/>
      </c>
      <c r="U183" s="3" t="str">
        <f ca="1">IF(B183&lt;&gt;"",INDEX('Initiative Indirect'!$T:$T,MATCH(B183,'Initiative Indirect'!$A:$A,0)),"")</f>
        <v/>
      </c>
      <c r="V183" s="3" t="str">
        <f ca="1">IF(C183&lt;&gt;"",INDEX('Team Indirect'!$T:$T,MATCH(C183,'Team Indirect'!$A:$A,0)),"")</f>
        <v/>
      </c>
      <c r="W183" s="3"/>
      <c r="X183" s="3"/>
      <c r="Y183" s="3" t="str">
        <f ca="1">IF($C183&lt;&gt;"",INDEX('Team Indirect'!$D:$D,MATCH($C183,'Team Indirect'!$A:$A,0)),"")</f>
        <v/>
      </c>
      <c r="Z183" s="3" t="str">
        <f ca="1">IF($C183&lt;&gt;"",INDEX('Team Indirect'!$E:$E,MATCH($C183,'Team Indirect'!$A:$A,0)),"")</f>
        <v/>
      </c>
      <c r="AA183" s="3" t="str">
        <f ca="1">IF($C183&lt;&gt;"",INDEX('Team Indirect'!$F:$F,MATCH($C183,'Team Indirect'!$A:$A,0)),"")</f>
        <v/>
      </c>
      <c r="AB183" s="3" t="str">
        <f t="shared" ca="1" si="2"/>
        <v/>
      </c>
      <c r="AC183" s="3">
        <f ca="1">IF(OR(AllocationUnits="Stories", AllocationUnits="Points"),'Work Indirect'!F183,F183/MAX('Work Indirect'!AB183,1))</f>
        <v>1</v>
      </c>
    </row>
    <row r="184" spans="1:29"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7" t="str">
        <f ca="1">IF(OFFSET('4. Work'!$A$1,ROW(D184)-1,COLUMN(D184)-1)="","",OFFSET('4. Work'!$A$1,ROW(D184)-1,COLUMN(D184)-1))</f>
        <v/>
      </c>
      <c r="E184" s="147"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I184" s="3" t="str">
        <f ca="1">IF(OFFSET('4. Work'!$A$1,ROW(I184)-1,COLUMN(I184)-1)="","",OFFSET('4. Work'!$A$1,ROW(I184)-1,COLUMN(I184)-1))</f>
        <v/>
      </c>
      <c r="T184" s="3" t="str">
        <f ca="1">IF(A184&lt;&gt;"",MAX('Initiative Indirect'!$T:$T)+(ROW(A184)-1),"")</f>
        <v/>
      </c>
      <c r="U184" s="3" t="str">
        <f ca="1">IF(B184&lt;&gt;"",INDEX('Initiative Indirect'!$T:$T,MATCH(B184,'Initiative Indirect'!$A:$A,0)),"")</f>
        <v/>
      </c>
      <c r="V184" s="3" t="str">
        <f ca="1">IF(C184&lt;&gt;"",INDEX('Team Indirect'!$T:$T,MATCH(C184,'Team Indirect'!$A:$A,0)),"")</f>
        <v/>
      </c>
      <c r="W184" s="3"/>
      <c r="X184" s="3"/>
      <c r="Y184" s="3" t="str">
        <f ca="1">IF($C184&lt;&gt;"",INDEX('Team Indirect'!$D:$D,MATCH($C184,'Team Indirect'!$A:$A,0)),"")</f>
        <v/>
      </c>
      <c r="Z184" s="3" t="str">
        <f ca="1">IF($C184&lt;&gt;"",INDEX('Team Indirect'!$E:$E,MATCH($C184,'Team Indirect'!$A:$A,0)),"")</f>
        <v/>
      </c>
      <c r="AA184" s="3" t="str">
        <f ca="1">IF($C184&lt;&gt;"",INDEX('Team Indirect'!$F:$F,MATCH($C184,'Team Indirect'!$A:$A,0)),"")</f>
        <v/>
      </c>
      <c r="AB184" s="3" t="str">
        <f t="shared" ca="1" si="2"/>
        <v/>
      </c>
      <c r="AC184" s="3">
        <f ca="1">IF(OR(AllocationUnits="Stories", AllocationUnits="Points"),'Work Indirect'!F184,F184/MAX('Work Indirect'!AB184,1))</f>
        <v>1</v>
      </c>
    </row>
    <row r="185" spans="1:29"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7" t="str">
        <f ca="1">IF(OFFSET('4. Work'!$A$1,ROW(D185)-1,COLUMN(D185)-1)="","",OFFSET('4. Work'!$A$1,ROW(D185)-1,COLUMN(D185)-1))</f>
        <v/>
      </c>
      <c r="E185" s="147"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I185" s="3" t="str">
        <f ca="1">IF(OFFSET('4. Work'!$A$1,ROW(I185)-1,COLUMN(I185)-1)="","",OFFSET('4. Work'!$A$1,ROW(I185)-1,COLUMN(I185)-1))</f>
        <v/>
      </c>
      <c r="T185" s="3" t="str">
        <f ca="1">IF(A185&lt;&gt;"",MAX('Initiative Indirect'!$T:$T)+(ROW(A185)-1),"")</f>
        <v/>
      </c>
      <c r="U185" s="3" t="str">
        <f ca="1">IF(B185&lt;&gt;"",INDEX('Initiative Indirect'!$T:$T,MATCH(B185,'Initiative Indirect'!$A:$A,0)),"")</f>
        <v/>
      </c>
      <c r="V185" s="3" t="str">
        <f ca="1">IF(C185&lt;&gt;"",INDEX('Team Indirect'!$T:$T,MATCH(C185,'Team Indirect'!$A:$A,0)),"")</f>
        <v/>
      </c>
      <c r="W185" s="3"/>
      <c r="X185" s="3"/>
      <c r="Y185" s="3" t="str">
        <f ca="1">IF($C185&lt;&gt;"",INDEX('Team Indirect'!$D:$D,MATCH($C185,'Team Indirect'!$A:$A,0)),"")</f>
        <v/>
      </c>
      <c r="Z185" s="3" t="str">
        <f ca="1">IF($C185&lt;&gt;"",INDEX('Team Indirect'!$E:$E,MATCH($C185,'Team Indirect'!$A:$A,0)),"")</f>
        <v/>
      </c>
      <c r="AA185" s="3" t="str">
        <f ca="1">IF($C185&lt;&gt;"",INDEX('Team Indirect'!$F:$F,MATCH($C185,'Team Indirect'!$A:$A,0)),"")</f>
        <v/>
      </c>
      <c r="AB185" s="3" t="str">
        <f t="shared" ca="1" si="2"/>
        <v/>
      </c>
      <c r="AC185" s="3">
        <f ca="1">IF(OR(AllocationUnits="Stories", AllocationUnits="Points"),'Work Indirect'!F185,F185/MAX('Work Indirect'!AB185,1))</f>
        <v>1</v>
      </c>
    </row>
    <row r="186" spans="1:29"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7" t="str">
        <f ca="1">IF(OFFSET('4. Work'!$A$1,ROW(D186)-1,COLUMN(D186)-1)="","",OFFSET('4. Work'!$A$1,ROW(D186)-1,COLUMN(D186)-1))</f>
        <v/>
      </c>
      <c r="E186" s="147"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I186" s="3" t="str">
        <f ca="1">IF(OFFSET('4. Work'!$A$1,ROW(I186)-1,COLUMN(I186)-1)="","",OFFSET('4. Work'!$A$1,ROW(I186)-1,COLUMN(I186)-1))</f>
        <v/>
      </c>
      <c r="T186" s="3" t="str">
        <f ca="1">IF(A186&lt;&gt;"",MAX('Initiative Indirect'!$T:$T)+(ROW(A186)-1),"")</f>
        <v/>
      </c>
      <c r="U186" s="3" t="str">
        <f ca="1">IF(B186&lt;&gt;"",INDEX('Initiative Indirect'!$T:$T,MATCH(B186,'Initiative Indirect'!$A:$A,0)),"")</f>
        <v/>
      </c>
      <c r="V186" s="3" t="str">
        <f ca="1">IF(C186&lt;&gt;"",INDEX('Team Indirect'!$T:$T,MATCH(C186,'Team Indirect'!$A:$A,0)),"")</f>
        <v/>
      </c>
      <c r="W186" s="3"/>
      <c r="X186" s="3"/>
      <c r="Y186" s="3" t="str">
        <f ca="1">IF($C186&lt;&gt;"",INDEX('Team Indirect'!$D:$D,MATCH($C186,'Team Indirect'!$A:$A,0)),"")</f>
        <v/>
      </c>
      <c r="Z186" s="3" t="str">
        <f ca="1">IF($C186&lt;&gt;"",INDEX('Team Indirect'!$E:$E,MATCH($C186,'Team Indirect'!$A:$A,0)),"")</f>
        <v/>
      </c>
      <c r="AA186" s="3" t="str">
        <f ca="1">IF($C186&lt;&gt;"",INDEX('Team Indirect'!$F:$F,MATCH($C186,'Team Indirect'!$A:$A,0)),"")</f>
        <v/>
      </c>
      <c r="AB186" s="3" t="str">
        <f t="shared" ca="1" si="2"/>
        <v/>
      </c>
      <c r="AC186" s="3">
        <f ca="1">IF(OR(AllocationUnits="Stories", AllocationUnits="Points"),'Work Indirect'!F186,F186/MAX('Work Indirect'!AB186,1))</f>
        <v>1</v>
      </c>
    </row>
    <row r="187" spans="1:29"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7" t="str">
        <f ca="1">IF(OFFSET('4. Work'!$A$1,ROW(D187)-1,COLUMN(D187)-1)="","",OFFSET('4. Work'!$A$1,ROW(D187)-1,COLUMN(D187)-1))</f>
        <v/>
      </c>
      <c r="E187" s="147"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I187" s="3" t="str">
        <f ca="1">IF(OFFSET('4. Work'!$A$1,ROW(I187)-1,COLUMN(I187)-1)="","",OFFSET('4. Work'!$A$1,ROW(I187)-1,COLUMN(I187)-1))</f>
        <v/>
      </c>
      <c r="T187" s="3" t="str">
        <f ca="1">IF(A187&lt;&gt;"",MAX('Initiative Indirect'!$T:$T)+(ROW(A187)-1),"")</f>
        <v/>
      </c>
      <c r="U187" s="3" t="str">
        <f ca="1">IF(B187&lt;&gt;"",INDEX('Initiative Indirect'!$T:$T,MATCH(B187,'Initiative Indirect'!$A:$A,0)),"")</f>
        <v/>
      </c>
      <c r="V187" s="3" t="str">
        <f ca="1">IF(C187&lt;&gt;"",INDEX('Team Indirect'!$T:$T,MATCH(C187,'Team Indirect'!$A:$A,0)),"")</f>
        <v/>
      </c>
      <c r="W187" s="3"/>
      <c r="X187" s="3"/>
      <c r="Y187" s="3" t="str">
        <f ca="1">IF($C187&lt;&gt;"",INDEX('Team Indirect'!$D:$D,MATCH($C187,'Team Indirect'!$A:$A,0)),"")</f>
        <v/>
      </c>
      <c r="Z187" s="3" t="str">
        <f ca="1">IF($C187&lt;&gt;"",INDEX('Team Indirect'!$E:$E,MATCH($C187,'Team Indirect'!$A:$A,0)),"")</f>
        <v/>
      </c>
      <c r="AA187" s="3" t="str">
        <f ca="1">IF($C187&lt;&gt;"",INDEX('Team Indirect'!$F:$F,MATCH($C187,'Team Indirect'!$A:$A,0)),"")</f>
        <v/>
      </c>
      <c r="AB187" s="3" t="str">
        <f t="shared" ca="1" si="2"/>
        <v/>
      </c>
      <c r="AC187" s="3">
        <f ca="1">IF(OR(AllocationUnits="Stories", AllocationUnits="Points"),'Work Indirect'!F187,F187/MAX('Work Indirect'!AB187,1))</f>
        <v>1</v>
      </c>
    </row>
    <row r="188" spans="1:29"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7" t="str">
        <f ca="1">IF(OFFSET('4. Work'!$A$1,ROW(D188)-1,COLUMN(D188)-1)="","",OFFSET('4. Work'!$A$1,ROW(D188)-1,COLUMN(D188)-1))</f>
        <v/>
      </c>
      <c r="E188" s="147"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I188" s="3" t="str">
        <f ca="1">IF(OFFSET('4. Work'!$A$1,ROW(I188)-1,COLUMN(I188)-1)="","",OFFSET('4. Work'!$A$1,ROW(I188)-1,COLUMN(I188)-1))</f>
        <v/>
      </c>
      <c r="T188" s="3" t="str">
        <f ca="1">IF(A188&lt;&gt;"",MAX('Initiative Indirect'!$T:$T)+(ROW(A188)-1),"")</f>
        <v/>
      </c>
      <c r="U188" s="3" t="str">
        <f ca="1">IF(B188&lt;&gt;"",INDEX('Initiative Indirect'!$T:$T,MATCH(B188,'Initiative Indirect'!$A:$A,0)),"")</f>
        <v/>
      </c>
      <c r="V188" s="3" t="str">
        <f ca="1">IF(C188&lt;&gt;"",INDEX('Team Indirect'!$T:$T,MATCH(C188,'Team Indirect'!$A:$A,0)),"")</f>
        <v/>
      </c>
      <c r="W188" s="3"/>
      <c r="X188" s="3"/>
      <c r="Y188" s="3" t="str">
        <f ca="1">IF($C188&lt;&gt;"",INDEX('Team Indirect'!$D:$D,MATCH($C188,'Team Indirect'!$A:$A,0)),"")</f>
        <v/>
      </c>
      <c r="Z188" s="3" t="str">
        <f ca="1">IF($C188&lt;&gt;"",INDEX('Team Indirect'!$E:$E,MATCH($C188,'Team Indirect'!$A:$A,0)),"")</f>
        <v/>
      </c>
      <c r="AA188" s="3" t="str">
        <f ca="1">IF($C188&lt;&gt;"",INDEX('Team Indirect'!$F:$F,MATCH($C188,'Team Indirect'!$A:$A,0)),"")</f>
        <v/>
      </c>
      <c r="AB188" s="3" t="str">
        <f t="shared" ca="1" si="2"/>
        <v/>
      </c>
      <c r="AC188" s="3">
        <f ca="1">IF(OR(AllocationUnits="Stories", AllocationUnits="Points"),'Work Indirect'!F188,F188/MAX('Work Indirect'!AB188,1))</f>
        <v>1</v>
      </c>
    </row>
    <row r="189" spans="1:29"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7" t="str">
        <f ca="1">IF(OFFSET('4. Work'!$A$1,ROW(D189)-1,COLUMN(D189)-1)="","",OFFSET('4. Work'!$A$1,ROW(D189)-1,COLUMN(D189)-1))</f>
        <v/>
      </c>
      <c r="E189" s="147"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I189" s="3" t="str">
        <f ca="1">IF(OFFSET('4. Work'!$A$1,ROW(I189)-1,COLUMN(I189)-1)="","",OFFSET('4. Work'!$A$1,ROW(I189)-1,COLUMN(I189)-1))</f>
        <v/>
      </c>
      <c r="T189" s="3" t="str">
        <f ca="1">IF(A189&lt;&gt;"",MAX('Initiative Indirect'!$T:$T)+(ROW(A189)-1),"")</f>
        <v/>
      </c>
      <c r="U189" s="3" t="str">
        <f ca="1">IF(B189&lt;&gt;"",INDEX('Initiative Indirect'!$T:$T,MATCH(B189,'Initiative Indirect'!$A:$A,0)),"")</f>
        <v/>
      </c>
      <c r="V189" s="3" t="str">
        <f ca="1">IF(C189&lt;&gt;"",INDEX('Team Indirect'!$T:$T,MATCH(C189,'Team Indirect'!$A:$A,0)),"")</f>
        <v/>
      </c>
      <c r="W189" s="3"/>
      <c r="X189" s="3"/>
      <c r="Y189" s="3" t="str">
        <f ca="1">IF($C189&lt;&gt;"",INDEX('Team Indirect'!$D:$D,MATCH($C189,'Team Indirect'!$A:$A,0)),"")</f>
        <v/>
      </c>
      <c r="Z189" s="3" t="str">
        <f ca="1">IF($C189&lt;&gt;"",INDEX('Team Indirect'!$E:$E,MATCH($C189,'Team Indirect'!$A:$A,0)),"")</f>
        <v/>
      </c>
      <c r="AA189" s="3" t="str">
        <f ca="1">IF($C189&lt;&gt;"",INDEX('Team Indirect'!$F:$F,MATCH($C189,'Team Indirect'!$A:$A,0)),"")</f>
        <v/>
      </c>
      <c r="AB189" s="3" t="str">
        <f t="shared" ca="1" si="2"/>
        <v/>
      </c>
      <c r="AC189" s="3">
        <f ca="1">IF(OR(AllocationUnits="Stories", AllocationUnits="Points"),'Work Indirect'!F189,F189/MAX('Work Indirect'!AB189,1))</f>
        <v>1</v>
      </c>
    </row>
    <row r="190" spans="1:29"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7" t="str">
        <f ca="1">IF(OFFSET('4. Work'!$A$1,ROW(D190)-1,COLUMN(D190)-1)="","",OFFSET('4. Work'!$A$1,ROW(D190)-1,COLUMN(D190)-1))</f>
        <v/>
      </c>
      <c r="E190" s="147"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I190" s="3" t="str">
        <f ca="1">IF(OFFSET('4. Work'!$A$1,ROW(I190)-1,COLUMN(I190)-1)="","",OFFSET('4. Work'!$A$1,ROW(I190)-1,COLUMN(I190)-1))</f>
        <v/>
      </c>
      <c r="T190" s="3" t="str">
        <f ca="1">IF(A190&lt;&gt;"",MAX('Initiative Indirect'!$T:$T)+(ROW(A190)-1),"")</f>
        <v/>
      </c>
      <c r="U190" s="3" t="str">
        <f ca="1">IF(B190&lt;&gt;"",INDEX('Initiative Indirect'!$T:$T,MATCH(B190,'Initiative Indirect'!$A:$A,0)),"")</f>
        <v/>
      </c>
      <c r="V190" s="3" t="str">
        <f ca="1">IF(C190&lt;&gt;"",INDEX('Team Indirect'!$T:$T,MATCH(C190,'Team Indirect'!$A:$A,0)),"")</f>
        <v/>
      </c>
      <c r="W190" s="3"/>
      <c r="X190" s="3"/>
      <c r="Y190" s="3" t="str">
        <f ca="1">IF($C190&lt;&gt;"",INDEX('Team Indirect'!$D:$D,MATCH($C190,'Team Indirect'!$A:$A,0)),"")</f>
        <v/>
      </c>
      <c r="Z190" s="3" t="str">
        <f ca="1">IF($C190&lt;&gt;"",INDEX('Team Indirect'!$E:$E,MATCH($C190,'Team Indirect'!$A:$A,0)),"")</f>
        <v/>
      </c>
      <c r="AA190" s="3" t="str">
        <f ca="1">IF($C190&lt;&gt;"",INDEX('Team Indirect'!$F:$F,MATCH($C190,'Team Indirect'!$A:$A,0)),"")</f>
        <v/>
      </c>
      <c r="AB190" s="3" t="str">
        <f t="shared" ca="1" si="2"/>
        <v/>
      </c>
      <c r="AC190" s="3">
        <f ca="1">IF(OR(AllocationUnits="Stories", AllocationUnits="Points"),'Work Indirect'!F190,F190/MAX('Work Indirect'!AB190,1))</f>
        <v>1</v>
      </c>
    </row>
    <row r="191" spans="1:29"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7" t="str">
        <f ca="1">IF(OFFSET('4. Work'!$A$1,ROW(D191)-1,COLUMN(D191)-1)="","",OFFSET('4. Work'!$A$1,ROW(D191)-1,COLUMN(D191)-1))</f>
        <v/>
      </c>
      <c r="E191" s="147"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I191" s="3" t="str">
        <f ca="1">IF(OFFSET('4. Work'!$A$1,ROW(I191)-1,COLUMN(I191)-1)="","",OFFSET('4. Work'!$A$1,ROW(I191)-1,COLUMN(I191)-1))</f>
        <v/>
      </c>
      <c r="T191" s="3" t="str">
        <f ca="1">IF(A191&lt;&gt;"",MAX('Initiative Indirect'!$T:$T)+(ROW(A191)-1),"")</f>
        <v/>
      </c>
      <c r="U191" s="3" t="str">
        <f ca="1">IF(B191&lt;&gt;"",INDEX('Initiative Indirect'!$T:$T,MATCH(B191,'Initiative Indirect'!$A:$A,0)),"")</f>
        <v/>
      </c>
      <c r="V191" s="3" t="str">
        <f ca="1">IF(C191&lt;&gt;"",INDEX('Team Indirect'!$T:$T,MATCH(C191,'Team Indirect'!$A:$A,0)),"")</f>
        <v/>
      </c>
      <c r="W191" s="3"/>
      <c r="X191" s="3"/>
      <c r="Y191" s="3" t="str">
        <f ca="1">IF($C191&lt;&gt;"",INDEX('Team Indirect'!$D:$D,MATCH($C191,'Team Indirect'!$A:$A,0)),"")</f>
        <v/>
      </c>
      <c r="Z191" s="3" t="str">
        <f ca="1">IF($C191&lt;&gt;"",INDEX('Team Indirect'!$E:$E,MATCH($C191,'Team Indirect'!$A:$A,0)),"")</f>
        <v/>
      </c>
      <c r="AA191" s="3" t="str">
        <f ca="1">IF($C191&lt;&gt;"",INDEX('Team Indirect'!$F:$F,MATCH($C191,'Team Indirect'!$A:$A,0)),"")</f>
        <v/>
      </c>
      <c r="AB191" s="3" t="str">
        <f t="shared" ca="1" si="2"/>
        <v/>
      </c>
      <c r="AC191" s="3">
        <f ca="1">IF(OR(AllocationUnits="Stories", AllocationUnits="Points"),'Work Indirect'!F191,F191/MAX('Work Indirect'!AB191,1))</f>
        <v>1</v>
      </c>
    </row>
    <row r="192" spans="1:29"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7" t="str">
        <f ca="1">IF(OFFSET('4. Work'!$A$1,ROW(D192)-1,COLUMN(D192)-1)="","",OFFSET('4. Work'!$A$1,ROW(D192)-1,COLUMN(D192)-1))</f>
        <v/>
      </c>
      <c r="E192" s="147"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I192" s="3" t="str">
        <f ca="1">IF(OFFSET('4. Work'!$A$1,ROW(I192)-1,COLUMN(I192)-1)="","",OFFSET('4. Work'!$A$1,ROW(I192)-1,COLUMN(I192)-1))</f>
        <v/>
      </c>
      <c r="T192" s="3" t="str">
        <f ca="1">IF(A192&lt;&gt;"",MAX('Initiative Indirect'!$T:$T)+(ROW(A192)-1),"")</f>
        <v/>
      </c>
      <c r="U192" s="3" t="str">
        <f ca="1">IF(B192&lt;&gt;"",INDEX('Initiative Indirect'!$T:$T,MATCH(B192,'Initiative Indirect'!$A:$A,0)),"")</f>
        <v/>
      </c>
      <c r="V192" s="3" t="str">
        <f ca="1">IF(C192&lt;&gt;"",INDEX('Team Indirect'!$T:$T,MATCH(C192,'Team Indirect'!$A:$A,0)),"")</f>
        <v/>
      </c>
      <c r="W192" s="3"/>
      <c r="X192" s="3"/>
      <c r="Y192" s="3" t="str">
        <f ca="1">IF($C192&lt;&gt;"",INDEX('Team Indirect'!$D:$D,MATCH($C192,'Team Indirect'!$A:$A,0)),"")</f>
        <v/>
      </c>
      <c r="Z192" s="3" t="str">
        <f ca="1">IF($C192&lt;&gt;"",INDEX('Team Indirect'!$E:$E,MATCH($C192,'Team Indirect'!$A:$A,0)),"")</f>
        <v/>
      </c>
      <c r="AA192" s="3" t="str">
        <f ca="1">IF($C192&lt;&gt;"",INDEX('Team Indirect'!$F:$F,MATCH($C192,'Team Indirect'!$A:$A,0)),"")</f>
        <v/>
      </c>
      <c r="AB192" s="3" t="str">
        <f t="shared" ca="1" si="2"/>
        <v/>
      </c>
      <c r="AC192" s="3">
        <f ca="1">IF(OR(AllocationUnits="Stories", AllocationUnits="Points"),'Work Indirect'!F192,F192/MAX('Work Indirect'!AB192,1))</f>
        <v>1</v>
      </c>
    </row>
    <row r="193" spans="1:29"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7" t="str">
        <f ca="1">IF(OFFSET('4. Work'!$A$1,ROW(D193)-1,COLUMN(D193)-1)="","",OFFSET('4. Work'!$A$1,ROW(D193)-1,COLUMN(D193)-1))</f>
        <v/>
      </c>
      <c r="E193" s="147"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I193" s="3" t="str">
        <f ca="1">IF(OFFSET('4. Work'!$A$1,ROW(I193)-1,COLUMN(I193)-1)="","",OFFSET('4. Work'!$A$1,ROW(I193)-1,COLUMN(I193)-1))</f>
        <v/>
      </c>
      <c r="T193" s="3" t="str">
        <f ca="1">IF(A193&lt;&gt;"",MAX('Initiative Indirect'!$T:$T)+(ROW(A193)-1),"")</f>
        <v/>
      </c>
      <c r="U193" s="3" t="str">
        <f ca="1">IF(B193&lt;&gt;"",INDEX('Initiative Indirect'!$T:$T,MATCH(B193,'Initiative Indirect'!$A:$A,0)),"")</f>
        <v/>
      </c>
      <c r="V193" s="3" t="str">
        <f ca="1">IF(C193&lt;&gt;"",INDEX('Team Indirect'!$T:$T,MATCH(C193,'Team Indirect'!$A:$A,0)),"")</f>
        <v/>
      </c>
      <c r="W193" s="3"/>
      <c r="X193" s="3"/>
      <c r="Y193" s="3" t="str">
        <f ca="1">IF($C193&lt;&gt;"",INDEX('Team Indirect'!$D:$D,MATCH($C193,'Team Indirect'!$A:$A,0)),"")</f>
        <v/>
      </c>
      <c r="Z193" s="3" t="str">
        <f ca="1">IF($C193&lt;&gt;"",INDEX('Team Indirect'!$E:$E,MATCH($C193,'Team Indirect'!$A:$A,0)),"")</f>
        <v/>
      </c>
      <c r="AA193" s="3" t="str">
        <f ca="1">IF($C193&lt;&gt;"",INDEX('Team Indirect'!$F:$F,MATCH($C193,'Team Indirect'!$A:$A,0)),"")</f>
        <v/>
      </c>
      <c r="AB193" s="3" t="str">
        <f t="shared" ca="1" si="2"/>
        <v/>
      </c>
      <c r="AC193" s="3">
        <f ca="1">IF(OR(AllocationUnits="Stories", AllocationUnits="Points"),'Work Indirect'!F193,F193/MAX('Work Indirect'!AB193,1))</f>
        <v>1</v>
      </c>
    </row>
    <row r="194" spans="1:29"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7" t="str">
        <f ca="1">IF(OFFSET('4. Work'!$A$1,ROW(D194)-1,COLUMN(D194)-1)="","",OFFSET('4. Work'!$A$1,ROW(D194)-1,COLUMN(D194)-1))</f>
        <v/>
      </c>
      <c r="E194" s="147"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I194" s="3" t="str">
        <f ca="1">IF(OFFSET('4. Work'!$A$1,ROW(I194)-1,COLUMN(I194)-1)="","",OFFSET('4. Work'!$A$1,ROW(I194)-1,COLUMN(I194)-1))</f>
        <v/>
      </c>
      <c r="T194" s="3" t="str">
        <f ca="1">IF(A194&lt;&gt;"",MAX('Initiative Indirect'!$T:$T)+(ROW(A194)-1),"")</f>
        <v/>
      </c>
      <c r="U194" s="3" t="str">
        <f ca="1">IF(B194&lt;&gt;"",INDEX('Initiative Indirect'!$T:$T,MATCH(B194,'Initiative Indirect'!$A:$A,0)),"")</f>
        <v/>
      </c>
      <c r="V194" s="3" t="str">
        <f ca="1">IF(C194&lt;&gt;"",INDEX('Team Indirect'!$T:$T,MATCH(C194,'Team Indirect'!$A:$A,0)),"")</f>
        <v/>
      </c>
      <c r="W194" s="3"/>
      <c r="X194" s="3"/>
      <c r="Y194" s="3" t="str">
        <f ca="1">IF($C194&lt;&gt;"",INDEX('Team Indirect'!$D:$D,MATCH($C194,'Team Indirect'!$A:$A,0)),"")</f>
        <v/>
      </c>
      <c r="Z194" s="3" t="str">
        <f ca="1">IF($C194&lt;&gt;"",INDEX('Team Indirect'!$E:$E,MATCH($C194,'Team Indirect'!$A:$A,0)),"")</f>
        <v/>
      </c>
      <c r="AA194" s="3" t="str">
        <f ca="1">IF($C194&lt;&gt;"",INDEX('Team Indirect'!$F:$F,MATCH($C194,'Team Indirect'!$A:$A,0)),"")</f>
        <v/>
      </c>
      <c r="AB194" s="3" t="str">
        <f t="shared" ref="AB194:AB257" ca="1" si="3">IF(AND(Y194&lt;&gt;"",Z194&lt;&gt;""),Y194+((Z194-Y194)*(1-MAX(0,AA194))*(1-Probability)),"")</f>
        <v/>
      </c>
      <c r="AC194" s="3">
        <f ca="1">IF(OR(AllocationUnits="Stories", AllocationUnits="Points"),'Work Indirect'!F194,F194/MAX('Work Indirect'!AB194,1))</f>
        <v>1</v>
      </c>
    </row>
    <row r="195" spans="1:29"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7" t="str">
        <f ca="1">IF(OFFSET('4. Work'!$A$1,ROW(D195)-1,COLUMN(D195)-1)="","",OFFSET('4. Work'!$A$1,ROW(D195)-1,COLUMN(D195)-1))</f>
        <v/>
      </c>
      <c r="E195" s="147"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I195" s="3" t="str">
        <f ca="1">IF(OFFSET('4. Work'!$A$1,ROW(I195)-1,COLUMN(I195)-1)="","",OFFSET('4. Work'!$A$1,ROW(I195)-1,COLUMN(I195)-1))</f>
        <v/>
      </c>
      <c r="T195" s="3" t="str">
        <f ca="1">IF(A195&lt;&gt;"",MAX('Initiative Indirect'!$T:$T)+(ROW(A195)-1),"")</f>
        <v/>
      </c>
      <c r="U195" s="3" t="str">
        <f ca="1">IF(B195&lt;&gt;"",INDEX('Initiative Indirect'!$T:$T,MATCH(B195,'Initiative Indirect'!$A:$A,0)),"")</f>
        <v/>
      </c>
      <c r="V195" s="3" t="str">
        <f ca="1">IF(C195&lt;&gt;"",INDEX('Team Indirect'!$T:$T,MATCH(C195,'Team Indirect'!$A:$A,0)),"")</f>
        <v/>
      </c>
      <c r="W195" s="3"/>
      <c r="X195" s="3"/>
      <c r="Y195" s="3" t="str">
        <f ca="1">IF($C195&lt;&gt;"",INDEX('Team Indirect'!$D:$D,MATCH($C195,'Team Indirect'!$A:$A,0)),"")</f>
        <v/>
      </c>
      <c r="Z195" s="3" t="str">
        <f ca="1">IF($C195&lt;&gt;"",INDEX('Team Indirect'!$E:$E,MATCH($C195,'Team Indirect'!$A:$A,0)),"")</f>
        <v/>
      </c>
      <c r="AA195" s="3" t="str">
        <f ca="1">IF($C195&lt;&gt;"",INDEX('Team Indirect'!$F:$F,MATCH($C195,'Team Indirect'!$A:$A,0)),"")</f>
        <v/>
      </c>
      <c r="AB195" s="3" t="str">
        <f t="shared" ca="1" si="3"/>
        <v/>
      </c>
      <c r="AC195" s="3">
        <f ca="1">IF(OR(AllocationUnits="Stories", AllocationUnits="Points"),'Work Indirect'!F195,F195/MAX('Work Indirect'!AB195,1))</f>
        <v>1</v>
      </c>
    </row>
    <row r="196" spans="1:29"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7" t="str">
        <f ca="1">IF(OFFSET('4. Work'!$A$1,ROW(D196)-1,COLUMN(D196)-1)="","",OFFSET('4. Work'!$A$1,ROW(D196)-1,COLUMN(D196)-1))</f>
        <v/>
      </c>
      <c r="E196" s="147"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I196" s="3" t="str">
        <f ca="1">IF(OFFSET('4. Work'!$A$1,ROW(I196)-1,COLUMN(I196)-1)="","",OFFSET('4. Work'!$A$1,ROW(I196)-1,COLUMN(I196)-1))</f>
        <v/>
      </c>
      <c r="T196" s="3" t="str">
        <f ca="1">IF(A196&lt;&gt;"",MAX('Initiative Indirect'!$T:$T)+(ROW(A196)-1),"")</f>
        <v/>
      </c>
      <c r="U196" s="3" t="str">
        <f ca="1">IF(B196&lt;&gt;"",INDEX('Initiative Indirect'!$T:$T,MATCH(B196,'Initiative Indirect'!$A:$A,0)),"")</f>
        <v/>
      </c>
      <c r="V196" s="3" t="str">
        <f ca="1">IF(C196&lt;&gt;"",INDEX('Team Indirect'!$T:$T,MATCH(C196,'Team Indirect'!$A:$A,0)),"")</f>
        <v/>
      </c>
      <c r="W196" s="3"/>
      <c r="X196" s="3"/>
      <c r="Y196" s="3" t="str">
        <f ca="1">IF($C196&lt;&gt;"",INDEX('Team Indirect'!$D:$D,MATCH($C196,'Team Indirect'!$A:$A,0)),"")</f>
        <v/>
      </c>
      <c r="Z196" s="3" t="str">
        <f ca="1">IF($C196&lt;&gt;"",INDEX('Team Indirect'!$E:$E,MATCH($C196,'Team Indirect'!$A:$A,0)),"")</f>
        <v/>
      </c>
      <c r="AA196" s="3" t="str">
        <f ca="1">IF($C196&lt;&gt;"",INDEX('Team Indirect'!$F:$F,MATCH($C196,'Team Indirect'!$A:$A,0)),"")</f>
        <v/>
      </c>
      <c r="AB196" s="3" t="str">
        <f t="shared" ca="1" si="3"/>
        <v/>
      </c>
      <c r="AC196" s="3">
        <f ca="1">IF(OR(AllocationUnits="Stories", AllocationUnits="Points"),'Work Indirect'!F196,F196/MAX('Work Indirect'!AB196,1))</f>
        <v>1</v>
      </c>
    </row>
    <row r="197" spans="1:29"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7" t="str">
        <f ca="1">IF(OFFSET('4. Work'!$A$1,ROW(D197)-1,COLUMN(D197)-1)="","",OFFSET('4. Work'!$A$1,ROW(D197)-1,COLUMN(D197)-1))</f>
        <v/>
      </c>
      <c r="E197" s="147"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I197" s="3" t="str">
        <f ca="1">IF(OFFSET('4. Work'!$A$1,ROW(I197)-1,COLUMN(I197)-1)="","",OFFSET('4. Work'!$A$1,ROW(I197)-1,COLUMN(I197)-1))</f>
        <v/>
      </c>
      <c r="T197" s="3" t="str">
        <f ca="1">IF(A197&lt;&gt;"",MAX('Initiative Indirect'!$T:$T)+(ROW(A197)-1),"")</f>
        <v/>
      </c>
      <c r="U197" s="3" t="str">
        <f ca="1">IF(B197&lt;&gt;"",INDEX('Initiative Indirect'!$T:$T,MATCH(B197,'Initiative Indirect'!$A:$A,0)),"")</f>
        <v/>
      </c>
      <c r="V197" s="3" t="str">
        <f ca="1">IF(C197&lt;&gt;"",INDEX('Team Indirect'!$T:$T,MATCH(C197,'Team Indirect'!$A:$A,0)),"")</f>
        <v/>
      </c>
      <c r="W197" s="3"/>
      <c r="X197" s="3"/>
      <c r="Y197" s="3" t="str">
        <f ca="1">IF($C197&lt;&gt;"",INDEX('Team Indirect'!$D:$D,MATCH($C197,'Team Indirect'!$A:$A,0)),"")</f>
        <v/>
      </c>
      <c r="Z197" s="3" t="str">
        <f ca="1">IF($C197&lt;&gt;"",INDEX('Team Indirect'!$E:$E,MATCH($C197,'Team Indirect'!$A:$A,0)),"")</f>
        <v/>
      </c>
      <c r="AA197" s="3" t="str">
        <f ca="1">IF($C197&lt;&gt;"",INDEX('Team Indirect'!$F:$F,MATCH($C197,'Team Indirect'!$A:$A,0)),"")</f>
        <v/>
      </c>
      <c r="AB197" s="3" t="str">
        <f t="shared" ca="1" si="3"/>
        <v/>
      </c>
      <c r="AC197" s="3">
        <f ca="1">IF(OR(AllocationUnits="Stories", AllocationUnits="Points"),'Work Indirect'!F197,F197/MAX('Work Indirect'!AB197,1))</f>
        <v>1</v>
      </c>
    </row>
    <row r="198" spans="1:29"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7" t="str">
        <f ca="1">IF(OFFSET('4. Work'!$A$1,ROW(D198)-1,COLUMN(D198)-1)="","",OFFSET('4. Work'!$A$1,ROW(D198)-1,COLUMN(D198)-1))</f>
        <v/>
      </c>
      <c r="E198" s="147"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I198" s="3" t="str">
        <f ca="1">IF(OFFSET('4. Work'!$A$1,ROW(I198)-1,COLUMN(I198)-1)="","",OFFSET('4. Work'!$A$1,ROW(I198)-1,COLUMN(I198)-1))</f>
        <v/>
      </c>
      <c r="T198" s="3" t="str">
        <f ca="1">IF(A198&lt;&gt;"",MAX('Initiative Indirect'!$T:$T)+(ROW(A198)-1),"")</f>
        <v/>
      </c>
      <c r="U198" s="3" t="str">
        <f ca="1">IF(B198&lt;&gt;"",INDEX('Initiative Indirect'!$T:$T,MATCH(B198,'Initiative Indirect'!$A:$A,0)),"")</f>
        <v/>
      </c>
      <c r="V198" s="3" t="str">
        <f ca="1">IF(C198&lt;&gt;"",INDEX('Team Indirect'!$T:$T,MATCH(C198,'Team Indirect'!$A:$A,0)),"")</f>
        <v/>
      </c>
      <c r="W198" s="3"/>
      <c r="X198" s="3"/>
      <c r="Y198" s="3" t="str">
        <f ca="1">IF($C198&lt;&gt;"",INDEX('Team Indirect'!$D:$D,MATCH($C198,'Team Indirect'!$A:$A,0)),"")</f>
        <v/>
      </c>
      <c r="Z198" s="3" t="str">
        <f ca="1">IF($C198&lt;&gt;"",INDEX('Team Indirect'!$E:$E,MATCH($C198,'Team Indirect'!$A:$A,0)),"")</f>
        <v/>
      </c>
      <c r="AA198" s="3" t="str">
        <f ca="1">IF($C198&lt;&gt;"",INDEX('Team Indirect'!$F:$F,MATCH($C198,'Team Indirect'!$A:$A,0)),"")</f>
        <v/>
      </c>
      <c r="AB198" s="3" t="str">
        <f t="shared" ca="1" si="3"/>
        <v/>
      </c>
      <c r="AC198" s="3">
        <f ca="1">IF(OR(AllocationUnits="Stories", AllocationUnits="Points"),'Work Indirect'!F198,F198/MAX('Work Indirect'!AB198,1))</f>
        <v>1</v>
      </c>
    </row>
    <row r="199" spans="1:29"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7" t="str">
        <f ca="1">IF(OFFSET('4. Work'!$A$1,ROW(D199)-1,COLUMN(D199)-1)="","",OFFSET('4. Work'!$A$1,ROW(D199)-1,COLUMN(D199)-1))</f>
        <v/>
      </c>
      <c r="E199" s="147"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I199" s="3" t="str">
        <f ca="1">IF(OFFSET('4. Work'!$A$1,ROW(I199)-1,COLUMN(I199)-1)="","",OFFSET('4. Work'!$A$1,ROW(I199)-1,COLUMN(I199)-1))</f>
        <v/>
      </c>
      <c r="T199" s="3" t="str">
        <f ca="1">IF(A199&lt;&gt;"",MAX('Initiative Indirect'!$T:$T)+(ROW(A199)-1),"")</f>
        <v/>
      </c>
      <c r="U199" s="3" t="str">
        <f ca="1">IF(B199&lt;&gt;"",INDEX('Initiative Indirect'!$T:$T,MATCH(B199,'Initiative Indirect'!$A:$A,0)),"")</f>
        <v/>
      </c>
      <c r="V199" s="3" t="str">
        <f ca="1">IF(C199&lt;&gt;"",INDEX('Team Indirect'!$T:$T,MATCH(C199,'Team Indirect'!$A:$A,0)),"")</f>
        <v/>
      </c>
      <c r="W199" s="3"/>
      <c r="X199" s="3"/>
      <c r="Y199" s="3" t="str">
        <f ca="1">IF($C199&lt;&gt;"",INDEX('Team Indirect'!$D:$D,MATCH($C199,'Team Indirect'!$A:$A,0)),"")</f>
        <v/>
      </c>
      <c r="Z199" s="3" t="str">
        <f ca="1">IF($C199&lt;&gt;"",INDEX('Team Indirect'!$E:$E,MATCH($C199,'Team Indirect'!$A:$A,0)),"")</f>
        <v/>
      </c>
      <c r="AA199" s="3" t="str">
        <f ca="1">IF($C199&lt;&gt;"",INDEX('Team Indirect'!$F:$F,MATCH($C199,'Team Indirect'!$A:$A,0)),"")</f>
        <v/>
      </c>
      <c r="AB199" s="3" t="str">
        <f t="shared" ca="1" si="3"/>
        <v/>
      </c>
      <c r="AC199" s="3">
        <f ca="1">IF(OR(AllocationUnits="Stories", AllocationUnits="Points"),'Work Indirect'!F199,F199/MAX('Work Indirect'!AB199,1))</f>
        <v>1</v>
      </c>
    </row>
    <row r="200" spans="1:29"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7" t="str">
        <f ca="1">IF(OFFSET('4. Work'!$A$1,ROW(D200)-1,COLUMN(D200)-1)="","",OFFSET('4. Work'!$A$1,ROW(D200)-1,COLUMN(D200)-1))</f>
        <v/>
      </c>
      <c r="E200" s="147"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I200" s="3" t="str">
        <f ca="1">IF(OFFSET('4. Work'!$A$1,ROW(I200)-1,COLUMN(I200)-1)="","",OFFSET('4. Work'!$A$1,ROW(I200)-1,COLUMN(I200)-1))</f>
        <v/>
      </c>
      <c r="T200" s="3" t="str">
        <f ca="1">IF(A200&lt;&gt;"",MAX('Initiative Indirect'!$T:$T)+(ROW(A200)-1),"")</f>
        <v/>
      </c>
      <c r="U200" s="3" t="str">
        <f ca="1">IF(B200&lt;&gt;"",INDEX('Initiative Indirect'!$T:$T,MATCH(B200,'Initiative Indirect'!$A:$A,0)),"")</f>
        <v/>
      </c>
      <c r="V200" s="3" t="str">
        <f ca="1">IF(C200&lt;&gt;"",INDEX('Team Indirect'!$T:$T,MATCH(C200,'Team Indirect'!$A:$A,0)),"")</f>
        <v/>
      </c>
      <c r="W200" s="3"/>
      <c r="X200" s="3"/>
      <c r="Y200" s="3" t="str">
        <f ca="1">IF($C200&lt;&gt;"",INDEX('Team Indirect'!$D:$D,MATCH($C200,'Team Indirect'!$A:$A,0)),"")</f>
        <v/>
      </c>
      <c r="Z200" s="3" t="str">
        <f ca="1">IF($C200&lt;&gt;"",INDEX('Team Indirect'!$E:$E,MATCH($C200,'Team Indirect'!$A:$A,0)),"")</f>
        <v/>
      </c>
      <c r="AA200" s="3" t="str">
        <f ca="1">IF($C200&lt;&gt;"",INDEX('Team Indirect'!$F:$F,MATCH($C200,'Team Indirect'!$A:$A,0)),"")</f>
        <v/>
      </c>
      <c r="AB200" s="3" t="str">
        <f t="shared" ca="1" si="3"/>
        <v/>
      </c>
      <c r="AC200" s="3">
        <f ca="1">IF(OR(AllocationUnits="Stories", AllocationUnits="Points"),'Work Indirect'!F200,F200/MAX('Work Indirect'!AB200,1))</f>
        <v>1</v>
      </c>
    </row>
    <row r="201" spans="1:29"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7" t="str">
        <f ca="1">IF(OFFSET('4. Work'!$A$1,ROW(D201)-1,COLUMN(D201)-1)="","",OFFSET('4. Work'!$A$1,ROW(D201)-1,COLUMN(D201)-1))</f>
        <v/>
      </c>
      <c r="E201" s="147"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I201" s="3" t="str">
        <f ca="1">IF(OFFSET('4. Work'!$A$1,ROW(I201)-1,COLUMN(I201)-1)="","",OFFSET('4. Work'!$A$1,ROW(I201)-1,COLUMN(I201)-1))</f>
        <v/>
      </c>
      <c r="T201" s="3" t="str">
        <f ca="1">IF(A201&lt;&gt;"",MAX('Initiative Indirect'!$T:$T)+(ROW(A201)-1),"")</f>
        <v/>
      </c>
      <c r="U201" s="3" t="str">
        <f ca="1">IF(B201&lt;&gt;"",INDEX('Initiative Indirect'!$T:$T,MATCH(B201,'Initiative Indirect'!$A:$A,0)),"")</f>
        <v/>
      </c>
      <c r="V201" s="3" t="str">
        <f ca="1">IF(C201&lt;&gt;"",INDEX('Team Indirect'!$T:$T,MATCH(C201,'Team Indirect'!$A:$A,0)),"")</f>
        <v/>
      </c>
      <c r="W201" s="3"/>
      <c r="X201" s="3"/>
      <c r="Y201" s="3" t="str">
        <f ca="1">IF($C201&lt;&gt;"",INDEX('Team Indirect'!$D:$D,MATCH($C201,'Team Indirect'!$A:$A,0)),"")</f>
        <v/>
      </c>
      <c r="Z201" s="3" t="str">
        <f ca="1">IF($C201&lt;&gt;"",INDEX('Team Indirect'!$E:$E,MATCH($C201,'Team Indirect'!$A:$A,0)),"")</f>
        <v/>
      </c>
      <c r="AA201" s="3" t="str">
        <f ca="1">IF($C201&lt;&gt;"",INDEX('Team Indirect'!$F:$F,MATCH($C201,'Team Indirect'!$A:$A,0)),"")</f>
        <v/>
      </c>
      <c r="AB201" s="3" t="str">
        <f t="shared" ca="1" si="3"/>
        <v/>
      </c>
      <c r="AC201" s="3">
        <f ca="1">IF(OR(AllocationUnits="Stories", AllocationUnits="Points"),'Work Indirect'!F201,F201/MAX('Work Indirect'!AB201,1))</f>
        <v>1</v>
      </c>
    </row>
    <row r="202" spans="1:29"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7" t="str">
        <f ca="1">IF(OFFSET('4. Work'!$A$1,ROW(D202)-1,COLUMN(D202)-1)="","",OFFSET('4. Work'!$A$1,ROW(D202)-1,COLUMN(D202)-1))</f>
        <v/>
      </c>
      <c r="E202" s="147"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I202" s="3" t="str">
        <f ca="1">IF(OFFSET('4. Work'!$A$1,ROW(I202)-1,COLUMN(I202)-1)="","",OFFSET('4. Work'!$A$1,ROW(I202)-1,COLUMN(I202)-1))</f>
        <v/>
      </c>
      <c r="T202" s="3" t="str">
        <f ca="1">IF(A202&lt;&gt;"",MAX('Initiative Indirect'!$T:$T)+(ROW(A202)-1),"")</f>
        <v/>
      </c>
      <c r="U202" s="3" t="str">
        <f ca="1">IF(B202&lt;&gt;"",INDEX('Initiative Indirect'!$T:$T,MATCH(B202,'Initiative Indirect'!$A:$A,0)),"")</f>
        <v/>
      </c>
      <c r="V202" s="3" t="str">
        <f ca="1">IF(C202&lt;&gt;"",INDEX('Team Indirect'!$T:$T,MATCH(C202,'Team Indirect'!$A:$A,0)),"")</f>
        <v/>
      </c>
      <c r="W202" s="3"/>
      <c r="X202" s="3"/>
      <c r="Y202" s="3" t="str">
        <f ca="1">IF($C202&lt;&gt;"",INDEX('Team Indirect'!$D:$D,MATCH($C202,'Team Indirect'!$A:$A,0)),"")</f>
        <v/>
      </c>
      <c r="Z202" s="3" t="str">
        <f ca="1">IF($C202&lt;&gt;"",INDEX('Team Indirect'!$E:$E,MATCH($C202,'Team Indirect'!$A:$A,0)),"")</f>
        <v/>
      </c>
      <c r="AA202" s="3" t="str">
        <f ca="1">IF($C202&lt;&gt;"",INDEX('Team Indirect'!$F:$F,MATCH($C202,'Team Indirect'!$A:$A,0)),"")</f>
        <v/>
      </c>
      <c r="AB202" s="3" t="str">
        <f t="shared" ca="1" si="3"/>
        <v/>
      </c>
      <c r="AC202" s="3">
        <f ca="1">IF(OR(AllocationUnits="Stories", AllocationUnits="Points"),'Work Indirect'!F202,F202/MAX('Work Indirect'!AB202,1))</f>
        <v>1</v>
      </c>
    </row>
    <row r="203" spans="1:29"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7" t="str">
        <f ca="1">IF(OFFSET('4. Work'!$A$1,ROW(D203)-1,COLUMN(D203)-1)="","",OFFSET('4. Work'!$A$1,ROW(D203)-1,COLUMN(D203)-1))</f>
        <v/>
      </c>
      <c r="E203" s="147"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I203" s="3" t="str">
        <f ca="1">IF(OFFSET('4. Work'!$A$1,ROW(I203)-1,COLUMN(I203)-1)="","",OFFSET('4. Work'!$A$1,ROW(I203)-1,COLUMN(I203)-1))</f>
        <v/>
      </c>
      <c r="T203" s="3" t="str">
        <f ca="1">IF(A203&lt;&gt;"",MAX('Initiative Indirect'!$T:$T)+(ROW(A203)-1),"")</f>
        <v/>
      </c>
      <c r="U203" s="3" t="str">
        <f ca="1">IF(B203&lt;&gt;"",INDEX('Initiative Indirect'!$T:$T,MATCH(B203,'Initiative Indirect'!$A:$A,0)),"")</f>
        <v/>
      </c>
      <c r="V203" s="3" t="str">
        <f ca="1">IF(C203&lt;&gt;"",INDEX('Team Indirect'!$T:$T,MATCH(C203,'Team Indirect'!$A:$A,0)),"")</f>
        <v/>
      </c>
      <c r="W203" s="3"/>
      <c r="X203" s="3"/>
      <c r="Y203" s="3" t="str">
        <f ca="1">IF($C203&lt;&gt;"",INDEX('Team Indirect'!$D:$D,MATCH($C203,'Team Indirect'!$A:$A,0)),"")</f>
        <v/>
      </c>
      <c r="Z203" s="3" t="str">
        <f ca="1">IF($C203&lt;&gt;"",INDEX('Team Indirect'!$E:$E,MATCH($C203,'Team Indirect'!$A:$A,0)),"")</f>
        <v/>
      </c>
      <c r="AA203" s="3" t="str">
        <f ca="1">IF($C203&lt;&gt;"",INDEX('Team Indirect'!$F:$F,MATCH($C203,'Team Indirect'!$A:$A,0)),"")</f>
        <v/>
      </c>
      <c r="AB203" s="3" t="str">
        <f t="shared" ca="1" si="3"/>
        <v/>
      </c>
      <c r="AC203" s="3">
        <f ca="1">IF(OR(AllocationUnits="Stories", AllocationUnits="Points"),'Work Indirect'!F203,F203/MAX('Work Indirect'!AB203,1))</f>
        <v>1</v>
      </c>
    </row>
    <row r="204" spans="1:29"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7" t="str">
        <f ca="1">IF(OFFSET('4. Work'!$A$1,ROW(D204)-1,COLUMN(D204)-1)="","",OFFSET('4. Work'!$A$1,ROW(D204)-1,COLUMN(D204)-1))</f>
        <v/>
      </c>
      <c r="E204" s="147"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I204" s="3" t="str">
        <f ca="1">IF(OFFSET('4. Work'!$A$1,ROW(I204)-1,COLUMN(I204)-1)="","",OFFSET('4. Work'!$A$1,ROW(I204)-1,COLUMN(I204)-1))</f>
        <v/>
      </c>
      <c r="T204" s="3" t="str">
        <f ca="1">IF(A204&lt;&gt;"",MAX('Initiative Indirect'!$T:$T)+(ROW(A204)-1),"")</f>
        <v/>
      </c>
      <c r="U204" s="3" t="str">
        <f ca="1">IF(B204&lt;&gt;"",INDEX('Initiative Indirect'!$T:$T,MATCH(B204,'Initiative Indirect'!$A:$A,0)),"")</f>
        <v/>
      </c>
      <c r="V204" s="3" t="str">
        <f ca="1">IF(C204&lt;&gt;"",INDEX('Team Indirect'!$T:$T,MATCH(C204,'Team Indirect'!$A:$A,0)),"")</f>
        <v/>
      </c>
      <c r="W204" s="3"/>
      <c r="X204" s="3"/>
      <c r="Y204" s="3" t="str">
        <f ca="1">IF($C204&lt;&gt;"",INDEX('Team Indirect'!$D:$D,MATCH($C204,'Team Indirect'!$A:$A,0)),"")</f>
        <v/>
      </c>
      <c r="Z204" s="3" t="str">
        <f ca="1">IF($C204&lt;&gt;"",INDEX('Team Indirect'!$E:$E,MATCH($C204,'Team Indirect'!$A:$A,0)),"")</f>
        <v/>
      </c>
      <c r="AA204" s="3" t="str">
        <f ca="1">IF($C204&lt;&gt;"",INDEX('Team Indirect'!$F:$F,MATCH($C204,'Team Indirect'!$A:$A,0)),"")</f>
        <v/>
      </c>
      <c r="AB204" s="3" t="str">
        <f t="shared" ca="1" si="3"/>
        <v/>
      </c>
      <c r="AC204" s="3">
        <f ca="1">IF(OR(AllocationUnits="Stories", AllocationUnits="Points"),'Work Indirect'!F204,F204/MAX('Work Indirect'!AB204,1))</f>
        <v>1</v>
      </c>
    </row>
    <row r="205" spans="1:29"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7" t="str">
        <f ca="1">IF(OFFSET('4. Work'!$A$1,ROW(D205)-1,COLUMN(D205)-1)="","",OFFSET('4. Work'!$A$1,ROW(D205)-1,COLUMN(D205)-1))</f>
        <v/>
      </c>
      <c r="E205" s="147"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I205" s="3" t="str">
        <f ca="1">IF(OFFSET('4. Work'!$A$1,ROW(I205)-1,COLUMN(I205)-1)="","",OFFSET('4. Work'!$A$1,ROW(I205)-1,COLUMN(I205)-1))</f>
        <v/>
      </c>
      <c r="T205" s="3" t="str">
        <f ca="1">IF(A205&lt;&gt;"",MAX('Initiative Indirect'!$T:$T)+(ROW(A205)-1),"")</f>
        <v/>
      </c>
      <c r="U205" s="3" t="str">
        <f ca="1">IF(B205&lt;&gt;"",INDEX('Initiative Indirect'!$T:$T,MATCH(B205,'Initiative Indirect'!$A:$A,0)),"")</f>
        <v/>
      </c>
      <c r="V205" s="3" t="str">
        <f ca="1">IF(C205&lt;&gt;"",INDEX('Team Indirect'!$T:$T,MATCH(C205,'Team Indirect'!$A:$A,0)),"")</f>
        <v/>
      </c>
      <c r="W205" s="3"/>
      <c r="X205" s="3"/>
      <c r="Y205" s="3" t="str">
        <f ca="1">IF($C205&lt;&gt;"",INDEX('Team Indirect'!$D:$D,MATCH($C205,'Team Indirect'!$A:$A,0)),"")</f>
        <v/>
      </c>
      <c r="Z205" s="3" t="str">
        <f ca="1">IF($C205&lt;&gt;"",INDEX('Team Indirect'!$E:$E,MATCH($C205,'Team Indirect'!$A:$A,0)),"")</f>
        <v/>
      </c>
      <c r="AA205" s="3" t="str">
        <f ca="1">IF($C205&lt;&gt;"",INDEX('Team Indirect'!$F:$F,MATCH($C205,'Team Indirect'!$A:$A,0)),"")</f>
        <v/>
      </c>
      <c r="AB205" s="3" t="str">
        <f t="shared" ca="1" si="3"/>
        <v/>
      </c>
      <c r="AC205" s="3">
        <f ca="1">IF(OR(AllocationUnits="Stories", AllocationUnits="Points"),'Work Indirect'!F205,F205/MAX('Work Indirect'!AB205,1))</f>
        <v>1</v>
      </c>
    </row>
    <row r="206" spans="1:29"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7" t="str">
        <f ca="1">IF(OFFSET('4. Work'!$A$1,ROW(D206)-1,COLUMN(D206)-1)="","",OFFSET('4. Work'!$A$1,ROW(D206)-1,COLUMN(D206)-1))</f>
        <v/>
      </c>
      <c r="E206" s="147"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I206" s="3" t="str">
        <f ca="1">IF(OFFSET('4. Work'!$A$1,ROW(I206)-1,COLUMN(I206)-1)="","",OFFSET('4. Work'!$A$1,ROW(I206)-1,COLUMN(I206)-1))</f>
        <v/>
      </c>
      <c r="T206" s="3" t="str">
        <f ca="1">IF(A206&lt;&gt;"",MAX('Initiative Indirect'!$T:$T)+(ROW(A206)-1),"")</f>
        <v/>
      </c>
      <c r="U206" s="3" t="str">
        <f ca="1">IF(B206&lt;&gt;"",INDEX('Initiative Indirect'!$T:$T,MATCH(B206,'Initiative Indirect'!$A:$A,0)),"")</f>
        <v/>
      </c>
      <c r="V206" s="3" t="str">
        <f ca="1">IF(C206&lt;&gt;"",INDEX('Team Indirect'!$T:$T,MATCH(C206,'Team Indirect'!$A:$A,0)),"")</f>
        <v/>
      </c>
      <c r="W206" s="3"/>
      <c r="X206" s="3"/>
      <c r="Y206" s="3" t="str">
        <f ca="1">IF($C206&lt;&gt;"",INDEX('Team Indirect'!$D:$D,MATCH($C206,'Team Indirect'!$A:$A,0)),"")</f>
        <v/>
      </c>
      <c r="Z206" s="3" t="str">
        <f ca="1">IF($C206&lt;&gt;"",INDEX('Team Indirect'!$E:$E,MATCH($C206,'Team Indirect'!$A:$A,0)),"")</f>
        <v/>
      </c>
      <c r="AA206" s="3" t="str">
        <f ca="1">IF($C206&lt;&gt;"",INDEX('Team Indirect'!$F:$F,MATCH($C206,'Team Indirect'!$A:$A,0)),"")</f>
        <v/>
      </c>
      <c r="AB206" s="3" t="str">
        <f t="shared" ca="1" si="3"/>
        <v/>
      </c>
      <c r="AC206" s="3">
        <f ca="1">IF(OR(AllocationUnits="Stories", AllocationUnits="Points"),'Work Indirect'!F206,F206/MAX('Work Indirect'!AB206,1))</f>
        <v>1</v>
      </c>
    </row>
    <row r="207" spans="1:29"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7" t="str">
        <f ca="1">IF(OFFSET('4. Work'!$A$1,ROW(D207)-1,COLUMN(D207)-1)="","",OFFSET('4. Work'!$A$1,ROW(D207)-1,COLUMN(D207)-1))</f>
        <v/>
      </c>
      <c r="E207" s="147"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I207" s="3" t="str">
        <f ca="1">IF(OFFSET('4. Work'!$A$1,ROW(I207)-1,COLUMN(I207)-1)="","",OFFSET('4. Work'!$A$1,ROW(I207)-1,COLUMN(I207)-1))</f>
        <v/>
      </c>
      <c r="T207" s="3" t="str">
        <f ca="1">IF(A207&lt;&gt;"",MAX('Initiative Indirect'!$T:$T)+(ROW(A207)-1),"")</f>
        <v/>
      </c>
      <c r="U207" s="3" t="str">
        <f ca="1">IF(B207&lt;&gt;"",INDEX('Initiative Indirect'!$T:$T,MATCH(B207,'Initiative Indirect'!$A:$A,0)),"")</f>
        <v/>
      </c>
      <c r="V207" s="3" t="str">
        <f ca="1">IF(C207&lt;&gt;"",INDEX('Team Indirect'!$T:$T,MATCH(C207,'Team Indirect'!$A:$A,0)),"")</f>
        <v/>
      </c>
      <c r="W207" s="3"/>
      <c r="X207" s="3"/>
      <c r="Y207" s="3" t="str">
        <f ca="1">IF($C207&lt;&gt;"",INDEX('Team Indirect'!$D:$D,MATCH($C207,'Team Indirect'!$A:$A,0)),"")</f>
        <v/>
      </c>
      <c r="Z207" s="3" t="str">
        <f ca="1">IF($C207&lt;&gt;"",INDEX('Team Indirect'!$E:$E,MATCH($C207,'Team Indirect'!$A:$A,0)),"")</f>
        <v/>
      </c>
      <c r="AA207" s="3" t="str">
        <f ca="1">IF($C207&lt;&gt;"",INDEX('Team Indirect'!$F:$F,MATCH($C207,'Team Indirect'!$A:$A,0)),"")</f>
        <v/>
      </c>
      <c r="AB207" s="3" t="str">
        <f t="shared" ca="1" si="3"/>
        <v/>
      </c>
      <c r="AC207" s="3">
        <f ca="1">IF(OR(AllocationUnits="Stories", AllocationUnits="Points"),'Work Indirect'!F207,F207/MAX('Work Indirect'!AB207,1))</f>
        <v>1</v>
      </c>
    </row>
    <row r="208" spans="1:29"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7" t="str">
        <f ca="1">IF(OFFSET('4. Work'!$A$1,ROW(D208)-1,COLUMN(D208)-1)="","",OFFSET('4. Work'!$A$1,ROW(D208)-1,COLUMN(D208)-1))</f>
        <v/>
      </c>
      <c r="E208" s="147"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I208" s="3" t="str">
        <f ca="1">IF(OFFSET('4. Work'!$A$1,ROW(I208)-1,COLUMN(I208)-1)="","",OFFSET('4. Work'!$A$1,ROW(I208)-1,COLUMN(I208)-1))</f>
        <v/>
      </c>
      <c r="T208" s="3" t="str">
        <f ca="1">IF(A208&lt;&gt;"",MAX('Initiative Indirect'!$T:$T)+(ROW(A208)-1),"")</f>
        <v/>
      </c>
      <c r="U208" s="3" t="str">
        <f ca="1">IF(B208&lt;&gt;"",INDEX('Initiative Indirect'!$T:$T,MATCH(B208,'Initiative Indirect'!$A:$A,0)),"")</f>
        <v/>
      </c>
      <c r="V208" s="3" t="str">
        <f ca="1">IF(C208&lt;&gt;"",INDEX('Team Indirect'!$T:$T,MATCH(C208,'Team Indirect'!$A:$A,0)),"")</f>
        <v/>
      </c>
      <c r="W208" s="3"/>
      <c r="X208" s="3"/>
      <c r="Y208" s="3" t="str">
        <f ca="1">IF($C208&lt;&gt;"",INDEX('Team Indirect'!$D:$D,MATCH($C208,'Team Indirect'!$A:$A,0)),"")</f>
        <v/>
      </c>
      <c r="Z208" s="3" t="str">
        <f ca="1">IF($C208&lt;&gt;"",INDEX('Team Indirect'!$E:$E,MATCH($C208,'Team Indirect'!$A:$A,0)),"")</f>
        <v/>
      </c>
      <c r="AA208" s="3" t="str">
        <f ca="1">IF($C208&lt;&gt;"",INDEX('Team Indirect'!$F:$F,MATCH($C208,'Team Indirect'!$A:$A,0)),"")</f>
        <v/>
      </c>
      <c r="AB208" s="3" t="str">
        <f t="shared" ca="1" si="3"/>
        <v/>
      </c>
      <c r="AC208" s="3">
        <f ca="1">IF(OR(AllocationUnits="Stories", AllocationUnits="Points"),'Work Indirect'!F208,F208/MAX('Work Indirect'!AB208,1))</f>
        <v>1</v>
      </c>
    </row>
    <row r="209" spans="1:29"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7" t="str">
        <f ca="1">IF(OFFSET('4. Work'!$A$1,ROW(D209)-1,COLUMN(D209)-1)="","",OFFSET('4. Work'!$A$1,ROW(D209)-1,COLUMN(D209)-1))</f>
        <v/>
      </c>
      <c r="E209" s="147"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I209" s="3" t="str">
        <f ca="1">IF(OFFSET('4. Work'!$A$1,ROW(I209)-1,COLUMN(I209)-1)="","",OFFSET('4. Work'!$A$1,ROW(I209)-1,COLUMN(I209)-1))</f>
        <v/>
      </c>
      <c r="T209" s="3" t="str">
        <f ca="1">IF(A209&lt;&gt;"",MAX('Initiative Indirect'!$T:$T)+(ROW(A209)-1),"")</f>
        <v/>
      </c>
      <c r="U209" s="3" t="str">
        <f ca="1">IF(B209&lt;&gt;"",INDEX('Initiative Indirect'!$T:$T,MATCH(B209,'Initiative Indirect'!$A:$A,0)),"")</f>
        <v/>
      </c>
      <c r="V209" s="3" t="str">
        <f ca="1">IF(C209&lt;&gt;"",INDEX('Team Indirect'!$T:$T,MATCH(C209,'Team Indirect'!$A:$A,0)),"")</f>
        <v/>
      </c>
      <c r="W209" s="3"/>
      <c r="X209" s="3"/>
      <c r="Y209" s="3" t="str">
        <f ca="1">IF($C209&lt;&gt;"",INDEX('Team Indirect'!$D:$D,MATCH($C209,'Team Indirect'!$A:$A,0)),"")</f>
        <v/>
      </c>
      <c r="Z209" s="3" t="str">
        <f ca="1">IF($C209&lt;&gt;"",INDEX('Team Indirect'!$E:$E,MATCH($C209,'Team Indirect'!$A:$A,0)),"")</f>
        <v/>
      </c>
      <c r="AA209" s="3" t="str">
        <f ca="1">IF($C209&lt;&gt;"",INDEX('Team Indirect'!$F:$F,MATCH($C209,'Team Indirect'!$A:$A,0)),"")</f>
        <v/>
      </c>
      <c r="AB209" s="3" t="str">
        <f t="shared" ca="1" si="3"/>
        <v/>
      </c>
      <c r="AC209" s="3">
        <f ca="1">IF(OR(AllocationUnits="Stories", AllocationUnits="Points"),'Work Indirect'!F209,F209/MAX('Work Indirect'!AB209,1))</f>
        <v>1</v>
      </c>
    </row>
    <row r="210" spans="1:29"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7" t="str">
        <f ca="1">IF(OFFSET('4. Work'!$A$1,ROW(D210)-1,COLUMN(D210)-1)="","",OFFSET('4. Work'!$A$1,ROW(D210)-1,COLUMN(D210)-1))</f>
        <v/>
      </c>
      <c r="E210" s="147"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I210" s="3" t="str">
        <f ca="1">IF(OFFSET('4. Work'!$A$1,ROW(I210)-1,COLUMN(I210)-1)="","",OFFSET('4. Work'!$A$1,ROW(I210)-1,COLUMN(I210)-1))</f>
        <v/>
      </c>
      <c r="T210" s="3" t="str">
        <f ca="1">IF(A210&lt;&gt;"",MAX('Initiative Indirect'!$T:$T)+(ROW(A210)-1),"")</f>
        <v/>
      </c>
      <c r="U210" s="3" t="str">
        <f ca="1">IF(B210&lt;&gt;"",INDEX('Initiative Indirect'!$T:$T,MATCH(B210,'Initiative Indirect'!$A:$A,0)),"")</f>
        <v/>
      </c>
      <c r="V210" s="3" t="str">
        <f ca="1">IF(C210&lt;&gt;"",INDEX('Team Indirect'!$T:$T,MATCH(C210,'Team Indirect'!$A:$A,0)),"")</f>
        <v/>
      </c>
      <c r="W210" s="3"/>
      <c r="X210" s="3"/>
      <c r="Y210" s="3" t="str">
        <f ca="1">IF($C210&lt;&gt;"",INDEX('Team Indirect'!$D:$D,MATCH($C210,'Team Indirect'!$A:$A,0)),"")</f>
        <v/>
      </c>
      <c r="Z210" s="3" t="str">
        <f ca="1">IF($C210&lt;&gt;"",INDEX('Team Indirect'!$E:$E,MATCH($C210,'Team Indirect'!$A:$A,0)),"")</f>
        <v/>
      </c>
      <c r="AA210" s="3" t="str">
        <f ca="1">IF($C210&lt;&gt;"",INDEX('Team Indirect'!$F:$F,MATCH($C210,'Team Indirect'!$A:$A,0)),"")</f>
        <v/>
      </c>
      <c r="AB210" s="3" t="str">
        <f t="shared" ca="1" si="3"/>
        <v/>
      </c>
      <c r="AC210" s="3">
        <f ca="1">IF(OR(AllocationUnits="Stories", AllocationUnits="Points"),'Work Indirect'!F210,F210/MAX('Work Indirect'!AB210,1))</f>
        <v>1</v>
      </c>
    </row>
    <row r="211" spans="1:29"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7" t="str">
        <f ca="1">IF(OFFSET('4. Work'!$A$1,ROW(D211)-1,COLUMN(D211)-1)="","",OFFSET('4. Work'!$A$1,ROW(D211)-1,COLUMN(D211)-1))</f>
        <v/>
      </c>
      <c r="E211" s="147"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I211" s="3" t="str">
        <f ca="1">IF(OFFSET('4. Work'!$A$1,ROW(I211)-1,COLUMN(I211)-1)="","",OFFSET('4. Work'!$A$1,ROW(I211)-1,COLUMN(I211)-1))</f>
        <v/>
      </c>
      <c r="T211" s="3" t="str">
        <f ca="1">IF(A211&lt;&gt;"",MAX('Initiative Indirect'!$T:$T)+(ROW(A211)-1),"")</f>
        <v/>
      </c>
      <c r="U211" s="3" t="str">
        <f ca="1">IF(B211&lt;&gt;"",INDEX('Initiative Indirect'!$T:$T,MATCH(B211,'Initiative Indirect'!$A:$A,0)),"")</f>
        <v/>
      </c>
      <c r="V211" s="3" t="str">
        <f ca="1">IF(C211&lt;&gt;"",INDEX('Team Indirect'!$T:$T,MATCH(C211,'Team Indirect'!$A:$A,0)),"")</f>
        <v/>
      </c>
      <c r="W211" s="3"/>
      <c r="X211" s="3"/>
      <c r="Y211" s="3" t="str">
        <f ca="1">IF($C211&lt;&gt;"",INDEX('Team Indirect'!$D:$D,MATCH($C211,'Team Indirect'!$A:$A,0)),"")</f>
        <v/>
      </c>
      <c r="Z211" s="3" t="str">
        <f ca="1">IF($C211&lt;&gt;"",INDEX('Team Indirect'!$E:$E,MATCH($C211,'Team Indirect'!$A:$A,0)),"")</f>
        <v/>
      </c>
      <c r="AA211" s="3" t="str">
        <f ca="1">IF($C211&lt;&gt;"",INDEX('Team Indirect'!$F:$F,MATCH($C211,'Team Indirect'!$A:$A,0)),"")</f>
        <v/>
      </c>
      <c r="AB211" s="3" t="str">
        <f t="shared" ca="1" si="3"/>
        <v/>
      </c>
      <c r="AC211" s="3">
        <f ca="1">IF(OR(AllocationUnits="Stories", AllocationUnits="Points"),'Work Indirect'!F211,F211/MAX('Work Indirect'!AB211,1))</f>
        <v>1</v>
      </c>
    </row>
    <row r="212" spans="1:29"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7" t="str">
        <f ca="1">IF(OFFSET('4. Work'!$A$1,ROW(D212)-1,COLUMN(D212)-1)="","",OFFSET('4. Work'!$A$1,ROW(D212)-1,COLUMN(D212)-1))</f>
        <v/>
      </c>
      <c r="E212" s="147"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I212" s="3" t="str">
        <f ca="1">IF(OFFSET('4. Work'!$A$1,ROW(I212)-1,COLUMN(I212)-1)="","",OFFSET('4. Work'!$A$1,ROW(I212)-1,COLUMN(I212)-1))</f>
        <v/>
      </c>
      <c r="T212" s="3" t="str">
        <f ca="1">IF(A212&lt;&gt;"",MAX('Initiative Indirect'!$T:$T)+(ROW(A212)-1),"")</f>
        <v/>
      </c>
      <c r="U212" s="3" t="str">
        <f ca="1">IF(B212&lt;&gt;"",INDEX('Initiative Indirect'!$T:$T,MATCH(B212,'Initiative Indirect'!$A:$A,0)),"")</f>
        <v/>
      </c>
      <c r="V212" s="3" t="str">
        <f ca="1">IF(C212&lt;&gt;"",INDEX('Team Indirect'!$T:$T,MATCH(C212,'Team Indirect'!$A:$A,0)),"")</f>
        <v/>
      </c>
      <c r="W212" s="3"/>
      <c r="X212" s="3"/>
      <c r="Y212" s="3" t="str">
        <f ca="1">IF($C212&lt;&gt;"",INDEX('Team Indirect'!$D:$D,MATCH($C212,'Team Indirect'!$A:$A,0)),"")</f>
        <v/>
      </c>
      <c r="Z212" s="3" t="str">
        <f ca="1">IF($C212&lt;&gt;"",INDEX('Team Indirect'!$E:$E,MATCH($C212,'Team Indirect'!$A:$A,0)),"")</f>
        <v/>
      </c>
      <c r="AA212" s="3" t="str">
        <f ca="1">IF($C212&lt;&gt;"",INDEX('Team Indirect'!$F:$F,MATCH($C212,'Team Indirect'!$A:$A,0)),"")</f>
        <v/>
      </c>
      <c r="AB212" s="3" t="str">
        <f t="shared" ca="1" si="3"/>
        <v/>
      </c>
      <c r="AC212" s="3">
        <f ca="1">IF(OR(AllocationUnits="Stories", AllocationUnits="Points"),'Work Indirect'!F212,F212/MAX('Work Indirect'!AB212,1))</f>
        <v>1</v>
      </c>
    </row>
    <row r="213" spans="1:29"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7" t="str">
        <f ca="1">IF(OFFSET('4. Work'!$A$1,ROW(D213)-1,COLUMN(D213)-1)="","",OFFSET('4. Work'!$A$1,ROW(D213)-1,COLUMN(D213)-1))</f>
        <v/>
      </c>
      <c r="E213" s="147"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I213" s="3" t="str">
        <f ca="1">IF(OFFSET('4. Work'!$A$1,ROW(I213)-1,COLUMN(I213)-1)="","",OFFSET('4. Work'!$A$1,ROW(I213)-1,COLUMN(I213)-1))</f>
        <v/>
      </c>
      <c r="T213" s="3" t="str">
        <f ca="1">IF(A213&lt;&gt;"",MAX('Initiative Indirect'!$T:$T)+(ROW(A213)-1),"")</f>
        <v/>
      </c>
      <c r="U213" s="3" t="str">
        <f ca="1">IF(B213&lt;&gt;"",INDEX('Initiative Indirect'!$T:$T,MATCH(B213,'Initiative Indirect'!$A:$A,0)),"")</f>
        <v/>
      </c>
      <c r="V213" s="3" t="str">
        <f ca="1">IF(C213&lt;&gt;"",INDEX('Team Indirect'!$T:$T,MATCH(C213,'Team Indirect'!$A:$A,0)),"")</f>
        <v/>
      </c>
      <c r="W213" s="3"/>
      <c r="X213" s="3"/>
      <c r="Y213" s="3" t="str">
        <f ca="1">IF($C213&lt;&gt;"",INDEX('Team Indirect'!$D:$D,MATCH($C213,'Team Indirect'!$A:$A,0)),"")</f>
        <v/>
      </c>
      <c r="Z213" s="3" t="str">
        <f ca="1">IF($C213&lt;&gt;"",INDEX('Team Indirect'!$E:$E,MATCH($C213,'Team Indirect'!$A:$A,0)),"")</f>
        <v/>
      </c>
      <c r="AA213" s="3" t="str">
        <f ca="1">IF($C213&lt;&gt;"",INDEX('Team Indirect'!$F:$F,MATCH($C213,'Team Indirect'!$A:$A,0)),"")</f>
        <v/>
      </c>
      <c r="AB213" s="3" t="str">
        <f t="shared" ca="1" si="3"/>
        <v/>
      </c>
      <c r="AC213" s="3">
        <f ca="1">IF(OR(AllocationUnits="Stories", AllocationUnits="Points"),'Work Indirect'!F213,F213/MAX('Work Indirect'!AB213,1))</f>
        <v>1</v>
      </c>
    </row>
    <row r="214" spans="1:29"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7" t="str">
        <f ca="1">IF(OFFSET('4. Work'!$A$1,ROW(D214)-1,COLUMN(D214)-1)="","",OFFSET('4. Work'!$A$1,ROW(D214)-1,COLUMN(D214)-1))</f>
        <v/>
      </c>
      <c r="E214" s="147"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I214" s="3" t="str">
        <f ca="1">IF(OFFSET('4. Work'!$A$1,ROW(I214)-1,COLUMN(I214)-1)="","",OFFSET('4. Work'!$A$1,ROW(I214)-1,COLUMN(I214)-1))</f>
        <v/>
      </c>
      <c r="T214" s="3" t="str">
        <f ca="1">IF(A214&lt;&gt;"",MAX('Initiative Indirect'!$T:$T)+(ROW(A214)-1),"")</f>
        <v/>
      </c>
      <c r="U214" s="3" t="str">
        <f ca="1">IF(B214&lt;&gt;"",INDEX('Initiative Indirect'!$T:$T,MATCH(B214,'Initiative Indirect'!$A:$A,0)),"")</f>
        <v/>
      </c>
      <c r="V214" s="3" t="str">
        <f ca="1">IF(C214&lt;&gt;"",INDEX('Team Indirect'!$T:$T,MATCH(C214,'Team Indirect'!$A:$A,0)),"")</f>
        <v/>
      </c>
      <c r="W214" s="3"/>
      <c r="X214" s="3"/>
      <c r="Y214" s="3" t="str">
        <f ca="1">IF($C214&lt;&gt;"",INDEX('Team Indirect'!$D:$D,MATCH($C214,'Team Indirect'!$A:$A,0)),"")</f>
        <v/>
      </c>
      <c r="Z214" s="3" t="str">
        <f ca="1">IF($C214&lt;&gt;"",INDEX('Team Indirect'!$E:$E,MATCH($C214,'Team Indirect'!$A:$A,0)),"")</f>
        <v/>
      </c>
      <c r="AA214" s="3" t="str">
        <f ca="1">IF($C214&lt;&gt;"",INDEX('Team Indirect'!$F:$F,MATCH($C214,'Team Indirect'!$A:$A,0)),"")</f>
        <v/>
      </c>
      <c r="AB214" s="3" t="str">
        <f t="shared" ca="1" si="3"/>
        <v/>
      </c>
      <c r="AC214" s="3">
        <f ca="1">IF(OR(AllocationUnits="Stories", AllocationUnits="Points"),'Work Indirect'!F214,F214/MAX('Work Indirect'!AB214,1))</f>
        <v>1</v>
      </c>
    </row>
    <row r="215" spans="1:29"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7" t="str">
        <f ca="1">IF(OFFSET('4. Work'!$A$1,ROW(D215)-1,COLUMN(D215)-1)="","",OFFSET('4. Work'!$A$1,ROW(D215)-1,COLUMN(D215)-1))</f>
        <v/>
      </c>
      <c r="E215" s="147"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I215" s="3" t="str">
        <f ca="1">IF(OFFSET('4. Work'!$A$1,ROW(I215)-1,COLUMN(I215)-1)="","",OFFSET('4. Work'!$A$1,ROW(I215)-1,COLUMN(I215)-1))</f>
        <v/>
      </c>
      <c r="T215" s="3" t="str">
        <f ca="1">IF(A215&lt;&gt;"",MAX('Initiative Indirect'!$T:$T)+(ROW(A215)-1),"")</f>
        <v/>
      </c>
      <c r="U215" s="3" t="str">
        <f ca="1">IF(B215&lt;&gt;"",INDEX('Initiative Indirect'!$T:$T,MATCH(B215,'Initiative Indirect'!$A:$A,0)),"")</f>
        <v/>
      </c>
      <c r="V215" s="3" t="str">
        <f ca="1">IF(C215&lt;&gt;"",INDEX('Team Indirect'!$T:$T,MATCH(C215,'Team Indirect'!$A:$A,0)),"")</f>
        <v/>
      </c>
      <c r="W215" s="3"/>
      <c r="X215" s="3"/>
      <c r="Y215" s="3" t="str">
        <f ca="1">IF($C215&lt;&gt;"",INDEX('Team Indirect'!$D:$D,MATCH($C215,'Team Indirect'!$A:$A,0)),"")</f>
        <v/>
      </c>
      <c r="Z215" s="3" t="str">
        <f ca="1">IF($C215&lt;&gt;"",INDEX('Team Indirect'!$E:$E,MATCH($C215,'Team Indirect'!$A:$A,0)),"")</f>
        <v/>
      </c>
      <c r="AA215" s="3" t="str">
        <f ca="1">IF($C215&lt;&gt;"",INDEX('Team Indirect'!$F:$F,MATCH($C215,'Team Indirect'!$A:$A,0)),"")</f>
        <v/>
      </c>
      <c r="AB215" s="3" t="str">
        <f t="shared" ca="1" si="3"/>
        <v/>
      </c>
      <c r="AC215" s="3">
        <f ca="1">IF(OR(AllocationUnits="Stories", AllocationUnits="Points"),'Work Indirect'!F215,F215/MAX('Work Indirect'!AB215,1))</f>
        <v>1</v>
      </c>
    </row>
    <row r="216" spans="1:29"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7" t="str">
        <f ca="1">IF(OFFSET('4. Work'!$A$1,ROW(D216)-1,COLUMN(D216)-1)="","",OFFSET('4. Work'!$A$1,ROW(D216)-1,COLUMN(D216)-1))</f>
        <v/>
      </c>
      <c r="E216" s="147"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I216" s="3" t="str">
        <f ca="1">IF(OFFSET('4. Work'!$A$1,ROW(I216)-1,COLUMN(I216)-1)="","",OFFSET('4. Work'!$A$1,ROW(I216)-1,COLUMN(I216)-1))</f>
        <v/>
      </c>
      <c r="T216" s="3" t="str">
        <f ca="1">IF(A216&lt;&gt;"",MAX('Initiative Indirect'!$T:$T)+(ROW(A216)-1),"")</f>
        <v/>
      </c>
      <c r="U216" s="3" t="str">
        <f ca="1">IF(B216&lt;&gt;"",INDEX('Initiative Indirect'!$T:$T,MATCH(B216,'Initiative Indirect'!$A:$A,0)),"")</f>
        <v/>
      </c>
      <c r="V216" s="3" t="str">
        <f ca="1">IF(C216&lt;&gt;"",INDEX('Team Indirect'!$T:$T,MATCH(C216,'Team Indirect'!$A:$A,0)),"")</f>
        <v/>
      </c>
      <c r="W216" s="3"/>
      <c r="X216" s="3"/>
      <c r="Y216" s="3" t="str">
        <f ca="1">IF($C216&lt;&gt;"",INDEX('Team Indirect'!$D:$D,MATCH($C216,'Team Indirect'!$A:$A,0)),"")</f>
        <v/>
      </c>
      <c r="Z216" s="3" t="str">
        <f ca="1">IF($C216&lt;&gt;"",INDEX('Team Indirect'!$E:$E,MATCH($C216,'Team Indirect'!$A:$A,0)),"")</f>
        <v/>
      </c>
      <c r="AA216" s="3" t="str">
        <f ca="1">IF($C216&lt;&gt;"",INDEX('Team Indirect'!$F:$F,MATCH($C216,'Team Indirect'!$A:$A,0)),"")</f>
        <v/>
      </c>
      <c r="AB216" s="3" t="str">
        <f t="shared" ca="1" si="3"/>
        <v/>
      </c>
      <c r="AC216" s="3">
        <f ca="1">IF(OR(AllocationUnits="Stories", AllocationUnits="Points"),'Work Indirect'!F216,F216/MAX('Work Indirect'!AB216,1))</f>
        <v>1</v>
      </c>
    </row>
    <row r="217" spans="1:29"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7" t="str">
        <f ca="1">IF(OFFSET('4. Work'!$A$1,ROW(D217)-1,COLUMN(D217)-1)="","",OFFSET('4. Work'!$A$1,ROW(D217)-1,COLUMN(D217)-1))</f>
        <v/>
      </c>
      <c r="E217" s="147"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I217" s="3" t="str">
        <f ca="1">IF(OFFSET('4. Work'!$A$1,ROW(I217)-1,COLUMN(I217)-1)="","",OFFSET('4. Work'!$A$1,ROW(I217)-1,COLUMN(I217)-1))</f>
        <v/>
      </c>
      <c r="T217" s="3" t="str">
        <f ca="1">IF(A217&lt;&gt;"",MAX('Initiative Indirect'!$T:$T)+(ROW(A217)-1),"")</f>
        <v/>
      </c>
      <c r="U217" s="3" t="str">
        <f ca="1">IF(B217&lt;&gt;"",INDEX('Initiative Indirect'!$T:$T,MATCH(B217,'Initiative Indirect'!$A:$A,0)),"")</f>
        <v/>
      </c>
      <c r="V217" s="3" t="str">
        <f ca="1">IF(C217&lt;&gt;"",INDEX('Team Indirect'!$T:$T,MATCH(C217,'Team Indirect'!$A:$A,0)),"")</f>
        <v/>
      </c>
      <c r="W217" s="3"/>
      <c r="X217" s="3"/>
      <c r="Y217" s="3" t="str">
        <f ca="1">IF($C217&lt;&gt;"",INDEX('Team Indirect'!$D:$D,MATCH($C217,'Team Indirect'!$A:$A,0)),"")</f>
        <v/>
      </c>
      <c r="Z217" s="3" t="str">
        <f ca="1">IF($C217&lt;&gt;"",INDEX('Team Indirect'!$E:$E,MATCH($C217,'Team Indirect'!$A:$A,0)),"")</f>
        <v/>
      </c>
      <c r="AA217" s="3" t="str">
        <f ca="1">IF($C217&lt;&gt;"",INDEX('Team Indirect'!$F:$F,MATCH($C217,'Team Indirect'!$A:$A,0)),"")</f>
        <v/>
      </c>
      <c r="AB217" s="3" t="str">
        <f t="shared" ca="1" si="3"/>
        <v/>
      </c>
      <c r="AC217" s="3">
        <f ca="1">IF(OR(AllocationUnits="Stories", AllocationUnits="Points"),'Work Indirect'!F217,F217/MAX('Work Indirect'!AB217,1))</f>
        <v>1</v>
      </c>
    </row>
    <row r="218" spans="1:29"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7" t="str">
        <f ca="1">IF(OFFSET('4. Work'!$A$1,ROW(D218)-1,COLUMN(D218)-1)="","",OFFSET('4. Work'!$A$1,ROW(D218)-1,COLUMN(D218)-1))</f>
        <v/>
      </c>
      <c r="E218" s="147"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I218" s="3" t="str">
        <f ca="1">IF(OFFSET('4. Work'!$A$1,ROW(I218)-1,COLUMN(I218)-1)="","",OFFSET('4. Work'!$A$1,ROW(I218)-1,COLUMN(I218)-1))</f>
        <v/>
      </c>
      <c r="T218" s="3" t="str">
        <f ca="1">IF(A218&lt;&gt;"",MAX('Initiative Indirect'!$T:$T)+(ROW(A218)-1),"")</f>
        <v/>
      </c>
      <c r="U218" s="3" t="str">
        <f ca="1">IF(B218&lt;&gt;"",INDEX('Initiative Indirect'!$T:$T,MATCH(B218,'Initiative Indirect'!$A:$A,0)),"")</f>
        <v/>
      </c>
      <c r="V218" s="3" t="str">
        <f ca="1">IF(C218&lt;&gt;"",INDEX('Team Indirect'!$T:$T,MATCH(C218,'Team Indirect'!$A:$A,0)),"")</f>
        <v/>
      </c>
      <c r="W218" s="3"/>
      <c r="X218" s="3"/>
      <c r="Y218" s="3" t="str">
        <f ca="1">IF($C218&lt;&gt;"",INDEX('Team Indirect'!$D:$D,MATCH($C218,'Team Indirect'!$A:$A,0)),"")</f>
        <v/>
      </c>
      <c r="Z218" s="3" t="str">
        <f ca="1">IF($C218&lt;&gt;"",INDEX('Team Indirect'!$E:$E,MATCH($C218,'Team Indirect'!$A:$A,0)),"")</f>
        <v/>
      </c>
      <c r="AA218" s="3" t="str">
        <f ca="1">IF($C218&lt;&gt;"",INDEX('Team Indirect'!$F:$F,MATCH($C218,'Team Indirect'!$A:$A,0)),"")</f>
        <v/>
      </c>
      <c r="AB218" s="3" t="str">
        <f t="shared" ca="1" si="3"/>
        <v/>
      </c>
      <c r="AC218" s="3">
        <f ca="1">IF(OR(AllocationUnits="Stories", AllocationUnits="Points"),'Work Indirect'!F218,F218/MAX('Work Indirect'!AB218,1))</f>
        <v>1</v>
      </c>
    </row>
    <row r="219" spans="1:29"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7" t="str">
        <f ca="1">IF(OFFSET('4. Work'!$A$1,ROW(D219)-1,COLUMN(D219)-1)="","",OFFSET('4. Work'!$A$1,ROW(D219)-1,COLUMN(D219)-1))</f>
        <v/>
      </c>
      <c r="E219" s="147"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I219" s="3" t="str">
        <f ca="1">IF(OFFSET('4. Work'!$A$1,ROW(I219)-1,COLUMN(I219)-1)="","",OFFSET('4. Work'!$A$1,ROW(I219)-1,COLUMN(I219)-1))</f>
        <v/>
      </c>
      <c r="T219" s="3" t="str">
        <f ca="1">IF(A219&lt;&gt;"",MAX('Initiative Indirect'!$T:$T)+(ROW(A219)-1),"")</f>
        <v/>
      </c>
      <c r="U219" s="3" t="str">
        <f ca="1">IF(B219&lt;&gt;"",INDEX('Initiative Indirect'!$T:$T,MATCH(B219,'Initiative Indirect'!$A:$A,0)),"")</f>
        <v/>
      </c>
      <c r="V219" s="3" t="str">
        <f ca="1">IF(C219&lt;&gt;"",INDEX('Team Indirect'!$T:$T,MATCH(C219,'Team Indirect'!$A:$A,0)),"")</f>
        <v/>
      </c>
      <c r="W219" s="3"/>
      <c r="X219" s="3"/>
      <c r="Y219" s="3" t="str">
        <f ca="1">IF($C219&lt;&gt;"",INDEX('Team Indirect'!$D:$D,MATCH($C219,'Team Indirect'!$A:$A,0)),"")</f>
        <v/>
      </c>
      <c r="Z219" s="3" t="str">
        <f ca="1">IF($C219&lt;&gt;"",INDEX('Team Indirect'!$E:$E,MATCH($C219,'Team Indirect'!$A:$A,0)),"")</f>
        <v/>
      </c>
      <c r="AA219" s="3" t="str">
        <f ca="1">IF($C219&lt;&gt;"",INDEX('Team Indirect'!$F:$F,MATCH($C219,'Team Indirect'!$A:$A,0)),"")</f>
        <v/>
      </c>
      <c r="AB219" s="3" t="str">
        <f t="shared" ca="1" si="3"/>
        <v/>
      </c>
      <c r="AC219" s="3">
        <f ca="1">IF(OR(AllocationUnits="Stories", AllocationUnits="Points"),'Work Indirect'!F219,F219/MAX('Work Indirect'!AB219,1))</f>
        <v>1</v>
      </c>
    </row>
    <row r="220" spans="1:29"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7" t="str">
        <f ca="1">IF(OFFSET('4. Work'!$A$1,ROW(D220)-1,COLUMN(D220)-1)="","",OFFSET('4. Work'!$A$1,ROW(D220)-1,COLUMN(D220)-1))</f>
        <v/>
      </c>
      <c r="E220" s="147"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I220" s="3" t="str">
        <f ca="1">IF(OFFSET('4. Work'!$A$1,ROW(I220)-1,COLUMN(I220)-1)="","",OFFSET('4. Work'!$A$1,ROW(I220)-1,COLUMN(I220)-1))</f>
        <v/>
      </c>
      <c r="T220" s="3" t="str">
        <f ca="1">IF(A220&lt;&gt;"",MAX('Initiative Indirect'!$T:$T)+(ROW(A220)-1),"")</f>
        <v/>
      </c>
      <c r="U220" s="3" t="str">
        <f ca="1">IF(B220&lt;&gt;"",INDEX('Initiative Indirect'!$T:$T,MATCH(B220,'Initiative Indirect'!$A:$A,0)),"")</f>
        <v/>
      </c>
      <c r="V220" s="3" t="str">
        <f ca="1">IF(C220&lt;&gt;"",INDEX('Team Indirect'!$T:$T,MATCH(C220,'Team Indirect'!$A:$A,0)),"")</f>
        <v/>
      </c>
      <c r="W220" s="3"/>
      <c r="X220" s="3"/>
      <c r="Y220" s="3" t="str">
        <f ca="1">IF($C220&lt;&gt;"",INDEX('Team Indirect'!$D:$D,MATCH($C220,'Team Indirect'!$A:$A,0)),"")</f>
        <v/>
      </c>
      <c r="Z220" s="3" t="str">
        <f ca="1">IF($C220&lt;&gt;"",INDEX('Team Indirect'!$E:$E,MATCH($C220,'Team Indirect'!$A:$A,0)),"")</f>
        <v/>
      </c>
      <c r="AA220" s="3" t="str">
        <f ca="1">IF($C220&lt;&gt;"",INDEX('Team Indirect'!$F:$F,MATCH($C220,'Team Indirect'!$A:$A,0)),"")</f>
        <v/>
      </c>
      <c r="AB220" s="3" t="str">
        <f t="shared" ca="1" si="3"/>
        <v/>
      </c>
      <c r="AC220" s="3">
        <f ca="1">IF(OR(AllocationUnits="Stories", AllocationUnits="Points"),'Work Indirect'!F220,F220/MAX('Work Indirect'!AB220,1))</f>
        <v>1</v>
      </c>
    </row>
    <row r="221" spans="1:29"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7" t="str">
        <f ca="1">IF(OFFSET('4. Work'!$A$1,ROW(D221)-1,COLUMN(D221)-1)="","",OFFSET('4. Work'!$A$1,ROW(D221)-1,COLUMN(D221)-1))</f>
        <v/>
      </c>
      <c r="E221" s="147"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I221" s="3" t="str">
        <f ca="1">IF(OFFSET('4. Work'!$A$1,ROW(I221)-1,COLUMN(I221)-1)="","",OFFSET('4. Work'!$A$1,ROW(I221)-1,COLUMN(I221)-1))</f>
        <v/>
      </c>
      <c r="T221" s="3" t="str">
        <f ca="1">IF(A221&lt;&gt;"",MAX('Initiative Indirect'!$T:$T)+(ROW(A221)-1),"")</f>
        <v/>
      </c>
      <c r="U221" s="3" t="str">
        <f ca="1">IF(B221&lt;&gt;"",INDEX('Initiative Indirect'!$T:$T,MATCH(B221,'Initiative Indirect'!$A:$A,0)),"")</f>
        <v/>
      </c>
      <c r="V221" s="3" t="str">
        <f ca="1">IF(C221&lt;&gt;"",INDEX('Team Indirect'!$T:$T,MATCH(C221,'Team Indirect'!$A:$A,0)),"")</f>
        <v/>
      </c>
      <c r="W221" s="3"/>
      <c r="X221" s="3"/>
      <c r="Y221" s="3" t="str">
        <f ca="1">IF($C221&lt;&gt;"",INDEX('Team Indirect'!$D:$D,MATCH($C221,'Team Indirect'!$A:$A,0)),"")</f>
        <v/>
      </c>
      <c r="Z221" s="3" t="str">
        <f ca="1">IF($C221&lt;&gt;"",INDEX('Team Indirect'!$E:$E,MATCH($C221,'Team Indirect'!$A:$A,0)),"")</f>
        <v/>
      </c>
      <c r="AA221" s="3" t="str">
        <f ca="1">IF($C221&lt;&gt;"",INDEX('Team Indirect'!$F:$F,MATCH($C221,'Team Indirect'!$A:$A,0)),"")</f>
        <v/>
      </c>
      <c r="AB221" s="3" t="str">
        <f t="shared" ca="1" si="3"/>
        <v/>
      </c>
      <c r="AC221" s="3">
        <f ca="1">IF(OR(AllocationUnits="Stories", AllocationUnits="Points"),'Work Indirect'!F221,F221/MAX('Work Indirect'!AB221,1))</f>
        <v>1</v>
      </c>
    </row>
    <row r="222" spans="1:29"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7" t="str">
        <f ca="1">IF(OFFSET('4. Work'!$A$1,ROW(D222)-1,COLUMN(D222)-1)="","",OFFSET('4. Work'!$A$1,ROW(D222)-1,COLUMN(D222)-1))</f>
        <v/>
      </c>
      <c r="E222" s="147"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I222" s="3" t="str">
        <f ca="1">IF(OFFSET('4. Work'!$A$1,ROW(I222)-1,COLUMN(I222)-1)="","",OFFSET('4. Work'!$A$1,ROW(I222)-1,COLUMN(I222)-1))</f>
        <v/>
      </c>
      <c r="T222" s="3" t="str">
        <f ca="1">IF(A222&lt;&gt;"",MAX('Initiative Indirect'!$T:$T)+(ROW(A222)-1),"")</f>
        <v/>
      </c>
      <c r="U222" s="3" t="str">
        <f ca="1">IF(B222&lt;&gt;"",INDEX('Initiative Indirect'!$T:$T,MATCH(B222,'Initiative Indirect'!$A:$A,0)),"")</f>
        <v/>
      </c>
      <c r="V222" s="3" t="str">
        <f ca="1">IF(C222&lt;&gt;"",INDEX('Team Indirect'!$T:$T,MATCH(C222,'Team Indirect'!$A:$A,0)),"")</f>
        <v/>
      </c>
      <c r="W222" s="3"/>
      <c r="X222" s="3"/>
      <c r="Y222" s="3" t="str">
        <f ca="1">IF($C222&lt;&gt;"",INDEX('Team Indirect'!$D:$D,MATCH($C222,'Team Indirect'!$A:$A,0)),"")</f>
        <v/>
      </c>
      <c r="Z222" s="3" t="str">
        <f ca="1">IF($C222&lt;&gt;"",INDEX('Team Indirect'!$E:$E,MATCH($C222,'Team Indirect'!$A:$A,0)),"")</f>
        <v/>
      </c>
      <c r="AA222" s="3" t="str">
        <f ca="1">IF($C222&lt;&gt;"",INDEX('Team Indirect'!$F:$F,MATCH($C222,'Team Indirect'!$A:$A,0)),"")</f>
        <v/>
      </c>
      <c r="AB222" s="3" t="str">
        <f t="shared" ca="1" si="3"/>
        <v/>
      </c>
      <c r="AC222" s="3">
        <f ca="1">IF(OR(AllocationUnits="Stories", AllocationUnits="Points"),'Work Indirect'!F222,F222/MAX('Work Indirect'!AB222,1))</f>
        <v>1</v>
      </c>
    </row>
    <row r="223" spans="1:29"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7" t="str">
        <f ca="1">IF(OFFSET('4. Work'!$A$1,ROW(D223)-1,COLUMN(D223)-1)="","",OFFSET('4. Work'!$A$1,ROW(D223)-1,COLUMN(D223)-1))</f>
        <v/>
      </c>
      <c r="E223" s="147"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I223" s="3" t="str">
        <f ca="1">IF(OFFSET('4. Work'!$A$1,ROW(I223)-1,COLUMN(I223)-1)="","",OFFSET('4. Work'!$A$1,ROW(I223)-1,COLUMN(I223)-1))</f>
        <v/>
      </c>
      <c r="T223" s="3" t="str">
        <f ca="1">IF(A223&lt;&gt;"",MAX('Initiative Indirect'!$T:$T)+(ROW(A223)-1),"")</f>
        <v/>
      </c>
      <c r="U223" s="3" t="str">
        <f ca="1">IF(B223&lt;&gt;"",INDEX('Initiative Indirect'!$T:$T,MATCH(B223,'Initiative Indirect'!$A:$A,0)),"")</f>
        <v/>
      </c>
      <c r="V223" s="3" t="str">
        <f ca="1">IF(C223&lt;&gt;"",INDEX('Team Indirect'!$T:$T,MATCH(C223,'Team Indirect'!$A:$A,0)),"")</f>
        <v/>
      </c>
      <c r="W223" s="3"/>
      <c r="X223" s="3"/>
      <c r="Y223" s="3" t="str">
        <f ca="1">IF($C223&lt;&gt;"",INDEX('Team Indirect'!$D:$D,MATCH($C223,'Team Indirect'!$A:$A,0)),"")</f>
        <v/>
      </c>
      <c r="Z223" s="3" t="str">
        <f ca="1">IF($C223&lt;&gt;"",INDEX('Team Indirect'!$E:$E,MATCH($C223,'Team Indirect'!$A:$A,0)),"")</f>
        <v/>
      </c>
      <c r="AA223" s="3" t="str">
        <f ca="1">IF($C223&lt;&gt;"",INDEX('Team Indirect'!$F:$F,MATCH($C223,'Team Indirect'!$A:$A,0)),"")</f>
        <v/>
      </c>
      <c r="AB223" s="3" t="str">
        <f t="shared" ca="1" si="3"/>
        <v/>
      </c>
      <c r="AC223" s="3">
        <f ca="1">IF(OR(AllocationUnits="Stories", AllocationUnits="Points"),'Work Indirect'!F223,F223/MAX('Work Indirect'!AB223,1))</f>
        <v>1</v>
      </c>
    </row>
    <row r="224" spans="1:29"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7" t="str">
        <f ca="1">IF(OFFSET('4. Work'!$A$1,ROW(D224)-1,COLUMN(D224)-1)="","",OFFSET('4. Work'!$A$1,ROW(D224)-1,COLUMN(D224)-1))</f>
        <v/>
      </c>
      <c r="E224" s="147"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I224" s="3" t="str">
        <f ca="1">IF(OFFSET('4. Work'!$A$1,ROW(I224)-1,COLUMN(I224)-1)="","",OFFSET('4. Work'!$A$1,ROW(I224)-1,COLUMN(I224)-1))</f>
        <v/>
      </c>
      <c r="T224" s="3" t="str">
        <f ca="1">IF(A224&lt;&gt;"",MAX('Initiative Indirect'!$T:$T)+(ROW(A224)-1),"")</f>
        <v/>
      </c>
      <c r="U224" s="3" t="str">
        <f ca="1">IF(B224&lt;&gt;"",INDEX('Initiative Indirect'!$T:$T,MATCH(B224,'Initiative Indirect'!$A:$A,0)),"")</f>
        <v/>
      </c>
      <c r="V224" s="3" t="str">
        <f ca="1">IF(C224&lt;&gt;"",INDEX('Team Indirect'!$T:$T,MATCH(C224,'Team Indirect'!$A:$A,0)),"")</f>
        <v/>
      </c>
      <c r="W224" s="3"/>
      <c r="X224" s="3"/>
      <c r="Y224" s="3" t="str">
        <f ca="1">IF($C224&lt;&gt;"",INDEX('Team Indirect'!$D:$D,MATCH($C224,'Team Indirect'!$A:$A,0)),"")</f>
        <v/>
      </c>
      <c r="Z224" s="3" t="str">
        <f ca="1">IF($C224&lt;&gt;"",INDEX('Team Indirect'!$E:$E,MATCH($C224,'Team Indirect'!$A:$A,0)),"")</f>
        <v/>
      </c>
      <c r="AA224" s="3" t="str">
        <f ca="1">IF($C224&lt;&gt;"",INDEX('Team Indirect'!$F:$F,MATCH($C224,'Team Indirect'!$A:$A,0)),"")</f>
        <v/>
      </c>
      <c r="AB224" s="3" t="str">
        <f t="shared" ca="1" si="3"/>
        <v/>
      </c>
      <c r="AC224" s="3">
        <f ca="1">IF(OR(AllocationUnits="Stories", AllocationUnits="Points"),'Work Indirect'!F224,F224/MAX('Work Indirect'!AB224,1))</f>
        <v>1</v>
      </c>
    </row>
    <row r="225" spans="1:29"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7" t="str">
        <f ca="1">IF(OFFSET('4. Work'!$A$1,ROW(D225)-1,COLUMN(D225)-1)="","",OFFSET('4. Work'!$A$1,ROW(D225)-1,COLUMN(D225)-1))</f>
        <v/>
      </c>
      <c r="E225" s="147"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I225" s="3" t="str">
        <f ca="1">IF(OFFSET('4. Work'!$A$1,ROW(I225)-1,COLUMN(I225)-1)="","",OFFSET('4. Work'!$A$1,ROW(I225)-1,COLUMN(I225)-1))</f>
        <v/>
      </c>
      <c r="T225" s="3" t="str">
        <f ca="1">IF(A225&lt;&gt;"",MAX('Initiative Indirect'!$T:$T)+(ROW(A225)-1),"")</f>
        <v/>
      </c>
      <c r="U225" s="3" t="str">
        <f ca="1">IF(B225&lt;&gt;"",INDEX('Initiative Indirect'!$T:$T,MATCH(B225,'Initiative Indirect'!$A:$A,0)),"")</f>
        <v/>
      </c>
      <c r="V225" s="3" t="str">
        <f ca="1">IF(C225&lt;&gt;"",INDEX('Team Indirect'!$T:$T,MATCH(C225,'Team Indirect'!$A:$A,0)),"")</f>
        <v/>
      </c>
      <c r="W225" s="3"/>
      <c r="X225" s="3"/>
      <c r="Y225" s="3" t="str">
        <f ca="1">IF($C225&lt;&gt;"",INDEX('Team Indirect'!$D:$D,MATCH($C225,'Team Indirect'!$A:$A,0)),"")</f>
        <v/>
      </c>
      <c r="Z225" s="3" t="str">
        <f ca="1">IF($C225&lt;&gt;"",INDEX('Team Indirect'!$E:$E,MATCH($C225,'Team Indirect'!$A:$A,0)),"")</f>
        <v/>
      </c>
      <c r="AA225" s="3" t="str">
        <f ca="1">IF($C225&lt;&gt;"",INDEX('Team Indirect'!$F:$F,MATCH($C225,'Team Indirect'!$A:$A,0)),"")</f>
        <v/>
      </c>
      <c r="AB225" s="3" t="str">
        <f t="shared" ca="1" si="3"/>
        <v/>
      </c>
      <c r="AC225" s="3">
        <f ca="1">IF(OR(AllocationUnits="Stories", AllocationUnits="Points"),'Work Indirect'!F225,F225/MAX('Work Indirect'!AB225,1))</f>
        <v>1</v>
      </c>
    </row>
    <row r="226" spans="1:29"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7" t="str">
        <f ca="1">IF(OFFSET('4. Work'!$A$1,ROW(D226)-1,COLUMN(D226)-1)="","",OFFSET('4. Work'!$A$1,ROW(D226)-1,COLUMN(D226)-1))</f>
        <v/>
      </c>
      <c r="E226" s="147"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I226" s="3" t="str">
        <f ca="1">IF(OFFSET('4. Work'!$A$1,ROW(I226)-1,COLUMN(I226)-1)="","",OFFSET('4. Work'!$A$1,ROW(I226)-1,COLUMN(I226)-1))</f>
        <v/>
      </c>
      <c r="T226" s="3" t="str">
        <f ca="1">IF(A226&lt;&gt;"",MAX('Initiative Indirect'!$T:$T)+(ROW(A226)-1),"")</f>
        <v/>
      </c>
      <c r="U226" s="3" t="str">
        <f ca="1">IF(B226&lt;&gt;"",INDEX('Initiative Indirect'!$T:$T,MATCH(B226,'Initiative Indirect'!$A:$A,0)),"")</f>
        <v/>
      </c>
      <c r="V226" s="3" t="str">
        <f ca="1">IF(C226&lt;&gt;"",INDEX('Team Indirect'!$T:$T,MATCH(C226,'Team Indirect'!$A:$A,0)),"")</f>
        <v/>
      </c>
      <c r="W226" s="3"/>
      <c r="X226" s="3"/>
      <c r="Y226" s="3" t="str">
        <f ca="1">IF($C226&lt;&gt;"",INDEX('Team Indirect'!$D:$D,MATCH($C226,'Team Indirect'!$A:$A,0)),"")</f>
        <v/>
      </c>
      <c r="Z226" s="3" t="str">
        <f ca="1">IF($C226&lt;&gt;"",INDEX('Team Indirect'!$E:$E,MATCH($C226,'Team Indirect'!$A:$A,0)),"")</f>
        <v/>
      </c>
      <c r="AA226" s="3" t="str">
        <f ca="1">IF($C226&lt;&gt;"",INDEX('Team Indirect'!$F:$F,MATCH($C226,'Team Indirect'!$A:$A,0)),"")</f>
        <v/>
      </c>
      <c r="AB226" s="3" t="str">
        <f t="shared" ca="1" si="3"/>
        <v/>
      </c>
      <c r="AC226" s="3">
        <f ca="1">IF(OR(AllocationUnits="Stories", AllocationUnits="Points"),'Work Indirect'!F226,F226/MAX('Work Indirect'!AB226,1))</f>
        <v>1</v>
      </c>
    </row>
    <row r="227" spans="1:29"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7" t="str">
        <f ca="1">IF(OFFSET('4. Work'!$A$1,ROW(D227)-1,COLUMN(D227)-1)="","",OFFSET('4. Work'!$A$1,ROW(D227)-1,COLUMN(D227)-1))</f>
        <v/>
      </c>
      <c r="E227" s="147"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I227" s="3" t="str">
        <f ca="1">IF(OFFSET('4. Work'!$A$1,ROW(I227)-1,COLUMN(I227)-1)="","",OFFSET('4. Work'!$A$1,ROW(I227)-1,COLUMN(I227)-1))</f>
        <v/>
      </c>
      <c r="T227" s="3" t="str">
        <f ca="1">IF(A227&lt;&gt;"",MAX('Initiative Indirect'!$T:$T)+(ROW(A227)-1),"")</f>
        <v/>
      </c>
      <c r="U227" s="3" t="str">
        <f ca="1">IF(B227&lt;&gt;"",INDEX('Initiative Indirect'!$T:$T,MATCH(B227,'Initiative Indirect'!$A:$A,0)),"")</f>
        <v/>
      </c>
      <c r="V227" s="3" t="str">
        <f ca="1">IF(C227&lt;&gt;"",INDEX('Team Indirect'!$T:$T,MATCH(C227,'Team Indirect'!$A:$A,0)),"")</f>
        <v/>
      </c>
      <c r="W227" s="3"/>
      <c r="X227" s="3"/>
      <c r="Y227" s="3" t="str">
        <f ca="1">IF($C227&lt;&gt;"",INDEX('Team Indirect'!$D:$D,MATCH($C227,'Team Indirect'!$A:$A,0)),"")</f>
        <v/>
      </c>
      <c r="Z227" s="3" t="str">
        <f ca="1">IF($C227&lt;&gt;"",INDEX('Team Indirect'!$E:$E,MATCH($C227,'Team Indirect'!$A:$A,0)),"")</f>
        <v/>
      </c>
      <c r="AA227" s="3" t="str">
        <f ca="1">IF($C227&lt;&gt;"",INDEX('Team Indirect'!$F:$F,MATCH($C227,'Team Indirect'!$A:$A,0)),"")</f>
        <v/>
      </c>
      <c r="AB227" s="3" t="str">
        <f t="shared" ca="1" si="3"/>
        <v/>
      </c>
      <c r="AC227" s="3">
        <f ca="1">IF(OR(AllocationUnits="Stories", AllocationUnits="Points"),'Work Indirect'!F227,F227/MAX('Work Indirect'!AB227,1))</f>
        <v>1</v>
      </c>
    </row>
    <row r="228" spans="1:29"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7" t="str">
        <f ca="1">IF(OFFSET('4. Work'!$A$1,ROW(D228)-1,COLUMN(D228)-1)="","",OFFSET('4. Work'!$A$1,ROW(D228)-1,COLUMN(D228)-1))</f>
        <v/>
      </c>
      <c r="E228" s="147"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I228" s="3" t="str">
        <f ca="1">IF(OFFSET('4. Work'!$A$1,ROW(I228)-1,COLUMN(I228)-1)="","",OFFSET('4. Work'!$A$1,ROW(I228)-1,COLUMN(I228)-1))</f>
        <v/>
      </c>
      <c r="T228" s="3" t="str">
        <f ca="1">IF(A228&lt;&gt;"",MAX('Initiative Indirect'!$T:$T)+(ROW(A228)-1),"")</f>
        <v/>
      </c>
      <c r="U228" s="3" t="str">
        <f ca="1">IF(B228&lt;&gt;"",INDEX('Initiative Indirect'!$T:$T,MATCH(B228,'Initiative Indirect'!$A:$A,0)),"")</f>
        <v/>
      </c>
      <c r="V228" s="3" t="str">
        <f ca="1">IF(C228&lt;&gt;"",INDEX('Team Indirect'!$T:$T,MATCH(C228,'Team Indirect'!$A:$A,0)),"")</f>
        <v/>
      </c>
      <c r="W228" s="3"/>
      <c r="X228" s="3"/>
      <c r="Y228" s="3" t="str">
        <f ca="1">IF($C228&lt;&gt;"",INDEX('Team Indirect'!$D:$D,MATCH($C228,'Team Indirect'!$A:$A,0)),"")</f>
        <v/>
      </c>
      <c r="Z228" s="3" t="str">
        <f ca="1">IF($C228&lt;&gt;"",INDEX('Team Indirect'!$E:$E,MATCH($C228,'Team Indirect'!$A:$A,0)),"")</f>
        <v/>
      </c>
      <c r="AA228" s="3" t="str">
        <f ca="1">IF($C228&lt;&gt;"",INDEX('Team Indirect'!$F:$F,MATCH($C228,'Team Indirect'!$A:$A,0)),"")</f>
        <v/>
      </c>
      <c r="AB228" s="3" t="str">
        <f t="shared" ca="1" si="3"/>
        <v/>
      </c>
      <c r="AC228" s="3">
        <f ca="1">IF(OR(AllocationUnits="Stories", AllocationUnits="Points"),'Work Indirect'!F228,F228/MAX('Work Indirect'!AB228,1))</f>
        <v>1</v>
      </c>
    </row>
    <row r="229" spans="1:29"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7" t="str">
        <f ca="1">IF(OFFSET('4. Work'!$A$1,ROW(D229)-1,COLUMN(D229)-1)="","",OFFSET('4. Work'!$A$1,ROW(D229)-1,COLUMN(D229)-1))</f>
        <v/>
      </c>
      <c r="E229" s="147"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I229" s="3" t="str">
        <f ca="1">IF(OFFSET('4. Work'!$A$1,ROW(I229)-1,COLUMN(I229)-1)="","",OFFSET('4. Work'!$A$1,ROW(I229)-1,COLUMN(I229)-1))</f>
        <v/>
      </c>
      <c r="T229" s="3" t="str">
        <f ca="1">IF(A229&lt;&gt;"",MAX('Initiative Indirect'!$T:$T)+(ROW(A229)-1),"")</f>
        <v/>
      </c>
      <c r="U229" s="3" t="str">
        <f ca="1">IF(B229&lt;&gt;"",INDEX('Initiative Indirect'!$T:$T,MATCH(B229,'Initiative Indirect'!$A:$A,0)),"")</f>
        <v/>
      </c>
      <c r="V229" s="3" t="str">
        <f ca="1">IF(C229&lt;&gt;"",INDEX('Team Indirect'!$T:$T,MATCH(C229,'Team Indirect'!$A:$A,0)),"")</f>
        <v/>
      </c>
      <c r="W229" s="3"/>
      <c r="X229" s="3"/>
      <c r="Y229" s="3" t="str">
        <f ca="1">IF($C229&lt;&gt;"",INDEX('Team Indirect'!$D:$D,MATCH($C229,'Team Indirect'!$A:$A,0)),"")</f>
        <v/>
      </c>
      <c r="Z229" s="3" t="str">
        <f ca="1">IF($C229&lt;&gt;"",INDEX('Team Indirect'!$E:$E,MATCH($C229,'Team Indirect'!$A:$A,0)),"")</f>
        <v/>
      </c>
      <c r="AA229" s="3" t="str">
        <f ca="1">IF($C229&lt;&gt;"",INDEX('Team Indirect'!$F:$F,MATCH($C229,'Team Indirect'!$A:$A,0)),"")</f>
        <v/>
      </c>
      <c r="AB229" s="3" t="str">
        <f t="shared" ca="1" si="3"/>
        <v/>
      </c>
      <c r="AC229" s="3">
        <f ca="1">IF(OR(AllocationUnits="Stories", AllocationUnits="Points"),'Work Indirect'!F229,F229/MAX('Work Indirect'!AB229,1))</f>
        <v>1</v>
      </c>
    </row>
    <row r="230" spans="1:29"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7" t="str">
        <f ca="1">IF(OFFSET('4. Work'!$A$1,ROW(D230)-1,COLUMN(D230)-1)="","",OFFSET('4. Work'!$A$1,ROW(D230)-1,COLUMN(D230)-1))</f>
        <v/>
      </c>
      <c r="E230" s="147"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I230" s="3" t="str">
        <f ca="1">IF(OFFSET('4. Work'!$A$1,ROW(I230)-1,COLUMN(I230)-1)="","",OFFSET('4. Work'!$A$1,ROW(I230)-1,COLUMN(I230)-1))</f>
        <v/>
      </c>
      <c r="T230" s="3" t="str">
        <f ca="1">IF(A230&lt;&gt;"",MAX('Initiative Indirect'!$T:$T)+(ROW(A230)-1),"")</f>
        <v/>
      </c>
      <c r="U230" s="3" t="str">
        <f ca="1">IF(B230&lt;&gt;"",INDEX('Initiative Indirect'!$T:$T,MATCH(B230,'Initiative Indirect'!$A:$A,0)),"")</f>
        <v/>
      </c>
      <c r="V230" s="3" t="str">
        <f ca="1">IF(C230&lt;&gt;"",INDEX('Team Indirect'!$T:$T,MATCH(C230,'Team Indirect'!$A:$A,0)),"")</f>
        <v/>
      </c>
      <c r="W230" s="3"/>
      <c r="X230" s="3"/>
      <c r="Y230" s="3" t="str">
        <f ca="1">IF($C230&lt;&gt;"",INDEX('Team Indirect'!$D:$D,MATCH($C230,'Team Indirect'!$A:$A,0)),"")</f>
        <v/>
      </c>
      <c r="Z230" s="3" t="str">
        <f ca="1">IF($C230&lt;&gt;"",INDEX('Team Indirect'!$E:$E,MATCH($C230,'Team Indirect'!$A:$A,0)),"")</f>
        <v/>
      </c>
      <c r="AA230" s="3" t="str">
        <f ca="1">IF($C230&lt;&gt;"",INDEX('Team Indirect'!$F:$F,MATCH($C230,'Team Indirect'!$A:$A,0)),"")</f>
        <v/>
      </c>
      <c r="AB230" s="3" t="str">
        <f t="shared" ca="1" si="3"/>
        <v/>
      </c>
      <c r="AC230" s="3">
        <f ca="1">IF(OR(AllocationUnits="Stories", AllocationUnits="Points"),'Work Indirect'!F230,F230/MAX('Work Indirect'!AB230,1))</f>
        <v>1</v>
      </c>
    </row>
    <row r="231" spans="1:29"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7" t="str">
        <f ca="1">IF(OFFSET('4. Work'!$A$1,ROW(D231)-1,COLUMN(D231)-1)="","",OFFSET('4. Work'!$A$1,ROW(D231)-1,COLUMN(D231)-1))</f>
        <v/>
      </c>
      <c r="E231" s="147"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I231" s="3" t="str">
        <f ca="1">IF(OFFSET('4. Work'!$A$1,ROW(I231)-1,COLUMN(I231)-1)="","",OFFSET('4. Work'!$A$1,ROW(I231)-1,COLUMN(I231)-1))</f>
        <v/>
      </c>
      <c r="T231" s="3" t="str">
        <f ca="1">IF(A231&lt;&gt;"",MAX('Initiative Indirect'!$T:$T)+(ROW(A231)-1),"")</f>
        <v/>
      </c>
      <c r="U231" s="3" t="str">
        <f ca="1">IF(B231&lt;&gt;"",INDEX('Initiative Indirect'!$T:$T,MATCH(B231,'Initiative Indirect'!$A:$A,0)),"")</f>
        <v/>
      </c>
      <c r="V231" s="3" t="str">
        <f ca="1">IF(C231&lt;&gt;"",INDEX('Team Indirect'!$T:$T,MATCH(C231,'Team Indirect'!$A:$A,0)),"")</f>
        <v/>
      </c>
      <c r="W231" s="3"/>
      <c r="X231" s="3"/>
      <c r="Y231" s="3" t="str">
        <f ca="1">IF($C231&lt;&gt;"",INDEX('Team Indirect'!$D:$D,MATCH($C231,'Team Indirect'!$A:$A,0)),"")</f>
        <v/>
      </c>
      <c r="Z231" s="3" t="str">
        <f ca="1">IF($C231&lt;&gt;"",INDEX('Team Indirect'!$E:$E,MATCH($C231,'Team Indirect'!$A:$A,0)),"")</f>
        <v/>
      </c>
      <c r="AA231" s="3" t="str">
        <f ca="1">IF($C231&lt;&gt;"",INDEX('Team Indirect'!$F:$F,MATCH($C231,'Team Indirect'!$A:$A,0)),"")</f>
        <v/>
      </c>
      <c r="AB231" s="3" t="str">
        <f t="shared" ca="1" si="3"/>
        <v/>
      </c>
      <c r="AC231" s="3">
        <f ca="1">IF(OR(AllocationUnits="Stories", AllocationUnits="Points"),'Work Indirect'!F231,F231/MAX('Work Indirect'!AB231,1))</f>
        <v>1</v>
      </c>
    </row>
    <row r="232" spans="1:29"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7" t="str">
        <f ca="1">IF(OFFSET('4. Work'!$A$1,ROW(D232)-1,COLUMN(D232)-1)="","",OFFSET('4. Work'!$A$1,ROW(D232)-1,COLUMN(D232)-1))</f>
        <v/>
      </c>
      <c r="E232" s="147"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I232" s="3" t="str">
        <f ca="1">IF(OFFSET('4. Work'!$A$1,ROW(I232)-1,COLUMN(I232)-1)="","",OFFSET('4. Work'!$A$1,ROW(I232)-1,COLUMN(I232)-1))</f>
        <v/>
      </c>
      <c r="T232" s="3" t="str">
        <f ca="1">IF(A232&lt;&gt;"",MAX('Initiative Indirect'!$T:$T)+(ROW(A232)-1),"")</f>
        <v/>
      </c>
      <c r="U232" s="3" t="str">
        <f ca="1">IF(B232&lt;&gt;"",INDEX('Initiative Indirect'!$T:$T,MATCH(B232,'Initiative Indirect'!$A:$A,0)),"")</f>
        <v/>
      </c>
      <c r="V232" s="3" t="str">
        <f ca="1">IF(C232&lt;&gt;"",INDEX('Team Indirect'!$T:$T,MATCH(C232,'Team Indirect'!$A:$A,0)),"")</f>
        <v/>
      </c>
      <c r="W232" s="3"/>
      <c r="X232" s="3"/>
      <c r="Y232" s="3" t="str">
        <f ca="1">IF($C232&lt;&gt;"",INDEX('Team Indirect'!$D:$D,MATCH($C232,'Team Indirect'!$A:$A,0)),"")</f>
        <v/>
      </c>
      <c r="Z232" s="3" t="str">
        <f ca="1">IF($C232&lt;&gt;"",INDEX('Team Indirect'!$E:$E,MATCH($C232,'Team Indirect'!$A:$A,0)),"")</f>
        <v/>
      </c>
      <c r="AA232" s="3" t="str">
        <f ca="1">IF($C232&lt;&gt;"",INDEX('Team Indirect'!$F:$F,MATCH($C232,'Team Indirect'!$A:$A,0)),"")</f>
        <v/>
      </c>
      <c r="AB232" s="3" t="str">
        <f t="shared" ca="1" si="3"/>
        <v/>
      </c>
      <c r="AC232" s="3">
        <f ca="1">IF(OR(AllocationUnits="Stories", AllocationUnits="Points"),'Work Indirect'!F232,F232/MAX('Work Indirect'!AB232,1))</f>
        <v>1</v>
      </c>
    </row>
    <row r="233" spans="1:29"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7" t="str">
        <f ca="1">IF(OFFSET('4. Work'!$A$1,ROW(D233)-1,COLUMN(D233)-1)="","",OFFSET('4. Work'!$A$1,ROW(D233)-1,COLUMN(D233)-1))</f>
        <v/>
      </c>
      <c r="E233" s="147"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I233" s="3" t="str">
        <f ca="1">IF(OFFSET('4. Work'!$A$1,ROW(I233)-1,COLUMN(I233)-1)="","",OFFSET('4. Work'!$A$1,ROW(I233)-1,COLUMN(I233)-1))</f>
        <v/>
      </c>
      <c r="T233" s="3" t="str">
        <f ca="1">IF(A233&lt;&gt;"",MAX('Initiative Indirect'!$T:$T)+(ROW(A233)-1),"")</f>
        <v/>
      </c>
      <c r="U233" s="3" t="str">
        <f ca="1">IF(B233&lt;&gt;"",INDEX('Initiative Indirect'!$T:$T,MATCH(B233,'Initiative Indirect'!$A:$A,0)),"")</f>
        <v/>
      </c>
      <c r="V233" s="3" t="str">
        <f ca="1">IF(C233&lt;&gt;"",INDEX('Team Indirect'!$T:$T,MATCH(C233,'Team Indirect'!$A:$A,0)),"")</f>
        <v/>
      </c>
      <c r="W233" s="3"/>
      <c r="X233" s="3"/>
      <c r="Y233" s="3" t="str">
        <f ca="1">IF($C233&lt;&gt;"",INDEX('Team Indirect'!$D:$D,MATCH($C233,'Team Indirect'!$A:$A,0)),"")</f>
        <v/>
      </c>
      <c r="Z233" s="3" t="str">
        <f ca="1">IF($C233&lt;&gt;"",INDEX('Team Indirect'!$E:$E,MATCH($C233,'Team Indirect'!$A:$A,0)),"")</f>
        <v/>
      </c>
      <c r="AA233" s="3" t="str">
        <f ca="1">IF($C233&lt;&gt;"",INDEX('Team Indirect'!$F:$F,MATCH($C233,'Team Indirect'!$A:$A,0)),"")</f>
        <v/>
      </c>
      <c r="AB233" s="3" t="str">
        <f t="shared" ca="1" si="3"/>
        <v/>
      </c>
      <c r="AC233" s="3">
        <f ca="1">IF(OR(AllocationUnits="Stories", AllocationUnits="Points"),'Work Indirect'!F233,F233/MAX('Work Indirect'!AB233,1))</f>
        <v>1</v>
      </c>
    </row>
    <row r="234" spans="1:29"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7" t="str">
        <f ca="1">IF(OFFSET('4. Work'!$A$1,ROW(D234)-1,COLUMN(D234)-1)="","",OFFSET('4. Work'!$A$1,ROW(D234)-1,COLUMN(D234)-1))</f>
        <v/>
      </c>
      <c r="E234" s="147"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I234" s="3" t="str">
        <f ca="1">IF(OFFSET('4. Work'!$A$1,ROW(I234)-1,COLUMN(I234)-1)="","",OFFSET('4. Work'!$A$1,ROW(I234)-1,COLUMN(I234)-1))</f>
        <v/>
      </c>
      <c r="T234" s="3" t="str">
        <f ca="1">IF(A234&lt;&gt;"",MAX('Initiative Indirect'!$T:$T)+(ROW(A234)-1),"")</f>
        <v/>
      </c>
      <c r="U234" s="3" t="str">
        <f ca="1">IF(B234&lt;&gt;"",INDEX('Initiative Indirect'!$T:$T,MATCH(B234,'Initiative Indirect'!$A:$A,0)),"")</f>
        <v/>
      </c>
      <c r="V234" s="3" t="str">
        <f ca="1">IF(C234&lt;&gt;"",INDEX('Team Indirect'!$T:$T,MATCH(C234,'Team Indirect'!$A:$A,0)),"")</f>
        <v/>
      </c>
      <c r="W234" s="3"/>
      <c r="X234" s="3"/>
      <c r="Y234" s="3" t="str">
        <f ca="1">IF($C234&lt;&gt;"",INDEX('Team Indirect'!$D:$D,MATCH($C234,'Team Indirect'!$A:$A,0)),"")</f>
        <v/>
      </c>
      <c r="Z234" s="3" t="str">
        <f ca="1">IF($C234&lt;&gt;"",INDEX('Team Indirect'!$E:$E,MATCH($C234,'Team Indirect'!$A:$A,0)),"")</f>
        <v/>
      </c>
      <c r="AA234" s="3" t="str">
        <f ca="1">IF($C234&lt;&gt;"",INDEX('Team Indirect'!$F:$F,MATCH($C234,'Team Indirect'!$A:$A,0)),"")</f>
        <v/>
      </c>
      <c r="AB234" s="3" t="str">
        <f t="shared" ca="1" si="3"/>
        <v/>
      </c>
      <c r="AC234" s="3">
        <f ca="1">IF(OR(AllocationUnits="Stories", AllocationUnits="Points"),'Work Indirect'!F234,F234/MAX('Work Indirect'!AB234,1))</f>
        <v>1</v>
      </c>
    </row>
    <row r="235" spans="1:29"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7" t="str">
        <f ca="1">IF(OFFSET('4. Work'!$A$1,ROW(D235)-1,COLUMN(D235)-1)="","",OFFSET('4. Work'!$A$1,ROW(D235)-1,COLUMN(D235)-1))</f>
        <v/>
      </c>
      <c r="E235" s="147"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I235" s="3" t="str">
        <f ca="1">IF(OFFSET('4. Work'!$A$1,ROW(I235)-1,COLUMN(I235)-1)="","",OFFSET('4. Work'!$A$1,ROW(I235)-1,COLUMN(I235)-1))</f>
        <v/>
      </c>
      <c r="T235" s="3" t="str">
        <f ca="1">IF(A235&lt;&gt;"",MAX('Initiative Indirect'!$T:$T)+(ROW(A235)-1),"")</f>
        <v/>
      </c>
      <c r="U235" s="3" t="str">
        <f ca="1">IF(B235&lt;&gt;"",INDEX('Initiative Indirect'!$T:$T,MATCH(B235,'Initiative Indirect'!$A:$A,0)),"")</f>
        <v/>
      </c>
      <c r="V235" s="3" t="str">
        <f ca="1">IF(C235&lt;&gt;"",INDEX('Team Indirect'!$T:$T,MATCH(C235,'Team Indirect'!$A:$A,0)),"")</f>
        <v/>
      </c>
      <c r="W235" s="3"/>
      <c r="X235" s="3"/>
      <c r="Y235" s="3" t="str">
        <f ca="1">IF($C235&lt;&gt;"",INDEX('Team Indirect'!$D:$D,MATCH($C235,'Team Indirect'!$A:$A,0)),"")</f>
        <v/>
      </c>
      <c r="Z235" s="3" t="str">
        <f ca="1">IF($C235&lt;&gt;"",INDEX('Team Indirect'!$E:$E,MATCH($C235,'Team Indirect'!$A:$A,0)),"")</f>
        <v/>
      </c>
      <c r="AA235" s="3" t="str">
        <f ca="1">IF($C235&lt;&gt;"",INDEX('Team Indirect'!$F:$F,MATCH($C235,'Team Indirect'!$A:$A,0)),"")</f>
        <v/>
      </c>
      <c r="AB235" s="3" t="str">
        <f t="shared" ca="1" si="3"/>
        <v/>
      </c>
      <c r="AC235" s="3">
        <f ca="1">IF(OR(AllocationUnits="Stories", AllocationUnits="Points"),'Work Indirect'!F235,F235/MAX('Work Indirect'!AB235,1))</f>
        <v>1</v>
      </c>
    </row>
    <row r="236" spans="1:29"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7" t="str">
        <f ca="1">IF(OFFSET('4. Work'!$A$1,ROW(D236)-1,COLUMN(D236)-1)="","",OFFSET('4. Work'!$A$1,ROW(D236)-1,COLUMN(D236)-1))</f>
        <v/>
      </c>
      <c r="E236" s="147"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I236" s="3" t="str">
        <f ca="1">IF(OFFSET('4. Work'!$A$1,ROW(I236)-1,COLUMN(I236)-1)="","",OFFSET('4. Work'!$A$1,ROW(I236)-1,COLUMN(I236)-1))</f>
        <v/>
      </c>
      <c r="T236" s="3" t="str">
        <f ca="1">IF(A236&lt;&gt;"",MAX('Initiative Indirect'!$T:$T)+(ROW(A236)-1),"")</f>
        <v/>
      </c>
      <c r="U236" s="3" t="str">
        <f ca="1">IF(B236&lt;&gt;"",INDEX('Initiative Indirect'!$T:$T,MATCH(B236,'Initiative Indirect'!$A:$A,0)),"")</f>
        <v/>
      </c>
      <c r="V236" s="3" t="str">
        <f ca="1">IF(C236&lt;&gt;"",INDEX('Team Indirect'!$T:$T,MATCH(C236,'Team Indirect'!$A:$A,0)),"")</f>
        <v/>
      </c>
      <c r="W236" s="3"/>
      <c r="X236" s="3"/>
      <c r="Y236" s="3" t="str">
        <f ca="1">IF($C236&lt;&gt;"",INDEX('Team Indirect'!$D:$D,MATCH($C236,'Team Indirect'!$A:$A,0)),"")</f>
        <v/>
      </c>
      <c r="Z236" s="3" t="str">
        <f ca="1">IF($C236&lt;&gt;"",INDEX('Team Indirect'!$E:$E,MATCH($C236,'Team Indirect'!$A:$A,0)),"")</f>
        <v/>
      </c>
      <c r="AA236" s="3" t="str">
        <f ca="1">IF($C236&lt;&gt;"",INDEX('Team Indirect'!$F:$F,MATCH($C236,'Team Indirect'!$A:$A,0)),"")</f>
        <v/>
      </c>
      <c r="AB236" s="3" t="str">
        <f t="shared" ca="1" si="3"/>
        <v/>
      </c>
      <c r="AC236" s="3">
        <f ca="1">IF(OR(AllocationUnits="Stories", AllocationUnits="Points"),'Work Indirect'!F236,F236/MAX('Work Indirect'!AB236,1))</f>
        <v>1</v>
      </c>
    </row>
    <row r="237" spans="1:29"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7" t="str">
        <f ca="1">IF(OFFSET('4. Work'!$A$1,ROW(D237)-1,COLUMN(D237)-1)="","",OFFSET('4. Work'!$A$1,ROW(D237)-1,COLUMN(D237)-1))</f>
        <v/>
      </c>
      <c r="E237" s="147"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I237" s="3" t="str">
        <f ca="1">IF(OFFSET('4. Work'!$A$1,ROW(I237)-1,COLUMN(I237)-1)="","",OFFSET('4. Work'!$A$1,ROW(I237)-1,COLUMN(I237)-1))</f>
        <v/>
      </c>
      <c r="T237" s="3" t="str">
        <f ca="1">IF(A237&lt;&gt;"",MAX('Initiative Indirect'!$T:$T)+(ROW(A237)-1),"")</f>
        <v/>
      </c>
      <c r="U237" s="3" t="str">
        <f ca="1">IF(B237&lt;&gt;"",INDEX('Initiative Indirect'!$T:$T,MATCH(B237,'Initiative Indirect'!$A:$A,0)),"")</f>
        <v/>
      </c>
      <c r="V237" s="3" t="str">
        <f ca="1">IF(C237&lt;&gt;"",INDEX('Team Indirect'!$T:$T,MATCH(C237,'Team Indirect'!$A:$A,0)),"")</f>
        <v/>
      </c>
      <c r="W237" s="3"/>
      <c r="X237" s="3"/>
      <c r="Y237" s="3" t="str">
        <f ca="1">IF($C237&lt;&gt;"",INDEX('Team Indirect'!$D:$D,MATCH($C237,'Team Indirect'!$A:$A,0)),"")</f>
        <v/>
      </c>
      <c r="Z237" s="3" t="str">
        <f ca="1">IF($C237&lt;&gt;"",INDEX('Team Indirect'!$E:$E,MATCH($C237,'Team Indirect'!$A:$A,0)),"")</f>
        <v/>
      </c>
      <c r="AA237" s="3" t="str">
        <f ca="1">IF($C237&lt;&gt;"",INDEX('Team Indirect'!$F:$F,MATCH($C237,'Team Indirect'!$A:$A,0)),"")</f>
        <v/>
      </c>
      <c r="AB237" s="3" t="str">
        <f t="shared" ca="1" si="3"/>
        <v/>
      </c>
      <c r="AC237" s="3">
        <f ca="1">IF(OR(AllocationUnits="Stories", AllocationUnits="Points"),'Work Indirect'!F237,F237/MAX('Work Indirect'!AB237,1))</f>
        <v>1</v>
      </c>
    </row>
    <row r="238" spans="1:29"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7" t="str">
        <f ca="1">IF(OFFSET('4. Work'!$A$1,ROW(D238)-1,COLUMN(D238)-1)="","",OFFSET('4. Work'!$A$1,ROW(D238)-1,COLUMN(D238)-1))</f>
        <v/>
      </c>
      <c r="E238" s="147"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I238" s="3" t="str">
        <f ca="1">IF(OFFSET('4. Work'!$A$1,ROW(I238)-1,COLUMN(I238)-1)="","",OFFSET('4. Work'!$A$1,ROW(I238)-1,COLUMN(I238)-1))</f>
        <v/>
      </c>
      <c r="T238" s="3" t="str">
        <f ca="1">IF(A238&lt;&gt;"",MAX('Initiative Indirect'!$T:$T)+(ROW(A238)-1),"")</f>
        <v/>
      </c>
      <c r="U238" s="3" t="str">
        <f ca="1">IF(B238&lt;&gt;"",INDEX('Initiative Indirect'!$T:$T,MATCH(B238,'Initiative Indirect'!$A:$A,0)),"")</f>
        <v/>
      </c>
      <c r="V238" s="3" t="str">
        <f ca="1">IF(C238&lt;&gt;"",INDEX('Team Indirect'!$T:$T,MATCH(C238,'Team Indirect'!$A:$A,0)),"")</f>
        <v/>
      </c>
      <c r="W238" s="3"/>
      <c r="X238" s="3"/>
      <c r="Y238" s="3" t="str">
        <f ca="1">IF($C238&lt;&gt;"",INDEX('Team Indirect'!$D:$D,MATCH($C238,'Team Indirect'!$A:$A,0)),"")</f>
        <v/>
      </c>
      <c r="Z238" s="3" t="str">
        <f ca="1">IF($C238&lt;&gt;"",INDEX('Team Indirect'!$E:$E,MATCH($C238,'Team Indirect'!$A:$A,0)),"")</f>
        <v/>
      </c>
      <c r="AA238" s="3" t="str">
        <f ca="1">IF($C238&lt;&gt;"",INDEX('Team Indirect'!$F:$F,MATCH($C238,'Team Indirect'!$A:$A,0)),"")</f>
        <v/>
      </c>
      <c r="AB238" s="3" t="str">
        <f t="shared" ca="1" si="3"/>
        <v/>
      </c>
      <c r="AC238" s="3">
        <f ca="1">IF(OR(AllocationUnits="Stories", AllocationUnits="Points"),'Work Indirect'!F238,F238/MAX('Work Indirect'!AB238,1))</f>
        <v>1</v>
      </c>
    </row>
    <row r="239" spans="1:29"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7" t="str">
        <f ca="1">IF(OFFSET('4. Work'!$A$1,ROW(D239)-1,COLUMN(D239)-1)="","",OFFSET('4. Work'!$A$1,ROW(D239)-1,COLUMN(D239)-1))</f>
        <v/>
      </c>
      <c r="E239" s="147"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I239" s="3" t="str">
        <f ca="1">IF(OFFSET('4. Work'!$A$1,ROW(I239)-1,COLUMN(I239)-1)="","",OFFSET('4. Work'!$A$1,ROW(I239)-1,COLUMN(I239)-1))</f>
        <v/>
      </c>
      <c r="T239" s="3" t="str">
        <f ca="1">IF(A239&lt;&gt;"",MAX('Initiative Indirect'!$T:$T)+(ROW(A239)-1),"")</f>
        <v/>
      </c>
      <c r="U239" s="3" t="str">
        <f ca="1">IF(B239&lt;&gt;"",INDEX('Initiative Indirect'!$T:$T,MATCH(B239,'Initiative Indirect'!$A:$A,0)),"")</f>
        <v/>
      </c>
      <c r="V239" s="3" t="str">
        <f ca="1">IF(C239&lt;&gt;"",INDEX('Team Indirect'!$T:$T,MATCH(C239,'Team Indirect'!$A:$A,0)),"")</f>
        <v/>
      </c>
      <c r="W239" s="3"/>
      <c r="X239" s="3"/>
      <c r="Y239" s="3" t="str">
        <f ca="1">IF($C239&lt;&gt;"",INDEX('Team Indirect'!$D:$D,MATCH($C239,'Team Indirect'!$A:$A,0)),"")</f>
        <v/>
      </c>
      <c r="Z239" s="3" t="str">
        <f ca="1">IF($C239&lt;&gt;"",INDEX('Team Indirect'!$E:$E,MATCH($C239,'Team Indirect'!$A:$A,0)),"")</f>
        <v/>
      </c>
      <c r="AA239" s="3" t="str">
        <f ca="1">IF($C239&lt;&gt;"",INDEX('Team Indirect'!$F:$F,MATCH($C239,'Team Indirect'!$A:$A,0)),"")</f>
        <v/>
      </c>
      <c r="AB239" s="3" t="str">
        <f t="shared" ca="1" si="3"/>
        <v/>
      </c>
      <c r="AC239" s="3">
        <f ca="1">IF(OR(AllocationUnits="Stories", AllocationUnits="Points"),'Work Indirect'!F239,F239/MAX('Work Indirect'!AB239,1))</f>
        <v>1</v>
      </c>
    </row>
    <row r="240" spans="1:29"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7" t="str">
        <f ca="1">IF(OFFSET('4. Work'!$A$1,ROW(D240)-1,COLUMN(D240)-1)="","",OFFSET('4. Work'!$A$1,ROW(D240)-1,COLUMN(D240)-1))</f>
        <v/>
      </c>
      <c r="E240" s="147"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I240" s="3" t="str">
        <f ca="1">IF(OFFSET('4. Work'!$A$1,ROW(I240)-1,COLUMN(I240)-1)="","",OFFSET('4. Work'!$A$1,ROW(I240)-1,COLUMN(I240)-1))</f>
        <v/>
      </c>
      <c r="T240" s="3" t="str">
        <f ca="1">IF(A240&lt;&gt;"",MAX('Initiative Indirect'!$T:$T)+(ROW(A240)-1),"")</f>
        <v/>
      </c>
      <c r="U240" s="3" t="str">
        <f ca="1">IF(B240&lt;&gt;"",INDEX('Initiative Indirect'!$T:$T,MATCH(B240,'Initiative Indirect'!$A:$A,0)),"")</f>
        <v/>
      </c>
      <c r="V240" s="3" t="str">
        <f ca="1">IF(C240&lt;&gt;"",INDEX('Team Indirect'!$T:$T,MATCH(C240,'Team Indirect'!$A:$A,0)),"")</f>
        <v/>
      </c>
      <c r="W240" s="3"/>
      <c r="X240" s="3"/>
      <c r="Y240" s="3" t="str">
        <f ca="1">IF($C240&lt;&gt;"",INDEX('Team Indirect'!$D:$D,MATCH($C240,'Team Indirect'!$A:$A,0)),"")</f>
        <v/>
      </c>
      <c r="Z240" s="3" t="str">
        <f ca="1">IF($C240&lt;&gt;"",INDEX('Team Indirect'!$E:$E,MATCH($C240,'Team Indirect'!$A:$A,0)),"")</f>
        <v/>
      </c>
      <c r="AA240" s="3" t="str">
        <f ca="1">IF($C240&lt;&gt;"",INDEX('Team Indirect'!$F:$F,MATCH($C240,'Team Indirect'!$A:$A,0)),"")</f>
        <v/>
      </c>
      <c r="AB240" s="3" t="str">
        <f t="shared" ca="1" si="3"/>
        <v/>
      </c>
      <c r="AC240" s="3">
        <f ca="1">IF(OR(AllocationUnits="Stories", AllocationUnits="Points"),'Work Indirect'!F240,F240/MAX('Work Indirect'!AB240,1))</f>
        <v>1</v>
      </c>
    </row>
    <row r="241" spans="1:29"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7" t="str">
        <f ca="1">IF(OFFSET('4. Work'!$A$1,ROW(D241)-1,COLUMN(D241)-1)="","",OFFSET('4. Work'!$A$1,ROW(D241)-1,COLUMN(D241)-1))</f>
        <v/>
      </c>
      <c r="E241" s="147"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I241" s="3" t="str">
        <f ca="1">IF(OFFSET('4. Work'!$A$1,ROW(I241)-1,COLUMN(I241)-1)="","",OFFSET('4. Work'!$A$1,ROW(I241)-1,COLUMN(I241)-1))</f>
        <v/>
      </c>
      <c r="T241" s="3" t="str">
        <f ca="1">IF(A241&lt;&gt;"",MAX('Initiative Indirect'!$T:$T)+(ROW(A241)-1),"")</f>
        <v/>
      </c>
      <c r="U241" s="3" t="str">
        <f ca="1">IF(B241&lt;&gt;"",INDEX('Initiative Indirect'!$T:$T,MATCH(B241,'Initiative Indirect'!$A:$A,0)),"")</f>
        <v/>
      </c>
      <c r="V241" s="3" t="str">
        <f ca="1">IF(C241&lt;&gt;"",INDEX('Team Indirect'!$T:$T,MATCH(C241,'Team Indirect'!$A:$A,0)),"")</f>
        <v/>
      </c>
      <c r="W241" s="3"/>
      <c r="X241" s="3"/>
      <c r="Y241" s="3" t="str">
        <f ca="1">IF($C241&lt;&gt;"",INDEX('Team Indirect'!$D:$D,MATCH($C241,'Team Indirect'!$A:$A,0)),"")</f>
        <v/>
      </c>
      <c r="Z241" s="3" t="str">
        <f ca="1">IF($C241&lt;&gt;"",INDEX('Team Indirect'!$E:$E,MATCH($C241,'Team Indirect'!$A:$A,0)),"")</f>
        <v/>
      </c>
      <c r="AA241" s="3" t="str">
        <f ca="1">IF($C241&lt;&gt;"",INDEX('Team Indirect'!$F:$F,MATCH($C241,'Team Indirect'!$A:$A,0)),"")</f>
        <v/>
      </c>
      <c r="AB241" s="3" t="str">
        <f t="shared" ca="1" si="3"/>
        <v/>
      </c>
      <c r="AC241" s="3">
        <f ca="1">IF(OR(AllocationUnits="Stories", AllocationUnits="Points"),'Work Indirect'!F241,F241/MAX('Work Indirect'!AB241,1))</f>
        <v>1</v>
      </c>
    </row>
    <row r="242" spans="1:29"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7" t="str">
        <f ca="1">IF(OFFSET('4. Work'!$A$1,ROW(D242)-1,COLUMN(D242)-1)="","",OFFSET('4. Work'!$A$1,ROW(D242)-1,COLUMN(D242)-1))</f>
        <v/>
      </c>
      <c r="E242" s="147"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I242" s="3" t="str">
        <f ca="1">IF(OFFSET('4. Work'!$A$1,ROW(I242)-1,COLUMN(I242)-1)="","",OFFSET('4. Work'!$A$1,ROW(I242)-1,COLUMN(I242)-1))</f>
        <v/>
      </c>
      <c r="T242" s="3" t="str">
        <f ca="1">IF(A242&lt;&gt;"",MAX('Initiative Indirect'!$T:$T)+(ROW(A242)-1),"")</f>
        <v/>
      </c>
      <c r="U242" s="3" t="str">
        <f ca="1">IF(B242&lt;&gt;"",INDEX('Initiative Indirect'!$T:$T,MATCH(B242,'Initiative Indirect'!$A:$A,0)),"")</f>
        <v/>
      </c>
      <c r="V242" s="3" t="str">
        <f ca="1">IF(C242&lt;&gt;"",INDEX('Team Indirect'!$T:$T,MATCH(C242,'Team Indirect'!$A:$A,0)),"")</f>
        <v/>
      </c>
      <c r="W242" s="3"/>
      <c r="X242" s="3"/>
      <c r="Y242" s="3" t="str">
        <f ca="1">IF($C242&lt;&gt;"",INDEX('Team Indirect'!$D:$D,MATCH($C242,'Team Indirect'!$A:$A,0)),"")</f>
        <v/>
      </c>
      <c r="Z242" s="3" t="str">
        <f ca="1">IF($C242&lt;&gt;"",INDEX('Team Indirect'!$E:$E,MATCH($C242,'Team Indirect'!$A:$A,0)),"")</f>
        <v/>
      </c>
      <c r="AA242" s="3" t="str">
        <f ca="1">IF($C242&lt;&gt;"",INDEX('Team Indirect'!$F:$F,MATCH($C242,'Team Indirect'!$A:$A,0)),"")</f>
        <v/>
      </c>
      <c r="AB242" s="3" t="str">
        <f t="shared" ca="1" si="3"/>
        <v/>
      </c>
      <c r="AC242" s="3">
        <f ca="1">IF(OR(AllocationUnits="Stories", AllocationUnits="Points"),'Work Indirect'!F242,F242/MAX('Work Indirect'!AB242,1))</f>
        <v>1</v>
      </c>
    </row>
    <row r="243" spans="1:29"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7" t="str">
        <f ca="1">IF(OFFSET('4. Work'!$A$1,ROW(D243)-1,COLUMN(D243)-1)="","",OFFSET('4. Work'!$A$1,ROW(D243)-1,COLUMN(D243)-1))</f>
        <v/>
      </c>
      <c r="E243" s="147"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I243" s="3" t="str">
        <f ca="1">IF(OFFSET('4. Work'!$A$1,ROW(I243)-1,COLUMN(I243)-1)="","",OFFSET('4. Work'!$A$1,ROW(I243)-1,COLUMN(I243)-1))</f>
        <v/>
      </c>
      <c r="T243" s="3" t="str">
        <f ca="1">IF(A243&lt;&gt;"",MAX('Initiative Indirect'!$T:$T)+(ROW(A243)-1),"")</f>
        <v/>
      </c>
      <c r="U243" s="3" t="str">
        <f ca="1">IF(B243&lt;&gt;"",INDEX('Initiative Indirect'!$T:$T,MATCH(B243,'Initiative Indirect'!$A:$A,0)),"")</f>
        <v/>
      </c>
      <c r="V243" s="3" t="str">
        <f ca="1">IF(C243&lt;&gt;"",INDEX('Team Indirect'!$T:$T,MATCH(C243,'Team Indirect'!$A:$A,0)),"")</f>
        <v/>
      </c>
      <c r="W243" s="3"/>
      <c r="X243" s="3"/>
      <c r="Y243" s="3" t="str">
        <f ca="1">IF($C243&lt;&gt;"",INDEX('Team Indirect'!$D:$D,MATCH($C243,'Team Indirect'!$A:$A,0)),"")</f>
        <v/>
      </c>
      <c r="Z243" s="3" t="str">
        <f ca="1">IF($C243&lt;&gt;"",INDEX('Team Indirect'!$E:$E,MATCH($C243,'Team Indirect'!$A:$A,0)),"")</f>
        <v/>
      </c>
      <c r="AA243" s="3" t="str">
        <f ca="1">IF($C243&lt;&gt;"",INDEX('Team Indirect'!$F:$F,MATCH($C243,'Team Indirect'!$A:$A,0)),"")</f>
        <v/>
      </c>
      <c r="AB243" s="3" t="str">
        <f t="shared" ca="1" si="3"/>
        <v/>
      </c>
      <c r="AC243" s="3">
        <f ca="1">IF(OR(AllocationUnits="Stories", AllocationUnits="Points"),'Work Indirect'!F243,F243/MAX('Work Indirect'!AB243,1))</f>
        <v>1</v>
      </c>
    </row>
    <row r="244" spans="1:29"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7" t="str">
        <f ca="1">IF(OFFSET('4. Work'!$A$1,ROW(D244)-1,COLUMN(D244)-1)="","",OFFSET('4. Work'!$A$1,ROW(D244)-1,COLUMN(D244)-1))</f>
        <v/>
      </c>
      <c r="E244" s="147"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I244" s="3" t="str">
        <f ca="1">IF(OFFSET('4. Work'!$A$1,ROW(I244)-1,COLUMN(I244)-1)="","",OFFSET('4. Work'!$A$1,ROW(I244)-1,COLUMN(I244)-1))</f>
        <v/>
      </c>
      <c r="T244" s="3" t="str">
        <f ca="1">IF(A244&lt;&gt;"",MAX('Initiative Indirect'!$T:$T)+(ROW(A244)-1),"")</f>
        <v/>
      </c>
      <c r="U244" s="3" t="str">
        <f ca="1">IF(B244&lt;&gt;"",INDEX('Initiative Indirect'!$T:$T,MATCH(B244,'Initiative Indirect'!$A:$A,0)),"")</f>
        <v/>
      </c>
      <c r="V244" s="3" t="str">
        <f ca="1">IF(C244&lt;&gt;"",INDEX('Team Indirect'!$T:$T,MATCH(C244,'Team Indirect'!$A:$A,0)),"")</f>
        <v/>
      </c>
      <c r="W244" s="3"/>
      <c r="X244" s="3"/>
      <c r="Y244" s="3" t="str">
        <f ca="1">IF($C244&lt;&gt;"",INDEX('Team Indirect'!$D:$D,MATCH($C244,'Team Indirect'!$A:$A,0)),"")</f>
        <v/>
      </c>
      <c r="Z244" s="3" t="str">
        <f ca="1">IF($C244&lt;&gt;"",INDEX('Team Indirect'!$E:$E,MATCH($C244,'Team Indirect'!$A:$A,0)),"")</f>
        <v/>
      </c>
      <c r="AA244" s="3" t="str">
        <f ca="1">IF($C244&lt;&gt;"",INDEX('Team Indirect'!$F:$F,MATCH($C244,'Team Indirect'!$A:$A,0)),"")</f>
        <v/>
      </c>
      <c r="AB244" s="3" t="str">
        <f t="shared" ca="1" si="3"/>
        <v/>
      </c>
      <c r="AC244" s="3">
        <f ca="1">IF(OR(AllocationUnits="Stories", AllocationUnits="Points"),'Work Indirect'!F244,F244/MAX('Work Indirect'!AB244,1))</f>
        <v>1</v>
      </c>
    </row>
    <row r="245" spans="1:29"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7" t="str">
        <f ca="1">IF(OFFSET('4. Work'!$A$1,ROW(D245)-1,COLUMN(D245)-1)="","",OFFSET('4. Work'!$A$1,ROW(D245)-1,COLUMN(D245)-1))</f>
        <v/>
      </c>
      <c r="E245" s="147"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I245" s="3" t="str">
        <f ca="1">IF(OFFSET('4. Work'!$A$1,ROW(I245)-1,COLUMN(I245)-1)="","",OFFSET('4. Work'!$A$1,ROW(I245)-1,COLUMN(I245)-1))</f>
        <v/>
      </c>
      <c r="T245" s="3" t="str">
        <f ca="1">IF(A245&lt;&gt;"",MAX('Initiative Indirect'!$T:$T)+(ROW(A245)-1),"")</f>
        <v/>
      </c>
      <c r="U245" s="3" t="str">
        <f ca="1">IF(B245&lt;&gt;"",INDEX('Initiative Indirect'!$T:$T,MATCH(B245,'Initiative Indirect'!$A:$A,0)),"")</f>
        <v/>
      </c>
      <c r="V245" s="3" t="str">
        <f ca="1">IF(C245&lt;&gt;"",INDEX('Team Indirect'!$T:$T,MATCH(C245,'Team Indirect'!$A:$A,0)),"")</f>
        <v/>
      </c>
      <c r="W245" s="3"/>
      <c r="X245" s="3"/>
      <c r="Y245" s="3" t="str">
        <f ca="1">IF($C245&lt;&gt;"",INDEX('Team Indirect'!$D:$D,MATCH($C245,'Team Indirect'!$A:$A,0)),"")</f>
        <v/>
      </c>
      <c r="Z245" s="3" t="str">
        <f ca="1">IF($C245&lt;&gt;"",INDEX('Team Indirect'!$E:$E,MATCH($C245,'Team Indirect'!$A:$A,0)),"")</f>
        <v/>
      </c>
      <c r="AA245" s="3" t="str">
        <f ca="1">IF($C245&lt;&gt;"",INDEX('Team Indirect'!$F:$F,MATCH($C245,'Team Indirect'!$A:$A,0)),"")</f>
        <v/>
      </c>
      <c r="AB245" s="3" t="str">
        <f t="shared" ca="1" si="3"/>
        <v/>
      </c>
      <c r="AC245" s="3">
        <f ca="1">IF(OR(AllocationUnits="Stories", AllocationUnits="Points"),'Work Indirect'!F245,F245/MAX('Work Indirect'!AB245,1))</f>
        <v>1</v>
      </c>
    </row>
    <row r="246" spans="1:29"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7" t="str">
        <f ca="1">IF(OFFSET('4. Work'!$A$1,ROW(D246)-1,COLUMN(D246)-1)="","",OFFSET('4. Work'!$A$1,ROW(D246)-1,COLUMN(D246)-1))</f>
        <v/>
      </c>
      <c r="E246" s="147"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I246" s="3" t="str">
        <f ca="1">IF(OFFSET('4. Work'!$A$1,ROW(I246)-1,COLUMN(I246)-1)="","",OFFSET('4. Work'!$A$1,ROW(I246)-1,COLUMN(I246)-1))</f>
        <v/>
      </c>
      <c r="T246" s="3" t="str">
        <f ca="1">IF(A246&lt;&gt;"",MAX('Initiative Indirect'!$T:$T)+(ROW(A246)-1),"")</f>
        <v/>
      </c>
      <c r="U246" s="3" t="str">
        <f ca="1">IF(B246&lt;&gt;"",INDEX('Initiative Indirect'!$T:$T,MATCH(B246,'Initiative Indirect'!$A:$A,0)),"")</f>
        <v/>
      </c>
      <c r="V246" s="3" t="str">
        <f ca="1">IF(C246&lt;&gt;"",INDEX('Team Indirect'!$T:$T,MATCH(C246,'Team Indirect'!$A:$A,0)),"")</f>
        <v/>
      </c>
      <c r="W246" s="3"/>
      <c r="X246" s="3"/>
      <c r="Y246" s="3" t="str">
        <f ca="1">IF($C246&lt;&gt;"",INDEX('Team Indirect'!$D:$D,MATCH($C246,'Team Indirect'!$A:$A,0)),"")</f>
        <v/>
      </c>
      <c r="Z246" s="3" t="str">
        <f ca="1">IF($C246&lt;&gt;"",INDEX('Team Indirect'!$E:$E,MATCH($C246,'Team Indirect'!$A:$A,0)),"")</f>
        <v/>
      </c>
      <c r="AA246" s="3" t="str">
        <f ca="1">IF($C246&lt;&gt;"",INDEX('Team Indirect'!$F:$F,MATCH($C246,'Team Indirect'!$A:$A,0)),"")</f>
        <v/>
      </c>
      <c r="AB246" s="3" t="str">
        <f t="shared" ca="1" si="3"/>
        <v/>
      </c>
      <c r="AC246" s="3">
        <f ca="1">IF(OR(AllocationUnits="Stories", AllocationUnits="Points"),'Work Indirect'!F246,F246/MAX('Work Indirect'!AB246,1))</f>
        <v>1</v>
      </c>
    </row>
    <row r="247" spans="1:29"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7" t="str">
        <f ca="1">IF(OFFSET('4. Work'!$A$1,ROW(D247)-1,COLUMN(D247)-1)="","",OFFSET('4. Work'!$A$1,ROW(D247)-1,COLUMN(D247)-1))</f>
        <v/>
      </c>
      <c r="E247" s="147"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I247" s="3" t="str">
        <f ca="1">IF(OFFSET('4. Work'!$A$1,ROW(I247)-1,COLUMN(I247)-1)="","",OFFSET('4. Work'!$A$1,ROW(I247)-1,COLUMN(I247)-1))</f>
        <v/>
      </c>
      <c r="T247" s="3" t="str">
        <f ca="1">IF(A247&lt;&gt;"",MAX('Initiative Indirect'!$T:$T)+(ROW(A247)-1),"")</f>
        <v/>
      </c>
      <c r="U247" s="3" t="str">
        <f ca="1">IF(B247&lt;&gt;"",INDEX('Initiative Indirect'!$T:$T,MATCH(B247,'Initiative Indirect'!$A:$A,0)),"")</f>
        <v/>
      </c>
      <c r="V247" s="3" t="str">
        <f ca="1">IF(C247&lt;&gt;"",INDEX('Team Indirect'!$T:$T,MATCH(C247,'Team Indirect'!$A:$A,0)),"")</f>
        <v/>
      </c>
      <c r="W247" s="3"/>
      <c r="X247" s="3"/>
      <c r="Y247" s="3" t="str">
        <f ca="1">IF($C247&lt;&gt;"",INDEX('Team Indirect'!$D:$D,MATCH($C247,'Team Indirect'!$A:$A,0)),"")</f>
        <v/>
      </c>
      <c r="Z247" s="3" t="str">
        <f ca="1">IF($C247&lt;&gt;"",INDEX('Team Indirect'!$E:$E,MATCH($C247,'Team Indirect'!$A:$A,0)),"")</f>
        <v/>
      </c>
      <c r="AA247" s="3" t="str">
        <f ca="1">IF($C247&lt;&gt;"",INDEX('Team Indirect'!$F:$F,MATCH($C247,'Team Indirect'!$A:$A,0)),"")</f>
        <v/>
      </c>
      <c r="AB247" s="3" t="str">
        <f t="shared" ca="1" si="3"/>
        <v/>
      </c>
      <c r="AC247" s="3">
        <f ca="1">IF(OR(AllocationUnits="Stories", AllocationUnits="Points"),'Work Indirect'!F247,F247/MAX('Work Indirect'!AB247,1))</f>
        <v>1</v>
      </c>
    </row>
    <row r="248" spans="1:29"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7" t="str">
        <f ca="1">IF(OFFSET('4. Work'!$A$1,ROW(D248)-1,COLUMN(D248)-1)="","",OFFSET('4. Work'!$A$1,ROW(D248)-1,COLUMN(D248)-1))</f>
        <v/>
      </c>
      <c r="E248" s="147"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I248" s="3" t="str">
        <f ca="1">IF(OFFSET('4. Work'!$A$1,ROW(I248)-1,COLUMN(I248)-1)="","",OFFSET('4. Work'!$A$1,ROW(I248)-1,COLUMN(I248)-1))</f>
        <v/>
      </c>
      <c r="T248" s="3" t="str">
        <f ca="1">IF(A248&lt;&gt;"",MAX('Initiative Indirect'!$T:$T)+(ROW(A248)-1),"")</f>
        <v/>
      </c>
      <c r="U248" s="3" t="str">
        <f ca="1">IF(B248&lt;&gt;"",INDEX('Initiative Indirect'!$T:$T,MATCH(B248,'Initiative Indirect'!$A:$A,0)),"")</f>
        <v/>
      </c>
      <c r="V248" s="3" t="str">
        <f ca="1">IF(C248&lt;&gt;"",INDEX('Team Indirect'!$T:$T,MATCH(C248,'Team Indirect'!$A:$A,0)),"")</f>
        <v/>
      </c>
      <c r="W248" s="3"/>
      <c r="X248" s="3"/>
      <c r="Y248" s="3" t="str">
        <f ca="1">IF($C248&lt;&gt;"",INDEX('Team Indirect'!$D:$D,MATCH($C248,'Team Indirect'!$A:$A,0)),"")</f>
        <v/>
      </c>
      <c r="Z248" s="3" t="str">
        <f ca="1">IF($C248&lt;&gt;"",INDEX('Team Indirect'!$E:$E,MATCH($C248,'Team Indirect'!$A:$A,0)),"")</f>
        <v/>
      </c>
      <c r="AA248" s="3" t="str">
        <f ca="1">IF($C248&lt;&gt;"",INDEX('Team Indirect'!$F:$F,MATCH($C248,'Team Indirect'!$A:$A,0)),"")</f>
        <v/>
      </c>
      <c r="AB248" s="3" t="str">
        <f t="shared" ca="1" si="3"/>
        <v/>
      </c>
      <c r="AC248" s="3">
        <f ca="1">IF(OR(AllocationUnits="Stories", AllocationUnits="Points"),'Work Indirect'!F248,F248/MAX('Work Indirect'!AB248,1))</f>
        <v>1</v>
      </c>
    </row>
    <row r="249" spans="1:29"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7" t="str">
        <f ca="1">IF(OFFSET('4. Work'!$A$1,ROW(D249)-1,COLUMN(D249)-1)="","",OFFSET('4. Work'!$A$1,ROW(D249)-1,COLUMN(D249)-1))</f>
        <v/>
      </c>
      <c r="E249" s="147"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I249" s="3" t="str">
        <f ca="1">IF(OFFSET('4. Work'!$A$1,ROW(I249)-1,COLUMN(I249)-1)="","",OFFSET('4. Work'!$A$1,ROW(I249)-1,COLUMN(I249)-1))</f>
        <v/>
      </c>
      <c r="T249" s="3" t="str">
        <f ca="1">IF(A249&lt;&gt;"",MAX('Initiative Indirect'!$T:$T)+(ROW(A249)-1),"")</f>
        <v/>
      </c>
      <c r="U249" s="3" t="str">
        <f ca="1">IF(B249&lt;&gt;"",INDEX('Initiative Indirect'!$T:$T,MATCH(B249,'Initiative Indirect'!$A:$A,0)),"")</f>
        <v/>
      </c>
      <c r="V249" s="3" t="str">
        <f ca="1">IF(C249&lt;&gt;"",INDEX('Team Indirect'!$T:$T,MATCH(C249,'Team Indirect'!$A:$A,0)),"")</f>
        <v/>
      </c>
      <c r="W249" s="3"/>
      <c r="X249" s="3"/>
      <c r="Y249" s="3" t="str">
        <f ca="1">IF($C249&lt;&gt;"",INDEX('Team Indirect'!$D:$D,MATCH($C249,'Team Indirect'!$A:$A,0)),"")</f>
        <v/>
      </c>
      <c r="Z249" s="3" t="str">
        <f ca="1">IF($C249&lt;&gt;"",INDEX('Team Indirect'!$E:$E,MATCH($C249,'Team Indirect'!$A:$A,0)),"")</f>
        <v/>
      </c>
      <c r="AA249" s="3" t="str">
        <f ca="1">IF($C249&lt;&gt;"",INDEX('Team Indirect'!$F:$F,MATCH($C249,'Team Indirect'!$A:$A,0)),"")</f>
        <v/>
      </c>
      <c r="AB249" s="3" t="str">
        <f t="shared" ca="1" si="3"/>
        <v/>
      </c>
      <c r="AC249" s="3">
        <f ca="1">IF(OR(AllocationUnits="Stories", AllocationUnits="Points"),'Work Indirect'!F249,F249/MAX('Work Indirect'!AB249,1))</f>
        <v>1</v>
      </c>
    </row>
    <row r="250" spans="1:29"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7" t="str">
        <f ca="1">IF(OFFSET('4. Work'!$A$1,ROW(D250)-1,COLUMN(D250)-1)="","",OFFSET('4. Work'!$A$1,ROW(D250)-1,COLUMN(D250)-1))</f>
        <v/>
      </c>
      <c r="E250" s="147"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I250" s="3" t="str">
        <f ca="1">IF(OFFSET('4. Work'!$A$1,ROW(I250)-1,COLUMN(I250)-1)="","",OFFSET('4. Work'!$A$1,ROW(I250)-1,COLUMN(I250)-1))</f>
        <v/>
      </c>
      <c r="T250" s="3" t="str">
        <f ca="1">IF(A250&lt;&gt;"",MAX('Initiative Indirect'!$T:$T)+(ROW(A250)-1),"")</f>
        <v/>
      </c>
      <c r="U250" s="3" t="str">
        <f ca="1">IF(B250&lt;&gt;"",INDEX('Initiative Indirect'!$T:$T,MATCH(B250,'Initiative Indirect'!$A:$A,0)),"")</f>
        <v/>
      </c>
      <c r="V250" s="3" t="str">
        <f ca="1">IF(C250&lt;&gt;"",INDEX('Team Indirect'!$T:$T,MATCH(C250,'Team Indirect'!$A:$A,0)),"")</f>
        <v/>
      </c>
      <c r="W250" s="3"/>
      <c r="X250" s="3"/>
      <c r="Y250" s="3" t="str">
        <f ca="1">IF($C250&lt;&gt;"",INDEX('Team Indirect'!$D:$D,MATCH($C250,'Team Indirect'!$A:$A,0)),"")</f>
        <v/>
      </c>
      <c r="Z250" s="3" t="str">
        <f ca="1">IF($C250&lt;&gt;"",INDEX('Team Indirect'!$E:$E,MATCH($C250,'Team Indirect'!$A:$A,0)),"")</f>
        <v/>
      </c>
      <c r="AA250" s="3" t="str">
        <f ca="1">IF($C250&lt;&gt;"",INDEX('Team Indirect'!$F:$F,MATCH($C250,'Team Indirect'!$A:$A,0)),"")</f>
        <v/>
      </c>
      <c r="AB250" s="3" t="str">
        <f t="shared" ca="1" si="3"/>
        <v/>
      </c>
      <c r="AC250" s="3">
        <f ca="1">IF(OR(AllocationUnits="Stories", AllocationUnits="Points"),'Work Indirect'!F250,F250/MAX('Work Indirect'!AB250,1))</f>
        <v>1</v>
      </c>
    </row>
    <row r="251" spans="1:29"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7" t="str">
        <f ca="1">IF(OFFSET('4. Work'!$A$1,ROW(D251)-1,COLUMN(D251)-1)="","",OFFSET('4. Work'!$A$1,ROW(D251)-1,COLUMN(D251)-1))</f>
        <v/>
      </c>
      <c r="E251" s="147"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I251" s="3" t="str">
        <f ca="1">IF(OFFSET('4. Work'!$A$1,ROW(I251)-1,COLUMN(I251)-1)="","",OFFSET('4. Work'!$A$1,ROW(I251)-1,COLUMN(I251)-1))</f>
        <v/>
      </c>
      <c r="T251" s="3" t="str">
        <f ca="1">IF(A251&lt;&gt;"",MAX('Initiative Indirect'!$T:$T)+(ROW(A251)-1),"")</f>
        <v/>
      </c>
      <c r="U251" s="3" t="str">
        <f ca="1">IF(B251&lt;&gt;"",INDEX('Initiative Indirect'!$T:$T,MATCH(B251,'Initiative Indirect'!$A:$A,0)),"")</f>
        <v/>
      </c>
      <c r="V251" s="3" t="str">
        <f ca="1">IF(C251&lt;&gt;"",INDEX('Team Indirect'!$T:$T,MATCH(C251,'Team Indirect'!$A:$A,0)),"")</f>
        <v/>
      </c>
      <c r="W251" s="3"/>
      <c r="X251" s="3"/>
      <c r="Y251" s="3" t="str">
        <f ca="1">IF($C251&lt;&gt;"",INDEX('Team Indirect'!$D:$D,MATCH($C251,'Team Indirect'!$A:$A,0)),"")</f>
        <v/>
      </c>
      <c r="Z251" s="3" t="str">
        <f ca="1">IF($C251&lt;&gt;"",INDEX('Team Indirect'!$E:$E,MATCH($C251,'Team Indirect'!$A:$A,0)),"")</f>
        <v/>
      </c>
      <c r="AA251" s="3" t="str">
        <f ca="1">IF($C251&lt;&gt;"",INDEX('Team Indirect'!$F:$F,MATCH($C251,'Team Indirect'!$A:$A,0)),"")</f>
        <v/>
      </c>
      <c r="AB251" s="3" t="str">
        <f t="shared" ca="1" si="3"/>
        <v/>
      </c>
      <c r="AC251" s="3">
        <f ca="1">IF(OR(AllocationUnits="Stories", AllocationUnits="Points"),'Work Indirect'!F251,F251/MAX('Work Indirect'!AB251,1))</f>
        <v>1</v>
      </c>
    </row>
    <row r="252" spans="1:29"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7" t="str">
        <f ca="1">IF(OFFSET('4. Work'!$A$1,ROW(D252)-1,COLUMN(D252)-1)="","",OFFSET('4. Work'!$A$1,ROW(D252)-1,COLUMN(D252)-1))</f>
        <v/>
      </c>
      <c r="E252" s="147"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I252" s="3" t="str">
        <f ca="1">IF(OFFSET('4. Work'!$A$1,ROW(I252)-1,COLUMN(I252)-1)="","",OFFSET('4. Work'!$A$1,ROW(I252)-1,COLUMN(I252)-1))</f>
        <v/>
      </c>
      <c r="T252" s="3" t="str">
        <f ca="1">IF(A252&lt;&gt;"",MAX('Initiative Indirect'!$T:$T)+(ROW(A252)-1),"")</f>
        <v/>
      </c>
      <c r="U252" s="3" t="str">
        <f ca="1">IF(B252&lt;&gt;"",INDEX('Initiative Indirect'!$T:$T,MATCH(B252,'Initiative Indirect'!$A:$A,0)),"")</f>
        <v/>
      </c>
      <c r="V252" s="3" t="str">
        <f ca="1">IF(C252&lt;&gt;"",INDEX('Team Indirect'!$T:$T,MATCH(C252,'Team Indirect'!$A:$A,0)),"")</f>
        <v/>
      </c>
      <c r="W252" s="3"/>
      <c r="X252" s="3"/>
      <c r="Y252" s="3" t="str">
        <f ca="1">IF($C252&lt;&gt;"",INDEX('Team Indirect'!$D:$D,MATCH($C252,'Team Indirect'!$A:$A,0)),"")</f>
        <v/>
      </c>
      <c r="Z252" s="3" t="str">
        <f ca="1">IF($C252&lt;&gt;"",INDEX('Team Indirect'!$E:$E,MATCH($C252,'Team Indirect'!$A:$A,0)),"")</f>
        <v/>
      </c>
      <c r="AA252" s="3" t="str">
        <f ca="1">IF($C252&lt;&gt;"",INDEX('Team Indirect'!$F:$F,MATCH($C252,'Team Indirect'!$A:$A,0)),"")</f>
        <v/>
      </c>
      <c r="AB252" s="3" t="str">
        <f t="shared" ca="1" si="3"/>
        <v/>
      </c>
      <c r="AC252" s="3">
        <f ca="1">IF(OR(AllocationUnits="Stories", AllocationUnits="Points"),'Work Indirect'!F252,F252/MAX('Work Indirect'!AB252,1))</f>
        <v>1</v>
      </c>
    </row>
    <row r="253" spans="1:29"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7" t="str">
        <f ca="1">IF(OFFSET('4. Work'!$A$1,ROW(D253)-1,COLUMN(D253)-1)="","",OFFSET('4. Work'!$A$1,ROW(D253)-1,COLUMN(D253)-1))</f>
        <v/>
      </c>
      <c r="E253" s="147"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I253" s="3" t="str">
        <f ca="1">IF(OFFSET('4. Work'!$A$1,ROW(I253)-1,COLUMN(I253)-1)="","",OFFSET('4. Work'!$A$1,ROW(I253)-1,COLUMN(I253)-1))</f>
        <v/>
      </c>
      <c r="T253" s="3" t="str">
        <f ca="1">IF(A253&lt;&gt;"",MAX('Initiative Indirect'!$T:$T)+(ROW(A253)-1),"")</f>
        <v/>
      </c>
      <c r="U253" s="3" t="str">
        <f ca="1">IF(B253&lt;&gt;"",INDEX('Initiative Indirect'!$T:$T,MATCH(B253,'Initiative Indirect'!$A:$A,0)),"")</f>
        <v/>
      </c>
      <c r="V253" s="3" t="str">
        <f ca="1">IF(C253&lt;&gt;"",INDEX('Team Indirect'!$T:$T,MATCH(C253,'Team Indirect'!$A:$A,0)),"")</f>
        <v/>
      </c>
      <c r="W253" s="3"/>
      <c r="X253" s="3"/>
      <c r="Y253" s="3" t="str">
        <f ca="1">IF($C253&lt;&gt;"",INDEX('Team Indirect'!$D:$D,MATCH($C253,'Team Indirect'!$A:$A,0)),"")</f>
        <v/>
      </c>
      <c r="Z253" s="3" t="str">
        <f ca="1">IF($C253&lt;&gt;"",INDEX('Team Indirect'!$E:$E,MATCH($C253,'Team Indirect'!$A:$A,0)),"")</f>
        <v/>
      </c>
      <c r="AA253" s="3" t="str">
        <f ca="1">IF($C253&lt;&gt;"",INDEX('Team Indirect'!$F:$F,MATCH($C253,'Team Indirect'!$A:$A,0)),"")</f>
        <v/>
      </c>
      <c r="AB253" s="3" t="str">
        <f t="shared" ca="1" si="3"/>
        <v/>
      </c>
      <c r="AC253" s="3">
        <f ca="1">IF(OR(AllocationUnits="Stories", AllocationUnits="Points"),'Work Indirect'!F253,F253/MAX('Work Indirect'!AB253,1))</f>
        <v>1</v>
      </c>
    </row>
    <row r="254" spans="1:29"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7" t="str">
        <f ca="1">IF(OFFSET('4. Work'!$A$1,ROW(D254)-1,COLUMN(D254)-1)="","",OFFSET('4. Work'!$A$1,ROW(D254)-1,COLUMN(D254)-1))</f>
        <v/>
      </c>
      <c r="E254" s="147"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I254" s="3" t="str">
        <f ca="1">IF(OFFSET('4. Work'!$A$1,ROW(I254)-1,COLUMN(I254)-1)="","",OFFSET('4. Work'!$A$1,ROW(I254)-1,COLUMN(I254)-1))</f>
        <v/>
      </c>
      <c r="T254" s="3" t="str">
        <f ca="1">IF(A254&lt;&gt;"",MAX('Initiative Indirect'!$T:$T)+(ROW(A254)-1),"")</f>
        <v/>
      </c>
      <c r="U254" s="3" t="str">
        <f ca="1">IF(B254&lt;&gt;"",INDEX('Initiative Indirect'!$T:$T,MATCH(B254,'Initiative Indirect'!$A:$A,0)),"")</f>
        <v/>
      </c>
      <c r="V254" s="3" t="str">
        <f ca="1">IF(C254&lt;&gt;"",INDEX('Team Indirect'!$T:$T,MATCH(C254,'Team Indirect'!$A:$A,0)),"")</f>
        <v/>
      </c>
      <c r="W254" s="3"/>
      <c r="X254" s="3"/>
      <c r="Y254" s="3" t="str">
        <f ca="1">IF($C254&lt;&gt;"",INDEX('Team Indirect'!$D:$D,MATCH($C254,'Team Indirect'!$A:$A,0)),"")</f>
        <v/>
      </c>
      <c r="Z254" s="3" t="str">
        <f ca="1">IF($C254&lt;&gt;"",INDEX('Team Indirect'!$E:$E,MATCH($C254,'Team Indirect'!$A:$A,0)),"")</f>
        <v/>
      </c>
      <c r="AA254" s="3" t="str">
        <f ca="1">IF($C254&lt;&gt;"",INDEX('Team Indirect'!$F:$F,MATCH($C254,'Team Indirect'!$A:$A,0)),"")</f>
        <v/>
      </c>
      <c r="AB254" s="3" t="str">
        <f t="shared" ca="1" si="3"/>
        <v/>
      </c>
      <c r="AC254" s="3">
        <f ca="1">IF(OR(AllocationUnits="Stories", AllocationUnits="Points"),'Work Indirect'!F254,F254/MAX('Work Indirect'!AB254,1))</f>
        <v>1</v>
      </c>
    </row>
    <row r="255" spans="1:29"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7" t="str">
        <f ca="1">IF(OFFSET('4. Work'!$A$1,ROW(D255)-1,COLUMN(D255)-1)="","",OFFSET('4. Work'!$A$1,ROW(D255)-1,COLUMN(D255)-1))</f>
        <v/>
      </c>
      <c r="E255" s="147"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I255" s="3" t="str">
        <f ca="1">IF(OFFSET('4. Work'!$A$1,ROW(I255)-1,COLUMN(I255)-1)="","",OFFSET('4. Work'!$A$1,ROW(I255)-1,COLUMN(I255)-1))</f>
        <v/>
      </c>
      <c r="T255" s="3" t="str">
        <f ca="1">IF(A255&lt;&gt;"",MAX('Initiative Indirect'!$T:$T)+(ROW(A255)-1),"")</f>
        <v/>
      </c>
      <c r="U255" s="3" t="str">
        <f ca="1">IF(B255&lt;&gt;"",INDEX('Initiative Indirect'!$T:$T,MATCH(B255,'Initiative Indirect'!$A:$A,0)),"")</f>
        <v/>
      </c>
      <c r="V255" s="3" t="str">
        <f ca="1">IF(C255&lt;&gt;"",INDEX('Team Indirect'!$T:$T,MATCH(C255,'Team Indirect'!$A:$A,0)),"")</f>
        <v/>
      </c>
      <c r="W255" s="3"/>
      <c r="X255" s="3"/>
      <c r="Y255" s="3" t="str">
        <f ca="1">IF($C255&lt;&gt;"",INDEX('Team Indirect'!$D:$D,MATCH($C255,'Team Indirect'!$A:$A,0)),"")</f>
        <v/>
      </c>
      <c r="Z255" s="3" t="str">
        <f ca="1">IF($C255&lt;&gt;"",INDEX('Team Indirect'!$E:$E,MATCH($C255,'Team Indirect'!$A:$A,0)),"")</f>
        <v/>
      </c>
      <c r="AA255" s="3" t="str">
        <f ca="1">IF($C255&lt;&gt;"",INDEX('Team Indirect'!$F:$F,MATCH($C255,'Team Indirect'!$A:$A,0)),"")</f>
        <v/>
      </c>
      <c r="AB255" s="3" t="str">
        <f t="shared" ca="1" si="3"/>
        <v/>
      </c>
      <c r="AC255" s="3">
        <f ca="1">IF(OR(AllocationUnits="Stories", AllocationUnits="Points"),'Work Indirect'!F255,F255/MAX('Work Indirect'!AB255,1))</f>
        <v>1</v>
      </c>
    </row>
    <row r="256" spans="1:29"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7" t="str">
        <f ca="1">IF(OFFSET('4. Work'!$A$1,ROW(D256)-1,COLUMN(D256)-1)="","",OFFSET('4. Work'!$A$1,ROW(D256)-1,COLUMN(D256)-1))</f>
        <v/>
      </c>
      <c r="E256" s="147"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I256" s="3" t="str">
        <f ca="1">IF(OFFSET('4. Work'!$A$1,ROW(I256)-1,COLUMN(I256)-1)="","",OFFSET('4. Work'!$A$1,ROW(I256)-1,COLUMN(I256)-1))</f>
        <v/>
      </c>
      <c r="T256" s="3" t="str">
        <f ca="1">IF(A256&lt;&gt;"",MAX('Initiative Indirect'!$T:$T)+(ROW(A256)-1),"")</f>
        <v/>
      </c>
      <c r="U256" s="3" t="str">
        <f ca="1">IF(B256&lt;&gt;"",INDEX('Initiative Indirect'!$T:$T,MATCH(B256,'Initiative Indirect'!$A:$A,0)),"")</f>
        <v/>
      </c>
      <c r="V256" s="3" t="str">
        <f ca="1">IF(C256&lt;&gt;"",INDEX('Team Indirect'!$T:$T,MATCH(C256,'Team Indirect'!$A:$A,0)),"")</f>
        <v/>
      </c>
      <c r="W256" s="3"/>
      <c r="X256" s="3"/>
      <c r="Y256" s="3" t="str">
        <f ca="1">IF($C256&lt;&gt;"",INDEX('Team Indirect'!$D:$D,MATCH($C256,'Team Indirect'!$A:$A,0)),"")</f>
        <v/>
      </c>
      <c r="Z256" s="3" t="str">
        <f ca="1">IF($C256&lt;&gt;"",INDEX('Team Indirect'!$E:$E,MATCH($C256,'Team Indirect'!$A:$A,0)),"")</f>
        <v/>
      </c>
      <c r="AA256" s="3" t="str">
        <f ca="1">IF($C256&lt;&gt;"",INDEX('Team Indirect'!$F:$F,MATCH($C256,'Team Indirect'!$A:$A,0)),"")</f>
        <v/>
      </c>
      <c r="AB256" s="3" t="str">
        <f t="shared" ca="1" si="3"/>
        <v/>
      </c>
      <c r="AC256" s="3">
        <f ca="1">IF(OR(AllocationUnits="Stories", AllocationUnits="Points"),'Work Indirect'!F256,F256/MAX('Work Indirect'!AB256,1))</f>
        <v>1</v>
      </c>
    </row>
    <row r="257" spans="1:29"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7" t="str">
        <f ca="1">IF(OFFSET('4. Work'!$A$1,ROW(D257)-1,COLUMN(D257)-1)="","",OFFSET('4. Work'!$A$1,ROW(D257)-1,COLUMN(D257)-1))</f>
        <v/>
      </c>
      <c r="E257" s="147"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I257" s="3" t="str">
        <f ca="1">IF(OFFSET('4. Work'!$A$1,ROW(I257)-1,COLUMN(I257)-1)="","",OFFSET('4. Work'!$A$1,ROW(I257)-1,COLUMN(I257)-1))</f>
        <v/>
      </c>
      <c r="T257" s="3" t="str">
        <f ca="1">IF(A257&lt;&gt;"",MAX('Initiative Indirect'!$T:$T)+(ROW(A257)-1),"")</f>
        <v/>
      </c>
      <c r="U257" s="3" t="str">
        <f ca="1">IF(B257&lt;&gt;"",INDEX('Initiative Indirect'!$T:$T,MATCH(B257,'Initiative Indirect'!$A:$A,0)),"")</f>
        <v/>
      </c>
      <c r="V257" s="3" t="str">
        <f ca="1">IF(C257&lt;&gt;"",INDEX('Team Indirect'!$T:$T,MATCH(C257,'Team Indirect'!$A:$A,0)),"")</f>
        <v/>
      </c>
      <c r="W257" s="3"/>
      <c r="X257" s="3"/>
      <c r="Y257" s="3" t="str">
        <f ca="1">IF($C257&lt;&gt;"",INDEX('Team Indirect'!$D:$D,MATCH($C257,'Team Indirect'!$A:$A,0)),"")</f>
        <v/>
      </c>
      <c r="Z257" s="3" t="str">
        <f ca="1">IF($C257&lt;&gt;"",INDEX('Team Indirect'!$E:$E,MATCH($C257,'Team Indirect'!$A:$A,0)),"")</f>
        <v/>
      </c>
      <c r="AA257" s="3" t="str">
        <f ca="1">IF($C257&lt;&gt;"",INDEX('Team Indirect'!$F:$F,MATCH($C257,'Team Indirect'!$A:$A,0)),"")</f>
        <v/>
      </c>
      <c r="AB257" s="3" t="str">
        <f t="shared" ca="1" si="3"/>
        <v/>
      </c>
      <c r="AC257" s="3">
        <f ca="1">IF(OR(AllocationUnits="Stories", AllocationUnits="Points"),'Work Indirect'!F257,F257/MAX('Work Indirect'!AB257,1))</f>
        <v>1</v>
      </c>
    </row>
    <row r="258" spans="1:29"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7" t="str">
        <f ca="1">IF(OFFSET('4. Work'!$A$1,ROW(D258)-1,COLUMN(D258)-1)="","",OFFSET('4. Work'!$A$1,ROW(D258)-1,COLUMN(D258)-1))</f>
        <v/>
      </c>
      <c r="E258" s="147"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I258" s="3" t="str">
        <f ca="1">IF(OFFSET('4. Work'!$A$1,ROW(I258)-1,COLUMN(I258)-1)="","",OFFSET('4. Work'!$A$1,ROW(I258)-1,COLUMN(I258)-1))</f>
        <v/>
      </c>
      <c r="T258" s="3" t="str">
        <f ca="1">IF(A258&lt;&gt;"",MAX('Initiative Indirect'!$T:$T)+(ROW(A258)-1),"")</f>
        <v/>
      </c>
      <c r="U258" s="3" t="str">
        <f ca="1">IF(B258&lt;&gt;"",INDEX('Initiative Indirect'!$T:$T,MATCH(B258,'Initiative Indirect'!$A:$A,0)),"")</f>
        <v/>
      </c>
      <c r="V258" s="3" t="str">
        <f ca="1">IF(C258&lt;&gt;"",INDEX('Team Indirect'!$T:$T,MATCH(C258,'Team Indirect'!$A:$A,0)),"")</f>
        <v/>
      </c>
      <c r="W258" s="3"/>
      <c r="X258" s="3"/>
      <c r="Y258" s="3" t="str">
        <f ca="1">IF($C258&lt;&gt;"",INDEX('Team Indirect'!$D:$D,MATCH($C258,'Team Indirect'!$A:$A,0)),"")</f>
        <v/>
      </c>
      <c r="Z258" s="3" t="str">
        <f ca="1">IF($C258&lt;&gt;"",INDEX('Team Indirect'!$E:$E,MATCH($C258,'Team Indirect'!$A:$A,0)),"")</f>
        <v/>
      </c>
      <c r="AA258" s="3" t="str">
        <f ca="1">IF($C258&lt;&gt;"",INDEX('Team Indirect'!$F:$F,MATCH($C258,'Team Indirect'!$A:$A,0)),"")</f>
        <v/>
      </c>
      <c r="AB258" s="3" t="str">
        <f t="shared" ref="AB258:AB321" ca="1" si="4">IF(AND(Y258&lt;&gt;"",Z258&lt;&gt;""),Y258+((Z258-Y258)*(1-MAX(0,AA258))*(1-Probability)),"")</f>
        <v/>
      </c>
      <c r="AC258" s="3">
        <f ca="1">IF(OR(AllocationUnits="Stories", AllocationUnits="Points"),'Work Indirect'!F258,F258/MAX('Work Indirect'!AB258,1))</f>
        <v>1</v>
      </c>
    </row>
    <row r="259" spans="1:29"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7" t="str">
        <f ca="1">IF(OFFSET('4. Work'!$A$1,ROW(D259)-1,COLUMN(D259)-1)="","",OFFSET('4. Work'!$A$1,ROW(D259)-1,COLUMN(D259)-1))</f>
        <v/>
      </c>
      <c r="E259" s="147"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I259" s="3" t="str">
        <f ca="1">IF(OFFSET('4. Work'!$A$1,ROW(I259)-1,COLUMN(I259)-1)="","",OFFSET('4. Work'!$A$1,ROW(I259)-1,COLUMN(I259)-1))</f>
        <v/>
      </c>
      <c r="T259" s="3" t="str">
        <f ca="1">IF(A259&lt;&gt;"",MAX('Initiative Indirect'!$T:$T)+(ROW(A259)-1),"")</f>
        <v/>
      </c>
      <c r="U259" s="3" t="str">
        <f ca="1">IF(B259&lt;&gt;"",INDEX('Initiative Indirect'!$T:$T,MATCH(B259,'Initiative Indirect'!$A:$A,0)),"")</f>
        <v/>
      </c>
      <c r="V259" s="3" t="str">
        <f ca="1">IF(C259&lt;&gt;"",INDEX('Team Indirect'!$T:$T,MATCH(C259,'Team Indirect'!$A:$A,0)),"")</f>
        <v/>
      </c>
      <c r="W259" s="3"/>
      <c r="X259" s="3"/>
      <c r="Y259" s="3" t="str">
        <f ca="1">IF($C259&lt;&gt;"",INDEX('Team Indirect'!$D:$D,MATCH($C259,'Team Indirect'!$A:$A,0)),"")</f>
        <v/>
      </c>
      <c r="Z259" s="3" t="str">
        <f ca="1">IF($C259&lt;&gt;"",INDEX('Team Indirect'!$E:$E,MATCH($C259,'Team Indirect'!$A:$A,0)),"")</f>
        <v/>
      </c>
      <c r="AA259" s="3" t="str">
        <f ca="1">IF($C259&lt;&gt;"",INDEX('Team Indirect'!$F:$F,MATCH($C259,'Team Indirect'!$A:$A,0)),"")</f>
        <v/>
      </c>
      <c r="AB259" s="3" t="str">
        <f t="shared" ca="1" si="4"/>
        <v/>
      </c>
      <c r="AC259" s="3">
        <f ca="1">IF(OR(AllocationUnits="Stories", AllocationUnits="Points"),'Work Indirect'!F259,F259/MAX('Work Indirect'!AB259,1))</f>
        <v>1</v>
      </c>
    </row>
    <row r="260" spans="1:29"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7" t="str">
        <f ca="1">IF(OFFSET('4. Work'!$A$1,ROW(D260)-1,COLUMN(D260)-1)="","",OFFSET('4. Work'!$A$1,ROW(D260)-1,COLUMN(D260)-1))</f>
        <v/>
      </c>
      <c r="E260" s="147"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I260" s="3" t="str">
        <f ca="1">IF(OFFSET('4. Work'!$A$1,ROW(I260)-1,COLUMN(I260)-1)="","",OFFSET('4. Work'!$A$1,ROW(I260)-1,COLUMN(I260)-1))</f>
        <v/>
      </c>
      <c r="T260" s="3" t="str">
        <f ca="1">IF(A260&lt;&gt;"",MAX('Initiative Indirect'!$T:$T)+(ROW(A260)-1),"")</f>
        <v/>
      </c>
      <c r="U260" s="3" t="str">
        <f ca="1">IF(B260&lt;&gt;"",INDEX('Initiative Indirect'!$T:$T,MATCH(B260,'Initiative Indirect'!$A:$A,0)),"")</f>
        <v/>
      </c>
      <c r="V260" s="3" t="str">
        <f ca="1">IF(C260&lt;&gt;"",INDEX('Team Indirect'!$T:$T,MATCH(C260,'Team Indirect'!$A:$A,0)),"")</f>
        <v/>
      </c>
      <c r="W260" s="3"/>
      <c r="X260" s="3"/>
      <c r="Y260" s="3" t="str">
        <f ca="1">IF($C260&lt;&gt;"",INDEX('Team Indirect'!$D:$D,MATCH($C260,'Team Indirect'!$A:$A,0)),"")</f>
        <v/>
      </c>
      <c r="Z260" s="3" t="str">
        <f ca="1">IF($C260&lt;&gt;"",INDEX('Team Indirect'!$E:$E,MATCH($C260,'Team Indirect'!$A:$A,0)),"")</f>
        <v/>
      </c>
      <c r="AA260" s="3" t="str">
        <f ca="1">IF($C260&lt;&gt;"",INDEX('Team Indirect'!$F:$F,MATCH($C260,'Team Indirect'!$A:$A,0)),"")</f>
        <v/>
      </c>
      <c r="AB260" s="3" t="str">
        <f t="shared" ca="1" si="4"/>
        <v/>
      </c>
      <c r="AC260" s="3">
        <f ca="1">IF(OR(AllocationUnits="Stories", AllocationUnits="Points"),'Work Indirect'!F260,F260/MAX('Work Indirect'!AB260,1))</f>
        <v>1</v>
      </c>
    </row>
    <row r="261" spans="1:29"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7" t="str">
        <f ca="1">IF(OFFSET('4. Work'!$A$1,ROW(D261)-1,COLUMN(D261)-1)="","",OFFSET('4. Work'!$A$1,ROW(D261)-1,COLUMN(D261)-1))</f>
        <v/>
      </c>
      <c r="E261" s="147"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I261" s="3" t="str">
        <f ca="1">IF(OFFSET('4. Work'!$A$1,ROW(I261)-1,COLUMN(I261)-1)="","",OFFSET('4. Work'!$A$1,ROW(I261)-1,COLUMN(I261)-1))</f>
        <v/>
      </c>
      <c r="T261" s="3" t="str">
        <f ca="1">IF(A261&lt;&gt;"",MAX('Initiative Indirect'!$T:$T)+(ROW(A261)-1),"")</f>
        <v/>
      </c>
      <c r="U261" s="3" t="str">
        <f ca="1">IF(B261&lt;&gt;"",INDEX('Initiative Indirect'!$T:$T,MATCH(B261,'Initiative Indirect'!$A:$A,0)),"")</f>
        <v/>
      </c>
      <c r="V261" s="3" t="str">
        <f ca="1">IF(C261&lt;&gt;"",INDEX('Team Indirect'!$T:$T,MATCH(C261,'Team Indirect'!$A:$A,0)),"")</f>
        <v/>
      </c>
      <c r="W261" s="3"/>
      <c r="X261" s="3"/>
      <c r="Y261" s="3" t="str">
        <f ca="1">IF($C261&lt;&gt;"",INDEX('Team Indirect'!$D:$D,MATCH($C261,'Team Indirect'!$A:$A,0)),"")</f>
        <v/>
      </c>
      <c r="Z261" s="3" t="str">
        <f ca="1">IF($C261&lt;&gt;"",INDEX('Team Indirect'!$E:$E,MATCH($C261,'Team Indirect'!$A:$A,0)),"")</f>
        <v/>
      </c>
      <c r="AA261" s="3" t="str">
        <f ca="1">IF($C261&lt;&gt;"",INDEX('Team Indirect'!$F:$F,MATCH($C261,'Team Indirect'!$A:$A,0)),"")</f>
        <v/>
      </c>
      <c r="AB261" s="3" t="str">
        <f t="shared" ca="1" si="4"/>
        <v/>
      </c>
      <c r="AC261" s="3">
        <f ca="1">IF(OR(AllocationUnits="Stories", AllocationUnits="Points"),'Work Indirect'!F261,F261/MAX('Work Indirect'!AB261,1))</f>
        <v>1</v>
      </c>
    </row>
    <row r="262" spans="1:29"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7" t="str">
        <f ca="1">IF(OFFSET('4. Work'!$A$1,ROW(D262)-1,COLUMN(D262)-1)="","",OFFSET('4. Work'!$A$1,ROW(D262)-1,COLUMN(D262)-1))</f>
        <v/>
      </c>
      <c r="E262" s="147"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I262" s="3" t="str">
        <f ca="1">IF(OFFSET('4. Work'!$A$1,ROW(I262)-1,COLUMN(I262)-1)="","",OFFSET('4. Work'!$A$1,ROW(I262)-1,COLUMN(I262)-1))</f>
        <v/>
      </c>
      <c r="T262" s="3" t="str">
        <f ca="1">IF(A262&lt;&gt;"",MAX('Initiative Indirect'!$T:$T)+(ROW(A262)-1),"")</f>
        <v/>
      </c>
      <c r="U262" s="3" t="str">
        <f ca="1">IF(B262&lt;&gt;"",INDEX('Initiative Indirect'!$T:$T,MATCH(B262,'Initiative Indirect'!$A:$A,0)),"")</f>
        <v/>
      </c>
      <c r="V262" s="3" t="str">
        <f ca="1">IF(C262&lt;&gt;"",INDEX('Team Indirect'!$T:$T,MATCH(C262,'Team Indirect'!$A:$A,0)),"")</f>
        <v/>
      </c>
      <c r="W262" s="3"/>
      <c r="X262" s="3"/>
      <c r="Y262" s="3" t="str">
        <f ca="1">IF($C262&lt;&gt;"",INDEX('Team Indirect'!$D:$D,MATCH($C262,'Team Indirect'!$A:$A,0)),"")</f>
        <v/>
      </c>
      <c r="Z262" s="3" t="str">
        <f ca="1">IF($C262&lt;&gt;"",INDEX('Team Indirect'!$E:$E,MATCH($C262,'Team Indirect'!$A:$A,0)),"")</f>
        <v/>
      </c>
      <c r="AA262" s="3" t="str">
        <f ca="1">IF($C262&lt;&gt;"",INDEX('Team Indirect'!$F:$F,MATCH($C262,'Team Indirect'!$A:$A,0)),"")</f>
        <v/>
      </c>
      <c r="AB262" s="3" t="str">
        <f t="shared" ca="1" si="4"/>
        <v/>
      </c>
      <c r="AC262" s="3">
        <f ca="1">IF(OR(AllocationUnits="Stories", AllocationUnits="Points"),'Work Indirect'!F262,F262/MAX('Work Indirect'!AB262,1))</f>
        <v>1</v>
      </c>
    </row>
    <row r="263" spans="1:29"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7" t="str">
        <f ca="1">IF(OFFSET('4. Work'!$A$1,ROW(D263)-1,COLUMN(D263)-1)="","",OFFSET('4. Work'!$A$1,ROW(D263)-1,COLUMN(D263)-1))</f>
        <v/>
      </c>
      <c r="E263" s="147"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I263" s="3" t="str">
        <f ca="1">IF(OFFSET('4. Work'!$A$1,ROW(I263)-1,COLUMN(I263)-1)="","",OFFSET('4. Work'!$A$1,ROW(I263)-1,COLUMN(I263)-1))</f>
        <v/>
      </c>
      <c r="T263" s="3" t="str">
        <f ca="1">IF(A263&lt;&gt;"",MAX('Initiative Indirect'!$T:$T)+(ROW(A263)-1),"")</f>
        <v/>
      </c>
      <c r="U263" s="3" t="str">
        <f ca="1">IF(B263&lt;&gt;"",INDEX('Initiative Indirect'!$T:$T,MATCH(B263,'Initiative Indirect'!$A:$A,0)),"")</f>
        <v/>
      </c>
      <c r="V263" s="3" t="str">
        <f ca="1">IF(C263&lt;&gt;"",INDEX('Team Indirect'!$T:$T,MATCH(C263,'Team Indirect'!$A:$A,0)),"")</f>
        <v/>
      </c>
      <c r="W263" s="3"/>
      <c r="X263" s="3"/>
      <c r="Y263" s="3" t="str">
        <f ca="1">IF($C263&lt;&gt;"",INDEX('Team Indirect'!$D:$D,MATCH($C263,'Team Indirect'!$A:$A,0)),"")</f>
        <v/>
      </c>
      <c r="Z263" s="3" t="str">
        <f ca="1">IF($C263&lt;&gt;"",INDEX('Team Indirect'!$E:$E,MATCH($C263,'Team Indirect'!$A:$A,0)),"")</f>
        <v/>
      </c>
      <c r="AA263" s="3" t="str">
        <f ca="1">IF($C263&lt;&gt;"",INDEX('Team Indirect'!$F:$F,MATCH($C263,'Team Indirect'!$A:$A,0)),"")</f>
        <v/>
      </c>
      <c r="AB263" s="3" t="str">
        <f t="shared" ca="1" si="4"/>
        <v/>
      </c>
      <c r="AC263" s="3">
        <f ca="1">IF(OR(AllocationUnits="Stories", AllocationUnits="Points"),'Work Indirect'!F263,F263/MAX('Work Indirect'!AB263,1))</f>
        <v>1</v>
      </c>
    </row>
    <row r="264" spans="1:29"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7" t="str">
        <f ca="1">IF(OFFSET('4. Work'!$A$1,ROW(D264)-1,COLUMN(D264)-1)="","",OFFSET('4. Work'!$A$1,ROW(D264)-1,COLUMN(D264)-1))</f>
        <v/>
      </c>
      <c r="E264" s="147"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I264" s="3" t="str">
        <f ca="1">IF(OFFSET('4. Work'!$A$1,ROW(I264)-1,COLUMN(I264)-1)="","",OFFSET('4. Work'!$A$1,ROW(I264)-1,COLUMN(I264)-1))</f>
        <v/>
      </c>
      <c r="T264" s="3" t="str">
        <f ca="1">IF(A264&lt;&gt;"",MAX('Initiative Indirect'!$T:$T)+(ROW(A264)-1),"")</f>
        <v/>
      </c>
      <c r="U264" s="3" t="str">
        <f ca="1">IF(B264&lt;&gt;"",INDEX('Initiative Indirect'!$T:$T,MATCH(B264,'Initiative Indirect'!$A:$A,0)),"")</f>
        <v/>
      </c>
      <c r="V264" s="3" t="str">
        <f ca="1">IF(C264&lt;&gt;"",INDEX('Team Indirect'!$T:$T,MATCH(C264,'Team Indirect'!$A:$A,0)),"")</f>
        <v/>
      </c>
      <c r="W264" s="3"/>
      <c r="X264" s="3"/>
      <c r="Y264" s="3" t="str">
        <f ca="1">IF($C264&lt;&gt;"",INDEX('Team Indirect'!$D:$D,MATCH($C264,'Team Indirect'!$A:$A,0)),"")</f>
        <v/>
      </c>
      <c r="Z264" s="3" t="str">
        <f ca="1">IF($C264&lt;&gt;"",INDEX('Team Indirect'!$E:$E,MATCH($C264,'Team Indirect'!$A:$A,0)),"")</f>
        <v/>
      </c>
      <c r="AA264" s="3" t="str">
        <f ca="1">IF($C264&lt;&gt;"",INDEX('Team Indirect'!$F:$F,MATCH($C264,'Team Indirect'!$A:$A,0)),"")</f>
        <v/>
      </c>
      <c r="AB264" s="3" t="str">
        <f t="shared" ca="1" si="4"/>
        <v/>
      </c>
      <c r="AC264" s="3">
        <f ca="1">IF(OR(AllocationUnits="Stories", AllocationUnits="Points"),'Work Indirect'!F264,F264/MAX('Work Indirect'!AB264,1))</f>
        <v>1</v>
      </c>
    </row>
    <row r="265" spans="1:29"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7" t="str">
        <f ca="1">IF(OFFSET('4. Work'!$A$1,ROW(D265)-1,COLUMN(D265)-1)="","",OFFSET('4. Work'!$A$1,ROW(D265)-1,COLUMN(D265)-1))</f>
        <v/>
      </c>
      <c r="E265" s="147"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I265" s="3" t="str">
        <f ca="1">IF(OFFSET('4. Work'!$A$1,ROW(I265)-1,COLUMN(I265)-1)="","",OFFSET('4. Work'!$A$1,ROW(I265)-1,COLUMN(I265)-1))</f>
        <v/>
      </c>
      <c r="T265" s="3" t="str">
        <f ca="1">IF(A265&lt;&gt;"",MAX('Initiative Indirect'!$T:$T)+(ROW(A265)-1),"")</f>
        <v/>
      </c>
      <c r="U265" s="3" t="str">
        <f ca="1">IF(B265&lt;&gt;"",INDEX('Initiative Indirect'!$T:$T,MATCH(B265,'Initiative Indirect'!$A:$A,0)),"")</f>
        <v/>
      </c>
      <c r="V265" s="3" t="str">
        <f ca="1">IF(C265&lt;&gt;"",INDEX('Team Indirect'!$T:$T,MATCH(C265,'Team Indirect'!$A:$A,0)),"")</f>
        <v/>
      </c>
      <c r="W265" s="3"/>
      <c r="X265" s="3"/>
      <c r="Y265" s="3" t="str">
        <f ca="1">IF($C265&lt;&gt;"",INDEX('Team Indirect'!$D:$D,MATCH($C265,'Team Indirect'!$A:$A,0)),"")</f>
        <v/>
      </c>
      <c r="Z265" s="3" t="str">
        <f ca="1">IF($C265&lt;&gt;"",INDEX('Team Indirect'!$E:$E,MATCH($C265,'Team Indirect'!$A:$A,0)),"")</f>
        <v/>
      </c>
      <c r="AA265" s="3" t="str">
        <f ca="1">IF($C265&lt;&gt;"",INDEX('Team Indirect'!$F:$F,MATCH($C265,'Team Indirect'!$A:$A,0)),"")</f>
        <v/>
      </c>
      <c r="AB265" s="3" t="str">
        <f t="shared" ca="1" si="4"/>
        <v/>
      </c>
      <c r="AC265" s="3">
        <f ca="1">IF(OR(AllocationUnits="Stories", AllocationUnits="Points"),'Work Indirect'!F265,F265/MAX('Work Indirect'!AB265,1))</f>
        <v>1</v>
      </c>
    </row>
    <row r="266" spans="1:29"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7" t="str">
        <f ca="1">IF(OFFSET('4. Work'!$A$1,ROW(D266)-1,COLUMN(D266)-1)="","",OFFSET('4. Work'!$A$1,ROW(D266)-1,COLUMN(D266)-1))</f>
        <v/>
      </c>
      <c r="E266" s="147"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I266" s="3" t="str">
        <f ca="1">IF(OFFSET('4. Work'!$A$1,ROW(I266)-1,COLUMN(I266)-1)="","",OFFSET('4. Work'!$A$1,ROW(I266)-1,COLUMN(I266)-1))</f>
        <v/>
      </c>
      <c r="T266" s="3" t="str">
        <f ca="1">IF(A266&lt;&gt;"",MAX('Initiative Indirect'!$T:$T)+(ROW(A266)-1),"")</f>
        <v/>
      </c>
      <c r="U266" s="3" t="str">
        <f ca="1">IF(B266&lt;&gt;"",INDEX('Initiative Indirect'!$T:$T,MATCH(B266,'Initiative Indirect'!$A:$A,0)),"")</f>
        <v/>
      </c>
      <c r="V266" s="3" t="str">
        <f ca="1">IF(C266&lt;&gt;"",INDEX('Team Indirect'!$T:$T,MATCH(C266,'Team Indirect'!$A:$A,0)),"")</f>
        <v/>
      </c>
      <c r="W266" s="3"/>
      <c r="X266" s="3"/>
      <c r="Y266" s="3" t="str">
        <f ca="1">IF($C266&lt;&gt;"",INDEX('Team Indirect'!$D:$D,MATCH($C266,'Team Indirect'!$A:$A,0)),"")</f>
        <v/>
      </c>
      <c r="Z266" s="3" t="str">
        <f ca="1">IF($C266&lt;&gt;"",INDEX('Team Indirect'!$E:$E,MATCH($C266,'Team Indirect'!$A:$A,0)),"")</f>
        <v/>
      </c>
      <c r="AA266" s="3" t="str">
        <f ca="1">IF($C266&lt;&gt;"",INDEX('Team Indirect'!$F:$F,MATCH($C266,'Team Indirect'!$A:$A,0)),"")</f>
        <v/>
      </c>
      <c r="AB266" s="3" t="str">
        <f t="shared" ca="1" si="4"/>
        <v/>
      </c>
      <c r="AC266" s="3">
        <f ca="1">IF(OR(AllocationUnits="Stories", AllocationUnits="Points"),'Work Indirect'!F266,F266/MAX('Work Indirect'!AB266,1))</f>
        <v>1</v>
      </c>
    </row>
    <row r="267" spans="1:29"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7" t="str">
        <f ca="1">IF(OFFSET('4. Work'!$A$1,ROW(D267)-1,COLUMN(D267)-1)="","",OFFSET('4. Work'!$A$1,ROW(D267)-1,COLUMN(D267)-1))</f>
        <v/>
      </c>
      <c r="E267" s="147"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I267" s="3" t="str">
        <f ca="1">IF(OFFSET('4. Work'!$A$1,ROW(I267)-1,COLUMN(I267)-1)="","",OFFSET('4. Work'!$A$1,ROW(I267)-1,COLUMN(I267)-1))</f>
        <v/>
      </c>
      <c r="T267" s="3" t="str">
        <f ca="1">IF(A267&lt;&gt;"",MAX('Initiative Indirect'!$T:$T)+(ROW(A267)-1),"")</f>
        <v/>
      </c>
      <c r="U267" s="3" t="str">
        <f ca="1">IF(B267&lt;&gt;"",INDEX('Initiative Indirect'!$T:$T,MATCH(B267,'Initiative Indirect'!$A:$A,0)),"")</f>
        <v/>
      </c>
      <c r="V267" s="3" t="str">
        <f ca="1">IF(C267&lt;&gt;"",INDEX('Team Indirect'!$T:$T,MATCH(C267,'Team Indirect'!$A:$A,0)),"")</f>
        <v/>
      </c>
      <c r="W267" s="3"/>
      <c r="X267" s="3"/>
      <c r="Y267" s="3" t="str">
        <f ca="1">IF($C267&lt;&gt;"",INDEX('Team Indirect'!$D:$D,MATCH($C267,'Team Indirect'!$A:$A,0)),"")</f>
        <v/>
      </c>
      <c r="Z267" s="3" t="str">
        <f ca="1">IF($C267&lt;&gt;"",INDEX('Team Indirect'!$E:$E,MATCH($C267,'Team Indirect'!$A:$A,0)),"")</f>
        <v/>
      </c>
      <c r="AA267" s="3" t="str">
        <f ca="1">IF($C267&lt;&gt;"",INDEX('Team Indirect'!$F:$F,MATCH($C267,'Team Indirect'!$A:$A,0)),"")</f>
        <v/>
      </c>
      <c r="AB267" s="3" t="str">
        <f t="shared" ca="1" si="4"/>
        <v/>
      </c>
      <c r="AC267" s="3">
        <f ca="1">IF(OR(AllocationUnits="Stories", AllocationUnits="Points"),'Work Indirect'!F267,F267/MAX('Work Indirect'!AB267,1))</f>
        <v>1</v>
      </c>
    </row>
    <row r="268" spans="1:29"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7" t="str">
        <f ca="1">IF(OFFSET('4. Work'!$A$1,ROW(D268)-1,COLUMN(D268)-1)="","",OFFSET('4. Work'!$A$1,ROW(D268)-1,COLUMN(D268)-1))</f>
        <v/>
      </c>
      <c r="E268" s="147"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I268" s="3" t="str">
        <f ca="1">IF(OFFSET('4. Work'!$A$1,ROW(I268)-1,COLUMN(I268)-1)="","",OFFSET('4. Work'!$A$1,ROW(I268)-1,COLUMN(I268)-1))</f>
        <v/>
      </c>
      <c r="T268" s="3" t="str">
        <f ca="1">IF(A268&lt;&gt;"",MAX('Initiative Indirect'!$T:$T)+(ROW(A268)-1),"")</f>
        <v/>
      </c>
      <c r="U268" s="3" t="str">
        <f ca="1">IF(B268&lt;&gt;"",INDEX('Initiative Indirect'!$T:$T,MATCH(B268,'Initiative Indirect'!$A:$A,0)),"")</f>
        <v/>
      </c>
      <c r="V268" s="3" t="str">
        <f ca="1">IF(C268&lt;&gt;"",INDEX('Team Indirect'!$T:$T,MATCH(C268,'Team Indirect'!$A:$A,0)),"")</f>
        <v/>
      </c>
      <c r="W268" s="3"/>
      <c r="X268" s="3"/>
      <c r="Y268" s="3" t="str">
        <f ca="1">IF($C268&lt;&gt;"",INDEX('Team Indirect'!$D:$D,MATCH($C268,'Team Indirect'!$A:$A,0)),"")</f>
        <v/>
      </c>
      <c r="Z268" s="3" t="str">
        <f ca="1">IF($C268&lt;&gt;"",INDEX('Team Indirect'!$E:$E,MATCH($C268,'Team Indirect'!$A:$A,0)),"")</f>
        <v/>
      </c>
      <c r="AA268" s="3" t="str">
        <f ca="1">IF($C268&lt;&gt;"",INDEX('Team Indirect'!$F:$F,MATCH($C268,'Team Indirect'!$A:$A,0)),"")</f>
        <v/>
      </c>
      <c r="AB268" s="3" t="str">
        <f t="shared" ca="1" si="4"/>
        <v/>
      </c>
      <c r="AC268" s="3">
        <f ca="1">IF(OR(AllocationUnits="Stories", AllocationUnits="Points"),'Work Indirect'!F268,F268/MAX('Work Indirect'!AB268,1))</f>
        <v>1</v>
      </c>
    </row>
    <row r="269" spans="1:29"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7" t="str">
        <f ca="1">IF(OFFSET('4. Work'!$A$1,ROW(D269)-1,COLUMN(D269)-1)="","",OFFSET('4. Work'!$A$1,ROW(D269)-1,COLUMN(D269)-1))</f>
        <v/>
      </c>
      <c r="E269" s="147"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I269" s="3" t="str">
        <f ca="1">IF(OFFSET('4. Work'!$A$1,ROW(I269)-1,COLUMN(I269)-1)="","",OFFSET('4. Work'!$A$1,ROW(I269)-1,COLUMN(I269)-1))</f>
        <v/>
      </c>
      <c r="T269" s="3" t="str">
        <f ca="1">IF(A269&lt;&gt;"",MAX('Initiative Indirect'!$T:$T)+(ROW(A269)-1),"")</f>
        <v/>
      </c>
      <c r="U269" s="3" t="str">
        <f ca="1">IF(B269&lt;&gt;"",INDEX('Initiative Indirect'!$T:$T,MATCH(B269,'Initiative Indirect'!$A:$A,0)),"")</f>
        <v/>
      </c>
      <c r="V269" s="3" t="str">
        <f ca="1">IF(C269&lt;&gt;"",INDEX('Team Indirect'!$T:$T,MATCH(C269,'Team Indirect'!$A:$A,0)),"")</f>
        <v/>
      </c>
      <c r="W269" s="3"/>
      <c r="X269" s="3"/>
      <c r="Y269" s="3" t="str">
        <f ca="1">IF($C269&lt;&gt;"",INDEX('Team Indirect'!$D:$D,MATCH($C269,'Team Indirect'!$A:$A,0)),"")</f>
        <v/>
      </c>
      <c r="Z269" s="3" t="str">
        <f ca="1">IF($C269&lt;&gt;"",INDEX('Team Indirect'!$E:$E,MATCH($C269,'Team Indirect'!$A:$A,0)),"")</f>
        <v/>
      </c>
      <c r="AA269" s="3" t="str">
        <f ca="1">IF($C269&lt;&gt;"",INDEX('Team Indirect'!$F:$F,MATCH($C269,'Team Indirect'!$A:$A,0)),"")</f>
        <v/>
      </c>
      <c r="AB269" s="3" t="str">
        <f t="shared" ca="1" si="4"/>
        <v/>
      </c>
      <c r="AC269" s="3">
        <f ca="1">IF(OR(AllocationUnits="Stories", AllocationUnits="Points"),'Work Indirect'!F269,F269/MAX('Work Indirect'!AB269,1))</f>
        <v>1</v>
      </c>
    </row>
    <row r="270" spans="1:29"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7" t="str">
        <f ca="1">IF(OFFSET('4. Work'!$A$1,ROW(D270)-1,COLUMN(D270)-1)="","",OFFSET('4. Work'!$A$1,ROW(D270)-1,COLUMN(D270)-1))</f>
        <v/>
      </c>
      <c r="E270" s="147"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I270" s="3" t="str">
        <f ca="1">IF(OFFSET('4. Work'!$A$1,ROW(I270)-1,COLUMN(I270)-1)="","",OFFSET('4. Work'!$A$1,ROW(I270)-1,COLUMN(I270)-1))</f>
        <v/>
      </c>
      <c r="T270" s="3" t="str">
        <f ca="1">IF(A270&lt;&gt;"",MAX('Initiative Indirect'!$T:$T)+(ROW(A270)-1),"")</f>
        <v/>
      </c>
      <c r="U270" s="3" t="str">
        <f ca="1">IF(B270&lt;&gt;"",INDEX('Initiative Indirect'!$T:$T,MATCH(B270,'Initiative Indirect'!$A:$A,0)),"")</f>
        <v/>
      </c>
      <c r="V270" s="3" t="str">
        <f ca="1">IF(C270&lt;&gt;"",INDEX('Team Indirect'!$T:$T,MATCH(C270,'Team Indirect'!$A:$A,0)),"")</f>
        <v/>
      </c>
      <c r="W270" s="3"/>
      <c r="X270" s="3"/>
      <c r="Y270" s="3" t="str">
        <f ca="1">IF($C270&lt;&gt;"",INDEX('Team Indirect'!$D:$D,MATCH($C270,'Team Indirect'!$A:$A,0)),"")</f>
        <v/>
      </c>
      <c r="Z270" s="3" t="str">
        <f ca="1">IF($C270&lt;&gt;"",INDEX('Team Indirect'!$E:$E,MATCH($C270,'Team Indirect'!$A:$A,0)),"")</f>
        <v/>
      </c>
      <c r="AA270" s="3" t="str">
        <f ca="1">IF($C270&lt;&gt;"",INDEX('Team Indirect'!$F:$F,MATCH($C270,'Team Indirect'!$A:$A,0)),"")</f>
        <v/>
      </c>
      <c r="AB270" s="3" t="str">
        <f t="shared" ca="1" si="4"/>
        <v/>
      </c>
      <c r="AC270" s="3">
        <f ca="1">IF(OR(AllocationUnits="Stories", AllocationUnits="Points"),'Work Indirect'!F270,F270/MAX('Work Indirect'!AB270,1))</f>
        <v>1</v>
      </c>
    </row>
    <row r="271" spans="1:29"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7" t="str">
        <f ca="1">IF(OFFSET('4. Work'!$A$1,ROW(D271)-1,COLUMN(D271)-1)="","",OFFSET('4. Work'!$A$1,ROW(D271)-1,COLUMN(D271)-1))</f>
        <v/>
      </c>
      <c r="E271" s="147"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I271" s="3" t="str">
        <f ca="1">IF(OFFSET('4. Work'!$A$1,ROW(I271)-1,COLUMN(I271)-1)="","",OFFSET('4. Work'!$A$1,ROW(I271)-1,COLUMN(I271)-1))</f>
        <v/>
      </c>
      <c r="T271" s="3" t="str">
        <f ca="1">IF(A271&lt;&gt;"",MAX('Initiative Indirect'!$T:$T)+(ROW(A271)-1),"")</f>
        <v/>
      </c>
      <c r="U271" s="3" t="str">
        <f ca="1">IF(B271&lt;&gt;"",INDEX('Initiative Indirect'!$T:$T,MATCH(B271,'Initiative Indirect'!$A:$A,0)),"")</f>
        <v/>
      </c>
      <c r="V271" s="3" t="str">
        <f ca="1">IF(C271&lt;&gt;"",INDEX('Team Indirect'!$T:$T,MATCH(C271,'Team Indirect'!$A:$A,0)),"")</f>
        <v/>
      </c>
      <c r="W271" s="3"/>
      <c r="X271" s="3"/>
      <c r="Y271" s="3" t="str">
        <f ca="1">IF($C271&lt;&gt;"",INDEX('Team Indirect'!$D:$D,MATCH($C271,'Team Indirect'!$A:$A,0)),"")</f>
        <v/>
      </c>
      <c r="Z271" s="3" t="str">
        <f ca="1">IF($C271&lt;&gt;"",INDEX('Team Indirect'!$E:$E,MATCH($C271,'Team Indirect'!$A:$A,0)),"")</f>
        <v/>
      </c>
      <c r="AA271" s="3" t="str">
        <f ca="1">IF($C271&lt;&gt;"",INDEX('Team Indirect'!$F:$F,MATCH($C271,'Team Indirect'!$A:$A,0)),"")</f>
        <v/>
      </c>
      <c r="AB271" s="3" t="str">
        <f t="shared" ca="1" si="4"/>
        <v/>
      </c>
      <c r="AC271" s="3">
        <f ca="1">IF(OR(AllocationUnits="Stories", AllocationUnits="Points"),'Work Indirect'!F271,F271/MAX('Work Indirect'!AB271,1))</f>
        <v>1</v>
      </c>
    </row>
    <row r="272" spans="1:29"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7" t="str">
        <f ca="1">IF(OFFSET('4. Work'!$A$1,ROW(D272)-1,COLUMN(D272)-1)="","",OFFSET('4. Work'!$A$1,ROW(D272)-1,COLUMN(D272)-1))</f>
        <v/>
      </c>
      <c r="E272" s="147"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I272" s="3" t="str">
        <f ca="1">IF(OFFSET('4. Work'!$A$1,ROW(I272)-1,COLUMN(I272)-1)="","",OFFSET('4. Work'!$A$1,ROW(I272)-1,COLUMN(I272)-1))</f>
        <v/>
      </c>
      <c r="T272" s="3" t="str">
        <f ca="1">IF(A272&lt;&gt;"",MAX('Initiative Indirect'!$T:$T)+(ROW(A272)-1),"")</f>
        <v/>
      </c>
      <c r="U272" s="3" t="str">
        <f ca="1">IF(B272&lt;&gt;"",INDEX('Initiative Indirect'!$T:$T,MATCH(B272,'Initiative Indirect'!$A:$A,0)),"")</f>
        <v/>
      </c>
      <c r="V272" s="3" t="str">
        <f ca="1">IF(C272&lt;&gt;"",INDEX('Team Indirect'!$T:$T,MATCH(C272,'Team Indirect'!$A:$A,0)),"")</f>
        <v/>
      </c>
      <c r="W272" s="3"/>
      <c r="X272" s="3"/>
      <c r="Y272" s="3" t="str">
        <f ca="1">IF($C272&lt;&gt;"",INDEX('Team Indirect'!$D:$D,MATCH($C272,'Team Indirect'!$A:$A,0)),"")</f>
        <v/>
      </c>
      <c r="Z272" s="3" t="str">
        <f ca="1">IF($C272&lt;&gt;"",INDEX('Team Indirect'!$E:$E,MATCH($C272,'Team Indirect'!$A:$A,0)),"")</f>
        <v/>
      </c>
      <c r="AA272" s="3" t="str">
        <f ca="1">IF($C272&lt;&gt;"",INDEX('Team Indirect'!$F:$F,MATCH($C272,'Team Indirect'!$A:$A,0)),"")</f>
        <v/>
      </c>
      <c r="AB272" s="3" t="str">
        <f t="shared" ca="1" si="4"/>
        <v/>
      </c>
      <c r="AC272" s="3">
        <f ca="1">IF(OR(AllocationUnits="Stories", AllocationUnits="Points"),'Work Indirect'!F272,F272/MAX('Work Indirect'!AB272,1))</f>
        <v>1</v>
      </c>
    </row>
    <row r="273" spans="1:29"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7" t="str">
        <f ca="1">IF(OFFSET('4. Work'!$A$1,ROW(D273)-1,COLUMN(D273)-1)="","",OFFSET('4. Work'!$A$1,ROW(D273)-1,COLUMN(D273)-1))</f>
        <v/>
      </c>
      <c r="E273" s="147"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I273" s="3" t="str">
        <f ca="1">IF(OFFSET('4. Work'!$A$1,ROW(I273)-1,COLUMN(I273)-1)="","",OFFSET('4. Work'!$A$1,ROW(I273)-1,COLUMN(I273)-1))</f>
        <v/>
      </c>
      <c r="T273" s="3" t="str">
        <f ca="1">IF(A273&lt;&gt;"",MAX('Initiative Indirect'!$T:$T)+(ROW(A273)-1),"")</f>
        <v/>
      </c>
      <c r="U273" s="3" t="str">
        <f ca="1">IF(B273&lt;&gt;"",INDEX('Initiative Indirect'!$T:$T,MATCH(B273,'Initiative Indirect'!$A:$A,0)),"")</f>
        <v/>
      </c>
      <c r="V273" s="3" t="str">
        <f ca="1">IF(C273&lt;&gt;"",INDEX('Team Indirect'!$T:$T,MATCH(C273,'Team Indirect'!$A:$A,0)),"")</f>
        <v/>
      </c>
      <c r="W273" s="3"/>
      <c r="X273" s="3"/>
      <c r="Y273" s="3" t="str">
        <f ca="1">IF($C273&lt;&gt;"",INDEX('Team Indirect'!$D:$D,MATCH($C273,'Team Indirect'!$A:$A,0)),"")</f>
        <v/>
      </c>
      <c r="Z273" s="3" t="str">
        <f ca="1">IF($C273&lt;&gt;"",INDEX('Team Indirect'!$E:$E,MATCH($C273,'Team Indirect'!$A:$A,0)),"")</f>
        <v/>
      </c>
      <c r="AA273" s="3" t="str">
        <f ca="1">IF($C273&lt;&gt;"",INDEX('Team Indirect'!$F:$F,MATCH($C273,'Team Indirect'!$A:$A,0)),"")</f>
        <v/>
      </c>
      <c r="AB273" s="3" t="str">
        <f t="shared" ca="1" si="4"/>
        <v/>
      </c>
      <c r="AC273" s="3">
        <f ca="1">IF(OR(AllocationUnits="Stories", AllocationUnits="Points"),'Work Indirect'!F273,F273/MAX('Work Indirect'!AB273,1))</f>
        <v>1</v>
      </c>
    </row>
    <row r="274" spans="1:29"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7" t="str">
        <f ca="1">IF(OFFSET('4. Work'!$A$1,ROW(D274)-1,COLUMN(D274)-1)="","",OFFSET('4. Work'!$A$1,ROW(D274)-1,COLUMN(D274)-1))</f>
        <v/>
      </c>
      <c r="E274" s="147"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I274" s="3" t="str">
        <f ca="1">IF(OFFSET('4. Work'!$A$1,ROW(I274)-1,COLUMN(I274)-1)="","",OFFSET('4. Work'!$A$1,ROW(I274)-1,COLUMN(I274)-1))</f>
        <v/>
      </c>
      <c r="T274" s="3" t="str">
        <f ca="1">IF(A274&lt;&gt;"",MAX('Initiative Indirect'!$T:$T)+(ROW(A274)-1),"")</f>
        <v/>
      </c>
      <c r="U274" s="3" t="str">
        <f ca="1">IF(B274&lt;&gt;"",INDEX('Initiative Indirect'!$T:$T,MATCH(B274,'Initiative Indirect'!$A:$A,0)),"")</f>
        <v/>
      </c>
      <c r="V274" s="3" t="str">
        <f ca="1">IF(C274&lt;&gt;"",INDEX('Team Indirect'!$T:$T,MATCH(C274,'Team Indirect'!$A:$A,0)),"")</f>
        <v/>
      </c>
      <c r="W274" s="3"/>
      <c r="X274" s="3"/>
      <c r="Y274" s="3" t="str">
        <f ca="1">IF($C274&lt;&gt;"",INDEX('Team Indirect'!$D:$D,MATCH($C274,'Team Indirect'!$A:$A,0)),"")</f>
        <v/>
      </c>
      <c r="Z274" s="3" t="str">
        <f ca="1">IF($C274&lt;&gt;"",INDEX('Team Indirect'!$E:$E,MATCH($C274,'Team Indirect'!$A:$A,0)),"")</f>
        <v/>
      </c>
      <c r="AA274" s="3" t="str">
        <f ca="1">IF($C274&lt;&gt;"",INDEX('Team Indirect'!$F:$F,MATCH($C274,'Team Indirect'!$A:$A,0)),"")</f>
        <v/>
      </c>
      <c r="AB274" s="3" t="str">
        <f t="shared" ca="1" si="4"/>
        <v/>
      </c>
      <c r="AC274" s="3">
        <f ca="1">IF(OR(AllocationUnits="Stories", AllocationUnits="Points"),'Work Indirect'!F274,F274/MAX('Work Indirect'!AB274,1))</f>
        <v>1</v>
      </c>
    </row>
    <row r="275" spans="1:29"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7" t="str">
        <f ca="1">IF(OFFSET('4. Work'!$A$1,ROW(D275)-1,COLUMN(D275)-1)="","",OFFSET('4. Work'!$A$1,ROW(D275)-1,COLUMN(D275)-1))</f>
        <v/>
      </c>
      <c r="E275" s="147"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I275" s="3" t="str">
        <f ca="1">IF(OFFSET('4. Work'!$A$1,ROW(I275)-1,COLUMN(I275)-1)="","",OFFSET('4. Work'!$A$1,ROW(I275)-1,COLUMN(I275)-1))</f>
        <v/>
      </c>
      <c r="T275" s="3" t="str">
        <f ca="1">IF(A275&lt;&gt;"",MAX('Initiative Indirect'!$T:$T)+(ROW(A275)-1),"")</f>
        <v/>
      </c>
      <c r="U275" s="3" t="str">
        <f ca="1">IF(B275&lt;&gt;"",INDEX('Initiative Indirect'!$T:$T,MATCH(B275,'Initiative Indirect'!$A:$A,0)),"")</f>
        <v/>
      </c>
      <c r="V275" s="3" t="str">
        <f ca="1">IF(C275&lt;&gt;"",INDEX('Team Indirect'!$T:$T,MATCH(C275,'Team Indirect'!$A:$A,0)),"")</f>
        <v/>
      </c>
      <c r="W275" s="3"/>
      <c r="X275" s="3"/>
      <c r="Y275" s="3" t="str">
        <f ca="1">IF($C275&lt;&gt;"",INDEX('Team Indirect'!$D:$D,MATCH($C275,'Team Indirect'!$A:$A,0)),"")</f>
        <v/>
      </c>
      <c r="Z275" s="3" t="str">
        <f ca="1">IF($C275&lt;&gt;"",INDEX('Team Indirect'!$E:$E,MATCH($C275,'Team Indirect'!$A:$A,0)),"")</f>
        <v/>
      </c>
      <c r="AA275" s="3" t="str">
        <f ca="1">IF($C275&lt;&gt;"",INDEX('Team Indirect'!$F:$F,MATCH($C275,'Team Indirect'!$A:$A,0)),"")</f>
        <v/>
      </c>
      <c r="AB275" s="3" t="str">
        <f t="shared" ca="1" si="4"/>
        <v/>
      </c>
      <c r="AC275" s="3">
        <f ca="1">IF(OR(AllocationUnits="Stories", AllocationUnits="Points"),'Work Indirect'!F275,F275/MAX('Work Indirect'!AB275,1))</f>
        <v>1</v>
      </c>
    </row>
    <row r="276" spans="1:29"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7" t="str">
        <f ca="1">IF(OFFSET('4. Work'!$A$1,ROW(D276)-1,COLUMN(D276)-1)="","",OFFSET('4. Work'!$A$1,ROW(D276)-1,COLUMN(D276)-1))</f>
        <v/>
      </c>
      <c r="E276" s="147"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I276" s="3" t="str">
        <f ca="1">IF(OFFSET('4. Work'!$A$1,ROW(I276)-1,COLUMN(I276)-1)="","",OFFSET('4. Work'!$A$1,ROW(I276)-1,COLUMN(I276)-1))</f>
        <v/>
      </c>
      <c r="T276" s="3" t="str">
        <f ca="1">IF(A276&lt;&gt;"",MAX('Initiative Indirect'!$T:$T)+(ROW(A276)-1),"")</f>
        <v/>
      </c>
      <c r="U276" s="3" t="str">
        <f ca="1">IF(B276&lt;&gt;"",INDEX('Initiative Indirect'!$T:$T,MATCH(B276,'Initiative Indirect'!$A:$A,0)),"")</f>
        <v/>
      </c>
      <c r="V276" s="3" t="str">
        <f ca="1">IF(C276&lt;&gt;"",INDEX('Team Indirect'!$T:$T,MATCH(C276,'Team Indirect'!$A:$A,0)),"")</f>
        <v/>
      </c>
      <c r="W276" s="3"/>
      <c r="X276" s="3"/>
      <c r="Y276" s="3" t="str">
        <f ca="1">IF($C276&lt;&gt;"",INDEX('Team Indirect'!$D:$D,MATCH($C276,'Team Indirect'!$A:$A,0)),"")</f>
        <v/>
      </c>
      <c r="Z276" s="3" t="str">
        <f ca="1">IF($C276&lt;&gt;"",INDEX('Team Indirect'!$E:$E,MATCH($C276,'Team Indirect'!$A:$A,0)),"")</f>
        <v/>
      </c>
      <c r="AA276" s="3" t="str">
        <f ca="1">IF($C276&lt;&gt;"",INDEX('Team Indirect'!$F:$F,MATCH($C276,'Team Indirect'!$A:$A,0)),"")</f>
        <v/>
      </c>
      <c r="AB276" s="3" t="str">
        <f t="shared" ca="1" si="4"/>
        <v/>
      </c>
      <c r="AC276" s="3">
        <f ca="1">IF(OR(AllocationUnits="Stories", AllocationUnits="Points"),'Work Indirect'!F276,F276/MAX('Work Indirect'!AB276,1))</f>
        <v>1</v>
      </c>
    </row>
    <row r="277" spans="1:29"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7" t="str">
        <f ca="1">IF(OFFSET('4. Work'!$A$1,ROW(D277)-1,COLUMN(D277)-1)="","",OFFSET('4. Work'!$A$1,ROW(D277)-1,COLUMN(D277)-1))</f>
        <v/>
      </c>
      <c r="E277" s="147"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I277" s="3" t="str">
        <f ca="1">IF(OFFSET('4. Work'!$A$1,ROW(I277)-1,COLUMN(I277)-1)="","",OFFSET('4. Work'!$A$1,ROW(I277)-1,COLUMN(I277)-1))</f>
        <v/>
      </c>
      <c r="T277" s="3" t="str">
        <f ca="1">IF(A277&lt;&gt;"",MAX('Initiative Indirect'!$T:$T)+(ROW(A277)-1),"")</f>
        <v/>
      </c>
      <c r="U277" s="3" t="str">
        <f ca="1">IF(B277&lt;&gt;"",INDEX('Initiative Indirect'!$T:$T,MATCH(B277,'Initiative Indirect'!$A:$A,0)),"")</f>
        <v/>
      </c>
      <c r="V277" s="3" t="str">
        <f ca="1">IF(C277&lt;&gt;"",INDEX('Team Indirect'!$T:$T,MATCH(C277,'Team Indirect'!$A:$A,0)),"")</f>
        <v/>
      </c>
      <c r="W277" s="3"/>
      <c r="X277" s="3"/>
      <c r="Y277" s="3" t="str">
        <f ca="1">IF($C277&lt;&gt;"",INDEX('Team Indirect'!$D:$D,MATCH($C277,'Team Indirect'!$A:$A,0)),"")</f>
        <v/>
      </c>
      <c r="Z277" s="3" t="str">
        <f ca="1">IF($C277&lt;&gt;"",INDEX('Team Indirect'!$E:$E,MATCH($C277,'Team Indirect'!$A:$A,0)),"")</f>
        <v/>
      </c>
      <c r="AA277" s="3" t="str">
        <f ca="1">IF($C277&lt;&gt;"",INDEX('Team Indirect'!$F:$F,MATCH($C277,'Team Indirect'!$A:$A,0)),"")</f>
        <v/>
      </c>
      <c r="AB277" s="3" t="str">
        <f t="shared" ca="1" si="4"/>
        <v/>
      </c>
      <c r="AC277" s="3">
        <f ca="1">IF(OR(AllocationUnits="Stories", AllocationUnits="Points"),'Work Indirect'!F277,F277/MAX('Work Indirect'!AB277,1))</f>
        <v>1</v>
      </c>
    </row>
    <row r="278" spans="1:29"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7" t="str">
        <f ca="1">IF(OFFSET('4. Work'!$A$1,ROW(D278)-1,COLUMN(D278)-1)="","",OFFSET('4. Work'!$A$1,ROW(D278)-1,COLUMN(D278)-1))</f>
        <v/>
      </c>
      <c r="E278" s="147"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I278" s="3" t="str">
        <f ca="1">IF(OFFSET('4. Work'!$A$1,ROW(I278)-1,COLUMN(I278)-1)="","",OFFSET('4. Work'!$A$1,ROW(I278)-1,COLUMN(I278)-1))</f>
        <v/>
      </c>
      <c r="T278" s="3" t="str">
        <f ca="1">IF(A278&lt;&gt;"",MAX('Initiative Indirect'!$T:$T)+(ROW(A278)-1),"")</f>
        <v/>
      </c>
      <c r="U278" s="3" t="str">
        <f ca="1">IF(B278&lt;&gt;"",INDEX('Initiative Indirect'!$T:$T,MATCH(B278,'Initiative Indirect'!$A:$A,0)),"")</f>
        <v/>
      </c>
      <c r="V278" s="3" t="str">
        <f ca="1">IF(C278&lt;&gt;"",INDEX('Team Indirect'!$T:$T,MATCH(C278,'Team Indirect'!$A:$A,0)),"")</f>
        <v/>
      </c>
      <c r="W278" s="3"/>
      <c r="X278" s="3"/>
      <c r="Y278" s="3" t="str">
        <f ca="1">IF($C278&lt;&gt;"",INDEX('Team Indirect'!$D:$D,MATCH($C278,'Team Indirect'!$A:$A,0)),"")</f>
        <v/>
      </c>
      <c r="Z278" s="3" t="str">
        <f ca="1">IF($C278&lt;&gt;"",INDEX('Team Indirect'!$E:$E,MATCH($C278,'Team Indirect'!$A:$A,0)),"")</f>
        <v/>
      </c>
      <c r="AA278" s="3" t="str">
        <f ca="1">IF($C278&lt;&gt;"",INDEX('Team Indirect'!$F:$F,MATCH($C278,'Team Indirect'!$A:$A,0)),"")</f>
        <v/>
      </c>
      <c r="AB278" s="3" t="str">
        <f t="shared" ca="1" si="4"/>
        <v/>
      </c>
      <c r="AC278" s="3">
        <f ca="1">IF(OR(AllocationUnits="Stories", AllocationUnits="Points"),'Work Indirect'!F278,F278/MAX('Work Indirect'!AB278,1))</f>
        <v>1</v>
      </c>
    </row>
    <row r="279" spans="1:29"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7" t="str">
        <f ca="1">IF(OFFSET('4. Work'!$A$1,ROW(D279)-1,COLUMN(D279)-1)="","",OFFSET('4. Work'!$A$1,ROW(D279)-1,COLUMN(D279)-1))</f>
        <v/>
      </c>
      <c r="E279" s="147"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I279" s="3" t="str">
        <f ca="1">IF(OFFSET('4. Work'!$A$1,ROW(I279)-1,COLUMN(I279)-1)="","",OFFSET('4. Work'!$A$1,ROW(I279)-1,COLUMN(I279)-1))</f>
        <v/>
      </c>
      <c r="T279" s="3" t="str">
        <f ca="1">IF(A279&lt;&gt;"",MAX('Initiative Indirect'!$T:$T)+(ROW(A279)-1),"")</f>
        <v/>
      </c>
      <c r="U279" s="3" t="str">
        <f ca="1">IF(B279&lt;&gt;"",INDEX('Initiative Indirect'!$T:$T,MATCH(B279,'Initiative Indirect'!$A:$A,0)),"")</f>
        <v/>
      </c>
      <c r="V279" s="3" t="str">
        <f ca="1">IF(C279&lt;&gt;"",INDEX('Team Indirect'!$T:$T,MATCH(C279,'Team Indirect'!$A:$A,0)),"")</f>
        <v/>
      </c>
      <c r="W279" s="3"/>
      <c r="X279" s="3"/>
      <c r="Y279" s="3" t="str">
        <f ca="1">IF($C279&lt;&gt;"",INDEX('Team Indirect'!$D:$D,MATCH($C279,'Team Indirect'!$A:$A,0)),"")</f>
        <v/>
      </c>
      <c r="Z279" s="3" t="str">
        <f ca="1">IF($C279&lt;&gt;"",INDEX('Team Indirect'!$E:$E,MATCH($C279,'Team Indirect'!$A:$A,0)),"")</f>
        <v/>
      </c>
      <c r="AA279" s="3" t="str">
        <f ca="1">IF($C279&lt;&gt;"",INDEX('Team Indirect'!$F:$F,MATCH($C279,'Team Indirect'!$A:$A,0)),"")</f>
        <v/>
      </c>
      <c r="AB279" s="3" t="str">
        <f t="shared" ca="1" si="4"/>
        <v/>
      </c>
      <c r="AC279" s="3">
        <f ca="1">IF(OR(AllocationUnits="Stories", AllocationUnits="Points"),'Work Indirect'!F279,F279/MAX('Work Indirect'!AB279,1))</f>
        <v>1</v>
      </c>
    </row>
    <row r="280" spans="1:29"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7" t="str">
        <f ca="1">IF(OFFSET('4. Work'!$A$1,ROW(D280)-1,COLUMN(D280)-1)="","",OFFSET('4. Work'!$A$1,ROW(D280)-1,COLUMN(D280)-1))</f>
        <v/>
      </c>
      <c r="E280" s="147"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I280" s="3" t="str">
        <f ca="1">IF(OFFSET('4. Work'!$A$1,ROW(I280)-1,COLUMN(I280)-1)="","",OFFSET('4. Work'!$A$1,ROW(I280)-1,COLUMN(I280)-1))</f>
        <v/>
      </c>
      <c r="T280" s="3" t="str">
        <f ca="1">IF(A280&lt;&gt;"",MAX('Initiative Indirect'!$T:$T)+(ROW(A280)-1),"")</f>
        <v/>
      </c>
      <c r="U280" s="3" t="str">
        <f ca="1">IF(B280&lt;&gt;"",INDEX('Initiative Indirect'!$T:$T,MATCH(B280,'Initiative Indirect'!$A:$A,0)),"")</f>
        <v/>
      </c>
      <c r="V280" s="3" t="str">
        <f ca="1">IF(C280&lt;&gt;"",INDEX('Team Indirect'!$T:$T,MATCH(C280,'Team Indirect'!$A:$A,0)),"")</f>
        <v/>
      </c>
      <c r="W280" s="3"/>
      <c r="X280" s="3"/>
      <c r="Y280" s="3" t="str">
        <f ca="1">IF($C280&lt;&gt;"",INDEX('Team Indirect'!$D:$D,MATCH($C280,'Team Indirect'!$A:$A,0)),"")</f>
        <v/>
      </c>
      <c r="Z280" s="3" t="str">
        <f ca="1">IF($C280&lt;&gt;"",INDEX('Team Indirect'!$E:$E,MATCH($C280,'Team Indirect'!$A:$A,0)),"")</f>
        <v/>
      </c>
      <c r="AA280" s="3" t="str">
        <f ca="1">IF($C280&lt;&gt;"",INDEX('Team Indirect'!$F:$F,MATCH($C280,'Team Indirect'!$A:$A,0)),"")</f>
        <v/>
      </c>
      <c r="AB280" s="3" t="str">
        <f t="shared" ca="1" si="4"/>
        <v/>
      </c>
      <c r="AC280" s="3">
        <f ca="1">IF(OR(AllocationUnits="Stories", AllocationUnits="Points"),'Work Indirect'!F280,F280/MAX('Work Indirect'!AB280,1))</f>
        <v>1</v>
      </c>
    </row>
    <row r="281" spans="1:29"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7" t="str">
        <f ca="1">IF(OFFSET('4. Work'!$A$1,ROW(D281)-1,COLUMN(D281)-1)="","",OFFSET('4. Work'!$A$1,ROW(D281)-1,COLUMN(D281)-1))</f>
        <v/>
      </c>
      <c r="E281" s="147"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I281" s="3" t="str">
        <f ca="1">IF(OFFSET('4. Work'!$A$1,ROW(I281)-1,COLUMN(I281)-1)="","",OFFSET('4. Work'!$A$1,ROW(I281)-1,COLUMN(I281)-1))</f>
        <v/>
      </c>
      <c r="T281" s="3" t="str">
        <f ca="1">IF(A281&lt;&gt;"",MAX('Initiative Indirect'!$T:$T)+(ROW(A281)-1),"")</f>
        <v/>
      </c>
      <c r="U281" s="3" t="str">
        <f ca="1">IF(B281&lt;&gt;"",INDEX('Initiative Indirect'!$T:$T,MATCH(B281,'Initiative Indirect'!$A:$A,0)),"")</f>
        <v/>
      </c>
      <c r="V281" s="3" t="str">
        <f ca="1">IF(C281&lt;&gt;"",INDEX('Team Indirect'!$T:$T,MATCH(C281,'Team Indirect'!$A:$A,0)),"")</f>
        <v/>
      </c>
      <c r="W281" s="3"/>
      <c r="X281" s="3"/>
      <c r="Y281" s="3" t="str">
        <f ca="1">IF($C281&lt;&gt;"",INDEX('Team Indirect'!$D:$D,MATCH($C281,'Team Indirect'!$A:$A,0)),"")</f>
        <v/>
      </c>
      <c r="Z281" s="3" t="str">
        <f ca="1">IF($C281&lt;&gt;"",INDEX('Team Indirect'!$E:$E,MATCH($C281,'Team Indirect'!$A:$A,0)),"")</f>
        <v/>
      </c>
      <c r="AA281" s="3" t="str">
        <f ca="1">IF($C281&lt;&gt;"",INDEX('Team Indirect'!$F:$F,MATCH($C281,'Team Indirect'!$A:$A,0)),"")</f>
        <v/>
      </c>
      <c r="AB281" s="3" t="str">
        <f t="shared" ca="1" si="4"/>
        <v/>
      </c>
      <c r="AC281" s="3">
        <f ca="1">IF(OR(AllocationUnits="Stories", AllocationUnits="Points"),'Work Indirect'!F281,F281/MAX('Work Indirect'!AB281,1))</f>
        <v>1</v>
      </c>
    </row>
    <row r="282" spans="1:29"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7" t="str">
        <f ca="1">IF(OFFSET('4. Work'!$A$1,ROW(D282)-1,COLUMN(D282)-1)="","",OFFSET('4. Work'!$A$1,ROW(D282)-1,COLUMN(D282)-1))</f>
        <v/>
      </c>
      <c r="E282" s="147"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I282" s="3" t="str">
        <f ca="1">IF(OFFSET('4. Work'!$A$1,ROW(I282)-1,COLUMN(I282)-1)="","",OFFSET('4. Work'!$A$1,ROW(I282)-1,COLUMN(I282)-1))</f>
        <v/>
      </c>
      <c r="T282" s="3" t="str">
        <f ca="1">IF(A282&lt;&gt;"",MAX('Initiative Indirect'!$T:$T)+(ROW(A282)-1),"")</f>
        <v/>
      </c>
      <c r="U282" s="3" t="str">
        <f ca="1">IF(B282&lt;&gt;"",INDEX('Initiative Indirect'!$T:$T,MATCH(B282,'Initiative Indirect'!$A:$A,0)),"")</f>
        <v/>
      </c>
      <c r="V282" s="3" t="str">
        <f ca="1">IF(C282&lt;&gt;"",INDEX('Team Indirect'!$T:$T,MATCH(C282,'Team Indirect'!$A:$A,0)),"")</f>
        <v/>
      </c>
      <c r="W282" s="3"/>
      <c r="X282" s="3"/>
      <c r="Y282" s="3" t="str">
        <f ca="1">IF($C282&lt;&gt;"",INDEX('Team Indirect'!$D:$D,MATCH($C282,'Team Indirect'!$A:$A,0)),"")</f>
        <v/>
      </c>
      <c r="Z282" s="3" t="str">
        <f ca="1">IF($C282&lt;&gt;"",INDEX('Team Indirect'!$E:$E,MATCH($C282,'Team Indirect'!$A:$A,0)),"")</f>
        <v/>
      </c>
      <c r="AA282" s="3" t="str">
        <f ca="1">IF($C282&lt;&gt;"",INDEX('Team Indirect'!$F:$F,MATCH($C282,'Team Indirect'!$A:$A,0)),"")</f>
        <v/>
      </c>
      <c r="AB282" s="3" t="str">
        <f t="shared" ca="1" si="4"/>
        <v/>
      </c>
      <c r="AC282" s="3">
        <f ca="1">IF(OR(AllocationUnits="Stories", AllocationUnits="Points"),'Work Indirect'!F282,F282/MAX('Work Indirect'!AB282,1))</f>
        <v>1</v>
      </c>
    </row>
    <row r="283" spans="1:29"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7" t="str">
        <f ca="1">IF(OFFSET('4. Work'!$A$1,ROW(D283)-1,COLUMN(D283)-1)="","",OFFSET('4. Work'!$A$1,ROW(D283)-1,COLUMN(D283)-1))</f>
        <v/>
      </c>
      <c r="E283" s="147"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I283" s="3" t="str">
        <f ca="1">IF(OFFSET('4. Work'!$A$1,ROW(I283)-1,COLUMN(I283)-1)="","",OFFSET('4. Work'!$A$1,ROW(I283)-1,COLUMN(I283)-1))</f>
        <v/>
      </c>
      <c r="T283" s="3" t="str">
        <f ca="1">IF(A283&lt;&gt;"",MAX('Initiative Indirect'!$T:$T)+(ROW(A283)-1),"")</f>
        <v/>
      </c>
      <c r="U283" s="3" t="str">
        <f ca="1">IF(B283&lt;&gt;"",INDEX('Initiative Indirect'!$T:$T,MATCH(B283,'Initiative Indirect'!$A:$A,0)),"")</f>
        <v/>
      </c>
      <c r="V283" s="3" t="str">
        <f ca="1">IF(C283&lt;&gt;"",INDEX('Team Indirect'!$T:$T,MATCH(C283,'Team Indirect'!$A:$A,0)),"")</f>
        <v/>
      </c>
      <c r="W283" s="3"/>
      <c r="X283" s="3"/>
      <c r="Y283" s="3" t="str">
        <f ca="1">IF($C283&lt;&gt;"",INDEX('Team Indirect'!$D:$D,MATCH($C283,'Team Indirect'!$A:$A,0)),"")</f>
        <v/>
      </c>
      <c r="Z283" s="3" t="str">
        <f ca="1">IF($C283&lt;&gt;"",INDEX('Team Indirect'!$E:$E,MATCH($C283,'Team Indirect'!$A:$A,0)),"")</f>
        <v/>
      </c>
      <c r="AA283" s="3" t="str">
        <f ca="1">IF($C283&lt;&gt;"",INDEX('Team Indirect'!$F:$F,MATCH($C283,'Team Indirect'!$A:$A,0)),"")</f>
        <v/>
      </c>
      <c r="AB283" s="3" t="str">
        <f t="shared" ca="1" si="4"/>
        <v/>
      </c>
      <c r="AC283" s="3">
        <f ca="1">IF(OR(AllocationUnits="Stories", AllocationUnits="Points"),'Work Indirect'!F283,F283/MAX('Work Indirect'!AB283,1))</f>
        <v>1</v>
      </c>
    </row>
    <row r="284" spans="1:29"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7" t="str">
        <f ca="1">IF(OFFSET('4. Work'!$A$1,ROW(D284)-1,COLUMN(D284)-1)="","",OFFSET('4. Work'!$A$1,ROW(D284)-1,COLUMN(D284)-1))</f>
        <v/>
      </c>
      <c r="E284" s="147"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I284" s="3" t="str">
        <f ca="1">IF(OFFSET('4. Work'!$A$1,ROW(I284)-1,COLUMN(I284)-1)="","",OFFSET('4. Work'!$A$1,ROW(I284)-1,COLUMN(I284)-1))</f>
        <v/>
      </c>
      <c r="T284" s="3" t="str">
        <f ca="1">IF(A284&lt;&gt;"",MAX('Initiative Indirect'!$T:$T)+(ROW(A284)-1),"")</f>
        <v/>
      </c>
      <c r="U284" s="3" t="str">
        <f ca="1">IF(B284&lt;&gt;"",INDEX('Initiative Indirect'!$T:$T,MATCH(B284,'Initiative Indirect'!$A:$A,0)),"")</f>
        <v/>
      </c>
      <c r="V284" s="3" t="str">
        <f ca="1">IF(C284&lt;&gt;"",INDEX('Team Indirect'!$T:$T,MATCH(C284,'Team Indirect'!$A:$A,0)),"")</f>
        <v/>
      </c>
      <c r="W284" s="3"/>
      <c r="X284" s="3"/>
      <c r="Y284" s="3" t="str">
        <f ca="1">IF($C284&lt;&gt;"",INDEX('Team Indirect'!$D:$D,MATCH($C284,'Team Indirect'!$A:$A,0)),"")</f>
        <v/>
      </c>
      <c r="Z284" s="3" t="str">
        <f ca="1">IF($C284&lt;&gt;"",INDEX('Team Indirect'!$E:$E,MATCH($C284,'Team Indirect'!$A:$A,0)),"")</f>
        <v/>
      </c>
      <c r="AA284" s="3" t="str">
        <f ca="1">IF($C284&lt;&gt;"",INDEX('Team Indirect'!$F:$F,MATCH($C284,'Team Indirect'!$A:$A,0)),"")</f>
        <v/>
      </c>
      <c r="AB284" s="3" t="str">
        <f t="shared" ca="1" si="4"/>
        <v/>
      </c>
      <c r="AC284" s="3">
        <f ca="1">IF(OR(AllocationUnits="Stories", AllocationUnits="Points"),'Work Indirect'!F284,F284/MAX('Work Indirect'!AB284,1))</f>
        <v>1</v>
      </c>
    </row>
    <row r="285" spans="1:29"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7" t="str">
        <f ca="1">IF(OFFSET('4. Work'!$A$1,ROW(D285)-1,COLUMN(D285)-1)="","",OFFSET('4. Work'!$A$1,ROW(D285)-1,COLUMN(D285)-1))</f>
        <v/>
      </c>
      <c r="E285" s="147"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I285" s="3" t="str">
        <f ca="1">IF(OFFSET('4. Work'!$A$1,ROW(I285)-1,COLUMN(I285)-1)="","",OFFSET('4. Work'!$A$1,ROW(I285)-1,COLUMN(I285)-1))</f>
        <v/>
      </c>
      <c r="T285" s="3" t="str">
        <f ca="1">IF(A285&lt;&gt;"",MAX('Initiative Indirect'!$T:$T)+(ROW(A285)-1),"")</f>
        <v/>
      </c>
      <c r="U285" s="3" t="str">
        <f ca="1">IF(B285&lt;&gt;"",INDEX('Initiative Indirect'!$T:$T,MATCH(B285,'Initiative Indirect'!$A:$A,0)),"")</f>
        <v/>
      </c>
      <c r="V285" s="3" t="str">
        <f ca="1">IF(C285&lt;&gt;"",INDEX('Team Indirect'!$T:$T,MATCH(C285,'Team Indirect'!$A:$A,0)),"")</f>
        <v/>
      </c>
      <c r="W285" s="3"/>
      <c r="X285" s="3"/>
      <c r="Y285" s="3" t="str">
        <f ca="1">IF($C285&lt;&gt;"",INDEX('Team Indirect'!$D:$D,MATCH($C285,'Team Indirect'!$A:$A,0)),"")</f>
        <v/>
      </c>
      <c r="Z285" s="3" t="str">
        <f ca="1">IF($C285&lt;&gt;"",INDEX('Team Indirect'!$E:$E,MATCH($C285,'Team Indirect'!$A:$A,0)),"")</f>
        <v/>
      </c>
      <c r="AA285" s="3" t="str">
        <f ca="1">IF($C285&lt;&gt;"",INDEX('Team Indirect'!$F:$F,MATCH($C285,'Team Indirect'!$A:$A,0)),"")</f>
        <v/>
      </c>
      <c r="AB285" s="3" t="str">
        <f t="shared" ca="1" si="4"/>
        <v/>
      </c>
      <c r="AC285" s="3">
        <f ca="1">IF(OR(AllocationUnits="Stories", AllocationUnits="Points"),'Work Indirect'!F285,F285/MAX('Work Indirect'!AB285,1))</f>
        <v>1</v>
      </c>
    </row>
    <row r="286" spans="1:29"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7" t="str">
        <f ca="1">IF(OFFSET('4. Work'!$A$1,ROW(D286)-1,COLUMN(D286)-1)="","",OFFSET('4. Work'!$A$1,ROW(D286)-1,COLUMN(D286)-1))</f>
        <v/>
      </c>
      <c r="E286" s="147"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I286" s="3" t="str">
        <f ca="1">IF(OFFSET('4. Work'!$A$1,ROW(I286)-1,COLUMN(I286)-1)="","",OFFSET('4. Work'!$A$1,ROW(I286)-1,COLUMN(I286)-1))</f>
        <v/>
      </c>
      <c r="T286" s="3" t="str">
        <f ca="1">IF(A286&lt;&gt;"",MAX('Initiative Indirect'!$T:$T)+(ROW(A286)-1),"")</f>
        <v/>
      </c>
      <c r="U286" s="3" t="str">
        <f ca="1">IF(B286&lt;&gt;"",INDEX('Initiative Indirect'!$T:$T,MATCH(B286,'Initiative Indirect'!$A:$A,0)),"")</f>
        <v/>
      </c>
      <c r="V286" s="3" t="str">
        <f ca="1">IF(C286&lt;&gt;"",INDEX('Team Indirect'!$T:$T,MATCH(C286,'Team Indirect'!$A:$A,0)),"")</f>
        <v/>
      </c>
      <c r="W286" s="3"/>
      <c r="X286" s="3"/>
      <c r="Y286" s="3" t="str">
        <f ca="1">IF($C286&lt;&gt;"",INDEX('Team Indirect'!$D:$D,MATCH($C286,'Team Indirect'!$A:$A,0)),"")</f>
        <v/>
      </c>
      <c r="Z286" s="3" t="str">
        <f ca="1">IF($C286&lt;&gt;"",INDEX('Team Indirect'!$E:$E,MATCH($C286,'Team Indirect'!$A:$A,0)),"")</f>
        <v/>
      </c>
      <c r="AA286" s="3" t="str">
        <f ca="1">IF($C286&lt;&gt;"",INDEX('Team Indirect'!$F:$F,MATCH($C286,'Team Indirect'!$A:$A,0)),"")</f>
        <v/>
      </c>
      <c r="AB286" s="3" t="str">
        <f t="shared" ca="1" si="4"/>
        <v/>
      </c>
      <c r="AC286" s="3">
        <f ca="1">IF(OR(AllocationUnits="Stories", AllocationUnits="Points"),'Work Indirect'!F286,F286/MAX('Work Indirect'!AB286,1))</f>
        <v>1</v>
      </c>
    </row>
    <row r="287" spans="1:29"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7" t="str">
        <f ca="1">IF(OFFSET('4. Work'!$A$1,ROW(D287)-1,COLUMN(D287)-1)="","",OFFSET('4. Work'!$A$1,ROW(D287)-1,COLUMN(D287)-1))</f>
        <v/>
      </c>
      <c r="E287" s="147"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I287" s="3" t="str">
        <f ca="1">IF(OFFSET('4. Work'!$A$1,ROW(I287)-1,COLUMN(I287)-1)="","",OFFSET('4. Work'!$A$1,ROW(I287)-1,COLUMN(I287)-1))</f>
        <v/>
      </c>
      <c r="T287" s="3" t="str">
        <f ca="1">IF(A287&lt;&gt;"",MAX('Initiative Indirect'!$T:$T)+(ROW(A287)-1),"")</f>
        <v/>
      </c>
      <c r="U287" s="3" t="str">
        <f ca="1">IF(B287&lt;&gt;"",INDEX('Initiative Indirect'!$T:$T,MATCH(B287,'Initiative Indirect'!$A:$A,0)),"")</f>
        <v/>
      </c>
      <c r="V287" s="3" t="str">
        <f ca="1">IF(C287&lt;&gt;"",INDEX('Team Indirect'!$T:$T,MATCH(C287,'Team Indirect'!$A:$A,0)),"")</f>
        <v/>
      </c>
      <c r="W287" s="3"/>
      <c r="X287" s="3"/>
      <c r="Y287" s="3" t="str">
        <f ca="1">IF($C287&lt;&gt;"",INDEX('Team Indirect'!$D:$D,MATCH($C287,'Team Indirect'!$A:$A,0)),"")</f>
        <v/>
      </c>
      <c r="Z287" s="3" t="str">
        <f ca="1">IF($C287&lt;&gt;"",INDEX('Team Indirect'!$E:$E,MATCH($C287,'Team Indirect'!$A:$A,0)),"")</f>
        <v/>
      </c>
      <c r="AA287" s="3" t="str">
        <f ca="1">IF($C287&lt;&gt;"",INDEX('Team Indirect'!$F:$F,MATCH($C287,'Team Indirect'!$A:$A,0)),"")</f>
        <v/>
      </c>
      <c r="AB287" s="3" t="str">
        <f t="shared" ca="1" si="4"/>
        <v/>
      </c>
      <c r="AC287" s="3">
        <f ca="1">IF(OR(AllocationUnits="Stories", AllocationUnits="Points"),'Work Indirect'!F287,F287/MAX('Work Indirect'!AB287,1))</f>
        <v>1</v>
      </c>
    </row>
    <row r="288" spans="1:29"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7" t="str">
        <f ca="1">IF(OFFSET('4. Work'!$A$1,ROW(D288)-1,COLUMN(D288)-1)="","",OFFSET('4. Work'!$A$1,ROW(D288)-1,COLUMN(D288)-1))</f>
        <v/>
      </c>
      <c r="E288" s="147"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I288" s="3" t="str">
        <f ca="1">IF(OFFSET('4. Work'!$A$1,ROW(I288)-1,COLUMN(I288)-1)="","",OFFSET('4. Work'!$A$1,ROW(I288)-1,COLUMN(I288)-1))</f>
        <v/>
      </c>
      <c r="T288" s="3" t="str">
        <f ca="1">IF(A288&lt;&gt;"",MAX('Initiative Indirect'!$T:$T)+(ROW(A288)-1),"")</f>
        <v/>
      </c>
      <c r="U288" s="3" t="str">
        <f ca="1">IF(B288&lt;&gt;"",INDEX('Initiative Indirect'!$T:$T,MATCH(B288,'Initiative Indirect'!$A:$A,0)),"")</f>
        <v/>
      </c>
      <c r="V288" s="3" t="str">
        <f ca="1">IF(C288&lt;&gt;"",INDEX('Team Indirect'!$T:$T,MATCH(C288,'Team Indirect'!$A:$A,0)),"")</f>
        <v/>
      </c>
      <c r="W288" s="3"/>
      <c r="X288" s="3"/>
      <c r="Y288" s="3" t="str">
        <f ca="1">IF($C288&lt;&gt;"",INDEX('Team Indirect'!$D:$D,MATCH($C288,'Team Indirect'!$A:$A,0)),"")</f>
        <v/>
      </c>
      <c r="Z288" s="3" t="str">
        <f ca="1">IF($C288&lt;&gt;"",INDEX('Team Indirect'!$E:$E,MATCH($C288,'Team Indirect'!$A:$A,0)),"")</f>
        <v/>
      </c>
      <c r="AA288" s="3" t="str">
        <f ca="1">IF($C288&lt;&gt;"",INDEX('Team Indirect'!$F:$F,MATCH($C288,'Team Indirect'!$A:$A,0)),"")</f>
        <v/>
      </c>
      <c r="AB288" s="3" t="str">
        <f t="shared" ca="1" si="4"/>
        <v/>
      </c>
      <c r="AC288" s="3">
        <f ca="1">IF(OR(AllocationUnits="Stories", AllocationUnits="Points"),'Work Indirect'!F288,F288/MAX('Work Indirect'!AB288,1))</f>
        <v>1</v>
      </c>
    </row>
    <row r="289" spans="1:29"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7" t="str">
        <f ca="1">IF(OFFSET('4. Work'!$A$1,ROW(D289)-1,COLUMN(D289)-1)="","",OFFSET('4. Work'!$A$1,ROW(D289)-1,COLUMN(D289)-1))</f>
        <v/>
      </c>
      <c r="E289" s="147"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I289" s="3" t="str">
        <f ca="1">IF(OFFSET('4. Work'!$A$1,ROW(I289)-1,COLUMN(I289)-1)="","",OFFSET('4. Work'!$A$1,ROW(I289)-1,COLUMN(I289)-1))</f>
        <v/>
      </c>
      <c r="T289" s="3" t="str">
        <f ca="1">IF(A289&lt;&gt;"",MAX('Initiative Indirect'!$T:$T)+(ROW(A289)-1),"")</f>
        <v/>
      </c>
      <c r="U289" s="3" t="str">
        <f ca="1">IF(B289&lt;&gt;"",INDEX('Initiative Indirect'!$T:$T,MATCH(B289,'Initiative Indirect'!$A:$A,0)),"")</f>
        <v/>
      </c>
      <c r="V289" s="3" t="str">
        <f ca="1">IF(C289&lt;&gt;"",INDEX('Team Indirect'!$T:$T,MATCH(C289,'Team Indirect'!$A:$A,0)),"")</f>
        <v/>
      </c>
      <c r="W289" s="3"/>
      <c r="X289" s="3"/>
      <c r="Y289" s="3" t="str">
        <f ca="1">IF($C289&lt;&gt;"",INDEX('Team Indirect'!$D:$D,MATCH($C289,'Team Indirect'!$A:$A,0)),"")</f>
        <v/>
      </c>
      <c r="Z289" s="3" t="str">
        <f ca="1">IF($C289&lt;&gt;"",INDEX('Team Indirect'!$E:$E,MATCH($C289,'Team Indirect'!$A:$A,0)),"")</f>
        <v/>
      </c>
      <c r="AA289" s="3" t="str">
        <f ca="1">IF($C289&lt;&gt;"",INDEX('Team Indirect'!$F:$F,MATCH($C289,'Team Indirect'!$A:$A,0)),"")</f>
        <v/>
      </c>
      <c r="AB289" s="3" t="str">
        <f t="shared" ca="1" si="4"/>
        <v/>
      </c>
      <c r="AC289" s="3">
        <f ca="1">IF(OR(AllocationUnits="Stories", AllocationUnits="Points"),'Work Indirect'!F289,F289/MAX('Work Indirect'!AB289,1))</f>
        <v>1</v>
      </c>
    </row>
    <row r="290" spans="1:29"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7" t="str">
        <f ca="1">IF(OFFSET('4. Work'!$A$1,ROW(D290)-1,COLUMN(D290)-1)="","",OFFSET('4. Work'!$A$1,ROW(D290)-1,COLUMN(D290)-1))</f>
        <v/>
      </c>
      <c r="E290" s="147"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I290" s="3" t="str">
        <f ca="1">IF(OFFSET('4. Work'!$A$1,ROW(I290)-1,COLUMN(I290)-1)="","",OFFSET('4. Work'!$A$1,ROW(I290)-1,COLUMN(I290)-1))</f>
        <v/>
      </c>
      <c r="T290" s="3" t="str">
        <f ca="1">IF(A290&lt;&gt;"",MAX('Initiative Indirect'!$T:$T)+(ROW(A290)-1),"")</f>
        <v/>
      </c>
      <c r="U290" s="3" t="str">
        <f ca="1">IF(B290&lt;&gt;"",INDEX('Initiative Indirect'!$T:$T,MATCH(B290,'Initiative Indirect'!$A:$A,0)),"")</f>
        <v/>
      </c>
      <c r="V290" s="3" t="str">
        <f ca="1">IF(C290&lt;&gt;"",INDEX('Team Indirect'!$T:$T,MATCH(C290,'Team Indirect'!$A:$A,0)),"")</f>
        <v/>
      </c>
      <c r="W290" s="3"/>
      <c r="X290" s="3"/>
      <c r="Y290" s="3" t="str">
        <f ca="1">IF($C290&lt;&gt;"",INDEX('Team Indirect'!$D:$D,MATCH($C290,'Team Indirect'!$A:$A,0)),"")</f>
        <v/>
      </c>
      <c r="Z290" s="3" t="str">
        <f ca="1">IF($C290&lt;&gt;"",INDEX('Team Indirect'!$E:$E,MATCH($C290,'Team Indirect'!$A:$A,0)),"")</f>
        <v/>
      </c>
      <c r="AA290" s="3" t="str">
        <f ca="1">IF($C290&lt;&gt;"",INDEX('Team Indirect'!$F:$F,MATCH($C290,'Team Indirect'!$A:$A,0)),"")</f>
        <v/>
      </c>
      <c r="AB290" s="3" t="str">
        <f t="shared" ca="1" si="4"/>
        <v/>
      </c>
      <c r="AC290" s="3">
        <f ca="1">IF(OR(AllocationUnits="Stories", AllocationUnits="Points"),'Work Indirect'!F290,F290/MAX('Work Indirect'!AB290,1))</f>
        <v>1</v>
      </c>
    </row>
    <row r="291" spans="1:29"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7" t="str">
        <f ca="1">IF(OFFSET('4. Work'!$A$1,ROW(D291)-1,COLUMN(D291)-1)="","",OFFSET('4. Work'!$A$1,ROW(D291)-1,COLUMN(D291)-1))</f>
        <v/>
      </c>
      <c r="E291" s="147"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I291" s="3" t="str">
        <f ca="1">IF(OFFSET('4. Work'!$A$1,ROW(I291)-1,COLUMN(I291)-1)="","",OFFSET('4. Work'!$A$1,ROW(I291)-1,COLUMN(I291)-1))</f>
        <v/>
      </c>
      <c r="T291" s="3" t="str">
        <f ca="1">IF(A291&lt;&gt;"",MAX('Initiative Indirect'!$T:$T)+(ROW(A291)-1),"")</f>
        <v/>
      </c>
      <c r="U291" s="3" t="str">
        <f ca="1">IF(B291&lt;&gt;"",INDEX('Initiative Indirect'!$T:$T,MATCH(B291,'Initiative Indirect'!$A:$A,0)),"")</f>
        <v/>
      </c>
      <c r="V291" s="3" t="str">
        <f ca="1">IF(C291&lt;&gt;"",INDEX('Team Indirect'!$T:$T,MATCH(C291,'Team Indirect'!$A:$A,0)),"")</f>
        <v/>
      </c>
      <c r="W291" s="3"/>
      <c r="X291" s="3"/>
      <c r="Y291" s="3" t="str">
        <f ca="1">IF($C291&lt;&gt;"",INDEX('Team Indirect'!$D:$D,MATCH($C291,'Team Indirect'!$A:$A,0)),"")</f>
        <v/>
      </c>
      <c r="Z291" s="3" t="str">
        <f ca="1">IF($C291&lt;&gt;"",INDEX('Team Indirect'!$E:$E,MATCH($C291,'Team Indirect'!$A:$A,0)),"")</f>
        <v/>
      </c>
      <c r="AA291" s="3" t="str">
        <f ca="1">IF($C291&lt;&gt;"",INDEX('Team Indirect'!$F:$F,MATCH($C291,'Team Indirect'!$A:$A,0)),"")</f>
        <v/>
      </c>
      <c r="AB291" s="3" t="str">
        <f t="shared" ca="1" si="4"/>
        <v/>
      </c>
      <c r="AC291" s="3">
        <f ca="1">IF(OR(AllocationUnits="Stories", AllocationUnits="Points"),'Work Indirect'!F291,F291/MAX('Work Indirect'!AB291,1))</f>
        <v>1</v>
      </c>
    </row>
    <row r="292" spans="1:29"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7" t="str">
        <f ca="1">IF(OFFSET('4. Work'!$A$1,ROW(D292)-1,COLUMN(D292)-1)="","",OFFSET('4. Work'!$A$1,ROW(D292)-1,COLUMN(D292)-1))</f>
        <v/>
      </c>
      <c r="E292" s="147"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I292" s="3" t="str">
        <f ca="1">IF(OFFSET('4. Work'!$A$1,ROW(I292)-1,COLUMN(I292)-1)="","",OFFSET('4. Work'!$A$1,ROW(I292)-1,COLUMN(I292)-1))</f>
        <v/>
      </c>
      <c r="T292" s="3" t="str">
        <f ca="1">IF(A292&lt;&gt;"",MAX('Initiative Indirect'!$T:$T)+(ROW(A292)-1),"")</f>
        <v/>
      </c>
      <c r="U292" s="3" t="str">
        <f ca="1">IF(B292&lt;&gt;"",INDEX('Initiative Indirect'!$T:$T,MATCH(B292,'Initiative Indirect'!$A:$A,0)),"")</f>
        <v/>
      </c>
      <c r="V292" s="3" t="str">
        <f ca="1">IF(C292&lt;&gt;"",INDEX('Team Indirect'!$T:$T,MATCH(C292,'Team Indirect'!$A:$A,0)),"")</f>
        <v/>
      </c>
      <c r="W292" s="3"/>
      <c r="X292" s="3"/>
      <c r="Y292" s="3" t="str">
        <f ca="1">IF($C292&lt;&gt;"",INDEX('Team Indirect'!$D:$D,MATCH($C292,'Team Indirect'!$A:$A,0)),"")</f>
        <v/>
      </c>
      <c r="Z292" s="3" t="str">
        <f ca="1">IF($C292&lt;&gt;"",INDEX('Team Indirect'!$E:$E,MATCH($C292,'Team Indirect'!$A:$A,0)),"")</f>
        <v/>
      </c>
      <c r="AA292" s="3" t="str">
        <f ca="1">IF($C292&lt;&gt;"",INDEX('Team Indirect'!$F:$F,MATCH($C292,'Team Indirect'!$A:$A,0)),"")</f>
        <v/>
      </c>
      <c r="AB292" s="3" t="str">
        <f t="shared" ca="1" si="4"/>
        <v/>
      </c>
      <c r="AC292" s="3">
        <f ca="1">IF(OR(AllocationUnits="Stories", AllocationUnits="Points"),'Work Indirect'!F292,F292/MAX('Work Indirect'!AB292,1))</f>
        <v>1</v>
      </c>
    </row>
    <row r="293" spans="1:29"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7" t="str">
        <f ca="1">IF(OFFSET('4. Work'!$A$1,ROW(D293)-1,COLUMN(D293)-1)="","",OFFSET('4. Work'!$A$1,ROW(D293)-1,COLUMN(D293)-1))</f>
        <v/>
      </c>
      <c r="E293" s="147"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I293" s="3" t="str">
        <f ca="1">IF(OFFSET('4. Work'!$A$1,ROW(I293)-1,COLUMN(I293)-1)="","",OFFSET('4. Work'!$A$1,ROW(I293)-1,COLUMN(I293)-1))</f>
        <v/>
      </c>
      <c r="T293" s="3" t="str">
        <f ca="1">IF(A293&lt;&gt;"",MAX('Initiative Indirect'!$T:$T)+(ROW(A293)-1),"")</f>
        <v/>
      </c>
      <c r="U293" s="3" t="str">
        <f ca="1">IF(B293&lt;&gt;"",INDEX('Initiative Indirect'!$T:$T,MATCH(B293,'Initiative Indirect'!$A:$A,0)),"")</f>
        <v/>
      </c>
      <c r="V293" s="3" t="str">
        <f ca="1">IF(C293&lt;&gt;"",INDEX('Team Indirect'!$T:$T,MATCH(C293,'Team Indirect'!$A:$A,0)),"")</f>
        <v/>
      </c>
      <c r="W293" s="3"/>
      <c r="X293" s="3"/>
      <c r="Y293" s="3" t="str">
        <f ca="1">IF($C293&lt;&gt;"",INDEX('Team Indirect'!$D:$D,MATCH($C293,'Team Indirect'!$A:$A,0)),"")</f>
        <v/>
      </c>
      <c r="Z293" s="3" t="str">
        <f ca="1">IF($C293&lt;&gt;"",INDEX('Team Indirect'!$E:$E,MATCH($C293,'Team Indirect'!$A:$A,0)),"")</f>
        <v/>
      </c>
      <c r="AA293" s="3" t="str">
        <f ca="1">IF($C293&lt;&gt;"",INDEX('Team Indirect'!$F:$F,MATCH($C293,'Team Indirect'!$A:$A,0)),"")</f>
        <v/>
      </c>
      <c r="AB293" s="3" t="str">
        <f t="shared" ca="1" si="4"/>
        <v/>
      </c>
      <c r="AC293" s="3">
        <f ca="1">IF(OR(AllocationUnits="Stories", AllocationUnits="Points"),'Work Indirect'!F293,F293/MAX('Work Indirect'!AB293,1))</f>
        <v>1</v>
      </c>
    </row>
    <row r="294" spans="1:29"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7" t="str">
        <f ca="1">IF(OFFSET('4. Work'!$A$1,ROW(D294)-1,COLUMN(D294)-1)="","",OFFSET('4. Work'!$A$1,ROW(D294)-1,COLUMN(D294)-1))</f>
        <v/>
      </c>
      <c r="E294" s="147"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I294" s="3" t="str">
        <f ca="1">IF(OFFSET('4. Work'!$A$1,ROW(I294)-1,COLUMN(I294)-1)="","",OFFSET('4. Work'!$A$1,ROW(I294)-1,COLUMN(I294)-1))</f>
        <v/>
      </c>
      <c r="T294" s="3" t="str">
        <f ca="1">IF(A294&lt;&gt;"",MAX('Initiative Indirect'!$T:$T)+(ROW(A294)-1),"")</f>
        <v/>
      </c>
      <c r="U294" s="3" t="str">
        <f ca="1">IF(B294&lt;&gt;"",INDEX('Initiative Indirect'!$T:$T,MATCH(B294,'Initiative Indirect'!$A:$A,0)),"")</f>
        <v/>
      </c>
      <c r="V294" s="3" t="str">
        <f ca="1">IF(C294&lt;&gt;"",INDEX('Team Indirect'!$T:$T,MATCH(C294,'Team Indirect'!$A:$A,0)),"")</f>
        <v/>
      </c>
      <c r="W294" s="3"/>
      <c r="X294" s="3"/>
      <c r="Y294" s="3" t="str">
        <f ca="1">IF($C294&lt;&gt;"",INDEX('Team Indirect'!$D:$D,MATCH($C294,'Team Indirect'!$A:$A,0)),"")</f>
        <v/>
      </c>
      <c r="Z294" s="3" t="str">
        <f ca="1">IF($C294&lt;&gt;"",INDEX('Team Indirect'!$E:$E,MATCH($C294,'Team Indirect'!$A:$A,0)),"")</f>
        <v/>
      </c>
      <c r="AA294" s="3" t="str">
        <f ca="1">IF($C294&lt;&gt;"",INDEX('Team Indirect'!$F:$F,MATCH($C294,'Team Indirect'!$A:$A,0)),"")</f>
        <v/>
      </c>
      <c r="AB294" s="3" t="str">
        <f t="shared" ca="1" si="4"/>
        <v/>
      </c>
      <c r="AC294" s="3">
        <f ca="1">IF(OR(AllocationUnits="Stories", AllocationUnits="Points"),'Work Indirect'!F294,F294/MAX('Work Indirect'!AB294,1))</f>
        <v>1</v>
      </c>
    </row>
    <row r="295" spans="1:29"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7" t="str">
        <f ca="1">IF(OFFSET('4. Work'!$A$1,ROW(D295)-1,COLUMN(D295)-1)="","",OFFSET('4. Work'!$A$1,ROW(D295)-1,COLUMN(D295)-1))</f>
        <v/>
      </c>
      <c r="E295" s="147"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I295" s="3" t="str">
        <f ca="1">IF(OFFSET('4. Work'!$A$1,ROW(I295)-1,COLUMN(I295)-1)="","",OFFSET('4. Work'!$A$1,ROW(I295)-1,COLUMN(I295)-1))</f>
        <v/>
      </c>
      <c r="T295" s="3" t="str">
        <f ca="1">IF(A295&lt;&gt;"",MAX('Initiative Indirect'!$T:$T)+(ROW(A295)-1),"")</f>
        <v/>
      </c>
      <c r="U295" s="3" t="str">
        <f ca="1">IF(B295&lt;&gt;"",INDEX('Initiative Indirect'!$T:$T,MATCH(B295,'Initiative Indirect'!$A:$A,0)),"")</f>
        <v/>
      </c>
      <c r="V295" s="3" t="str">
        <f ca="1">IF(C295&lt;&gt;"",INDEX('Team Indirect'!$T:$T,MATCH(C295,'Team Indirect'!$A:$A,0)),"")</f>
        <v/>
      </c>
      <c r="W295" s="3"/>
      <c r="X295" s="3"/>
      <c r="Y295" s="3" t="str">
        <f ca="1">IF($C295&lt;&gt;"",INDEX('Team Indirect'!$D:$D,MATCH($C295,'Team Indirect'!$A:$A,0)),"")</f>
        <v/>
      </c>
      <c r="Z295" s="3" t="str">
        <f ca="1">IF($C295&lt;&gt;"",INDEX('Team Indirect'!$E:$E,MATCH($C295,'Team Indirect'!$A:$A,0)),"")</f>
        <v/>
      </c>
      <c r="AA295" s="3" t="str">
        <f ca="1">IF($C295&lt;&gt;"",INDEX('Team Indirect'!$F:$F,MATCH($C295,'Team Indirect'!$A:$A,0)),"")</f>
        <v/>
      </c>
      <c r="AB295" s="3" t="str">
        <f t="shared" ca="1" si="4"/>
        <v/>
      </c>
      <c r="AC295" s="3">
        <f ca="1">IF(OR(AllocationUnits="Stories", AllocationUnits="Points"),'Work Indirect'!F295,F295/MAX('Work Indirect'!AB295,1))</f>
        <v>1</v>
      </c>
    </row>
    <row r="296" spans="1:29"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7" t="str">
        <f ca="1">IF(OFFSET('4. Work'!$A$1,ROW(D296)-1,COLUMN(D296)-1)="","",OFFSET('4. Work'!$A$1,ROW(D296)-1,COLUMN(D296)-1))</f>
        <v/>
      </c>
      <c r="E296" s="147"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I296" s="3" t="str">
        <f ca="1">IF(OFFSET('4. Work'!$A$1,ROW(I296)-1,COLUMN(I296)-1)="","",OFFSET('4. Work'!$A$1,ROW(I296)-1,COLUMN(I296)-1))</f>
        <v/>
      </c>
      <c r="T296" s="3" t="str">
        <f ca="1">IF(A296&lt;&gt;"",MAX('Initiative Indirect'!$T:$T)+(ROW(A296)-1),"")</f>
        <v/>
      </c>
      <c r="U296" s="3" t="str">
        <f ca="1">IF(B296&lt;&gt;"",INDEX('Initiative Indirect'!$T:$T,MATCH(B296,'Initiative Indirect'!$A:$A,0)),"")</f>
        <v/>
      </c>
      <c r="V296" s="3" t="str">
        <f ca="1">IF(C296&lt;&gt;"",INDEX('Team Indirect'!$T:$T,MATCH(C296,'Team Indirect'!$A:$A,0)),"")</f>
        <v/>
      </c>
      <c r="W296" s="3"/>
      <c r="X296" s="3"/>
      <c r="Y296" s="3" t="str">
        <f ca="1">IF($C296&lt;&gt;"",INDEX('Team Indirect'!$D:$D,MATCH($C296,'Team Indirect'!$A:$A,0)),"")</f>
        <v/>
      </c>
      <c r="Z296" s="3" t="str">
        <f ca="1">IF($C296&lt;&gt;"",INDEX('Team Indirect'!$E:$E,MATCH($C296,'Team Indirect'!$A:$A,0)),"")</f>
        <v/>
      </c>
      <c r="AA296" s="3" t="str">
        <f ca="1">IF($C296&lt;&gt;"",INDEX('Team Indirect'!$F:$F,MATCH($C296,'Team Indirect'!$A:$A,0)),"")</f>
        <v/>
      </c>
      <c r="AB296" s="3" t="str">
        <f t="shared" ca="1" si="4"/>
        <v/>
      </c>
      <c r="AC296" s="3">
        <f ca="1">IF(OR(AllocationUnits="Stories", AllocationUnits="Points"),'Work Indirect'!F296,F296/MAX('Work Indirect'!AB296,1))</f>
        <v>1</v>
      </c>
    </row>
    <row r="297" spans="1:29"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7" t="str">
        <f ca="1">IF(OFFSET('4. Work'!$A$1,ROW(D297)-1,COLUMN(D297)-1)="","",OFFSET('4. Work'!$A$1,ROW(D297)-1,COLUMN(D297)-1))</f>
        <v/>
      </c>
      <c r="E297" s="147"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I297" s="3" t="str">
        <f ca="1">IF(OFFSET('4. Work'!$A$1,ROW(I297)-1,COLUMN(I297)-1)="","",OFFSET('4. Work'!$A$1,ROW(I297)-1,COLUMN(I297)-1))</f>
        <v/>
      </c>
      <c r="T297" s="3" t="str">
        <f ca="1">IF(A297&lt;&gt;"",MAX('Initiative Indirect'!$T:$T)+(ROW(A297)-1),"")</f>
        <v/>
      </c>
      <c r="U297" s="3" t="str">
        <f ca="1">IF(B297&lt;&gt;"",INDEX('Initiative Indirect'!$T:$T,MATCH(B297,'Initiative Indirect'!$A:$A,0)),"")</f>
        <v/>
      </c>
      <c r="V297" s="3" t="str">
        <f ca="1">IF(C297&lt;&gt;"",INDEX('Team Indirect'!$T:$T,MATCH(C297,'Team Indirect'!$A:$A,0)),"")</f>
        <v/>
      </c>
      <c r="W297" s="3"/>
      <c r="X297" s="3"/>
      <c r="Y297" s="3" t="str">
        <f ca="1">IF($C297&lt;&gt;"",INDEX('Team Indirect'!$D:$D,MATCH($C297,'Team Indirect'!$A:$A,0)),"")</f>
        <v/>
      </c>
      <c r="Z297" s="3" t="str">
        <f ca="1">IF($C297&lt;&gt;"",INDEX('Team Indirect'!$E:$E,MATCH($C297,'Team Indirect'!$A:$A,0)),"")</f>
        <v/>
      </c>
      <c r="AA297" s="3" t="str">
        <f ca="1">IF($C297&lt;&gt;"",INDEX('Team Indirect'!$F:$F,MATCH($C297,'Team Indirect'!$A:$A,0)),"")</f>
        <v/>
      </c>
      <c r="AB297" s="3" t="str">
        <f t="shared" ca="1" si="4"/>
        <v/>
      </c>
      <c r="AC297" s="3">
        <f ca="1">IF(OR(AllocationUnits="Stories", AllocationUnits="Points"),'Work Indirect'!F297,F297/MAX('Work Indirect'!AB297,1))</f>
        <v>1</v>
      </c>
    </row>
    <row r="298" spans="1:29"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7" t="str">
        <f ca="1">IF(OFFSET('4. Work'!$A$1,ROW(D298)-1,COLUMN(D298)-1)="","",OFFSET('4. Work'!$A$1,ROW(D298)-1,COLUMN(D298)-1))</f>
        <v/>
      </c>
      <c r="E298" s="147"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I298" s="3" t="str">
        <f ca="1">IF(OFFSET('4. Work'!$A$1,ROW(I298)-1,COLUMN(I298)-1)="","",OFFSET('4. Work'!$A$1,ROW(I298)-1,COLUMN(I298)-1))</f>
        <v/>
      </c>
      <c r="T298" s="3" t="str">
        <f ca="1">IF(A298&lt;&gt;"",MAX('Initiative Indirect'!$T:$T)+(ROW(A298)-1),"")</f>
        <v/>
      </c>
      <c r="U298" s="3" t="str">
        <f ca="1">IF(B298&lt;&gt;"",INDEX('Initiative Indirect'!$T:$T,MATCH(B298,'Initiative Indirect'!$A:$A,0)),"")</f>
        <v/>
      </c>
      <c r="V298" s="3" t="str">
        <f ca="1">IF(C298&lt;&gt;"",INDEX('Team Indirect'!$T:$T,MATCH(C298,'Team Indirect'!$A:$A,0)),"")</f>
        <v/>
      </c>
      <c r="W298" s="3"/>
      <c r="X298" s="3"/>
      <c r="Y298" s="3" t="str">
        <f ca="1">IF($C298&lt;&gt;"",INDEX('Team Indirect'!$D:$D,MATCH($C298,'Team Indirect'!$A:$A,0)),"")</f>
        <v/>
      </c>
      <c r="Z298" s="3" t="str">
        <f ca="1">IF($C298&lt;&gt;"",INDEX('Team Indirect'!$E:$E,MATCH($C298,'Team Indirect'!$A:$A,0)),"")</f>
        <v/>
      </c>
      <c r="AA298" s="3" t="str">
        <f ca="1">IF($C298&lt;&gt;"",INDEX('Team Indirect'!$F:$F,MATCH($C298,'Team Indirect'!$A:$A,0)),"")</f>
        <v/>
      </c>
      <c r="AB298" s="3" t="str">
        <f t="shared" ca="1" si="4"/>
        <v/>
      </c>
      <c r="AC298" s="3">
        <f ca="1">IF(OR(AllocationUnits="Stories", AllocationUnits="Points"),'Work Indirect'!F298,F298/MAX('Work Indirect'!AB298,1))</f>
        <v>1</v>
      </c>
    </row>
    <row r="299" spans="1:29"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7" t="str">
        <f ca="1">IF(OFFSET('4. Work'!$A$1,ROW(D299)-1,COLUMN(D299)-1)="","",OFFSET('4. Work'!$A$1,ROW(D299)-1,COLUMN(D299)-1))</f>
        <v/>
      </c>
      <c r="E299" s="147"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I299" s="3" t="str">
        <f ca="1">IF(OFFSET('4. Work'!$A$1,ROW(I299)-1,COLUMN(I299)-1)="","",OFFSET('4. Work'!$A$1,ROW(I299)-1,COLUMN(I299)-1))</f>
        <v/>
      </c>
      <c r="T299" s="3" t="str">
        <f ca="1">IF(A299&lt;&gt;"",MAX('Initiative Indirect'!$T:$T)+(ROW(A299)-1),"")</f>
        <v/>
      </c>
      <c r="U299" s="3" t="str">
        <f ca="1">IF(B299&lt;&gt;"",INDEX('Initiative Indirect'!$T:$T,MATCH(B299,'Initiative Indirect'!$A:$A,0)),"")</f>
        <v/>
      </c>
      <c r="V299" s="3" t="str">
        <f ca="1">IF(C299&lt;&gt;"",INDEX('Team Indirect'!$T:$T,MATCH(C299,'Team Indirect'!$A:$A,0)),"")</f>
        <v/>
      </c>
      <c r="W299" s="3"/>
      <c r="X299" s="3"/>
      <c r="Y299" s="3" t="str">
        <f ca="1">IF($C299&lt;&gt;"",INDEX('Team Indirect'!$D:$D,MATCH($C299,'Team Indirect'!$A:$A,0)),"")</f>
        <v/>
      </c>
      <c r="Z299" s="3" t="str">
        <f ca="1">IF($C299&lt;&gt;"",INDEX('Team Indirect'!$E:$E,MATCH($C299,'Team Indirect'!$A:$A,0)),"")</f>
        <v/>
      </c>
      <c r="AA299" s="3" t="str">
        <f ca="1">IF($C299&lt;&gt;"",INDEX('Team Indirect'!$F:$F,MATCH($C299,'Team Indirect'!$A:$A,0)),"")</f>
        <v/>
      </c>
      <c r="AB299" s="3" t="str">
        <f t="shared" ca="1" si="4"/>
        <v/>
      </c>
      <c r="AC299" s="3">
        <f ca="1">IF(OR(AllocationUnits="Stories", AllocationUnits="Points"),'Work Indirect'!F299,F299/MAX('Work Indirect'!AB299,1))</f>
        <v>1</v>
      </c>
    </row>
    <row r="300" spans="1:29"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7" t="str">
        <f ca="1">IF(OFFSET('4. Work'!$A$1,ROW(D300)-1,COLUMN(D300)-1)="","",OFFSET('4. Work'!$A$1,ROW(D300)-1,COLUMN(D300)-1))</f>
        <v/>
      </c>
      <c r="E300" s="147"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I300" s="3" t="str">
        <f ca="1">IF(OFFSET('4. Work'!$A$1,ROW(I300)-1,COLUMN(I300)-1)="","",OFFSET('4. Work'!$A$1,ROW(I300)-1,COLUMN(I300)-1))</f>
        <v/>
      </c>
      <c r="T300" s="3" t="str">
        <f ca="1">IF(A300&lt;&gt;"",MAX('Initiative Indirect'!$T:$T)+(ROW(A300)-1),"")</f>
        <v/>
      </c>
      <c r="U300" s="3" t="str">
        <f ca="1">IF(B300&lt;&gt;"",INDEX('Initiative Indirect'!$T:$T,MATCH(B300,'Initiative Indirect'!$A:$A,0)),"")</f>
        <v/>
      </c>
      <c r="V300" s="3" t="str">
        <f ca="1">IF(C300&lt;&gt;"",INDEX('Team Indirect'!$T:$T,MATCH(C300,'Team Indirect'!$A:$A,0)),"")</f>
        <v/>
      </c>
      <c r="W300" s="3"/>
      <c r="X300" s="3"/>
      <c r="Y300" s="3" t="str">
        <f ca="1">IF($C300&lt;&gt;"",INDEX('Team Indirect'!$D:$D,MATCH($C300,'Team Indirect'!$A:$A,0)),"")</f>
        <v/>
      </c>
      <c r="Z300" s="3" t="str">
        <f ca="1">IF($C300&lt;&gt;"",INDEX('Team Indirect'!$E:$E,MATCH($C300,'Team Indirect'!$A:$A,0)),"")</f>
        <v/>
      </c>
      <c r="AA300" s="3" t="str">
        <f ca="1">IF($C300&lt;&gt;"",INDEX('Team Indirect'!$F:$F,MATCH($C300,'Team Indirect'!$A:$A,0)),"")</f>
        <v/>
      </c>
      <c r="AB300" s="3" t="str">
        <f t="shared" ca="1" si="4"/>
        <v/>
      </c>
      <c r="AC300" s="3">
        <f ca="1">IF(OR(AllocationUnits="Stories", AllocationUnits="Points"),'Work Indirect'!F300,F300/MAX('Work Indirect'!AB300,1))</f>
        <v>1</v>
      </c>
    </row>
    <row r="301" spans="1:29"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7" t="str">
        <f ca="1">IF(OFFSET('4. Work'!$A$1,ROW(D301)-1,COLUMN(D301)-1)="","",OFFSET('4. Work'!$A$1,ROW(D301)-1,COLUMN(D301)-1))</f>
        <v/>
      </c>
      <c r="E301" s="147"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I301" s="3" t="str">
        <f ca="1">IF(OFFSET('4. Work'!$A$1,ROW(I301)-1,COLUMN(I301)-1)="","",OFFSET('4. Work'!$A$1,ROW(I301)-1,COLUMN(I301)-1))</f>
        <v/>
      </c>
      <c r="T301" s="3" t="str">
        <f ca="1">IF(A301&lt;&gt;"",MAX('Initiative Indirect'!$T:$T)+(ROW(A301)-1),"")</f>
        <v/>
      </c>
      <c r="U301" s="3" t="str">
        <f ca="1">IF(B301&lt;&gt;"",INDEX('Initiative Indirect'!$T:$T,MATCH(B301,'Initiative Indirect'!$A:$A,0)),"")</f>
        <v/>
      </c>
      <c r="V301" s="3" t="str">
        <f ca="1">IF(C301&lt;&gt;"",INDEX('Team Indirect'!$T:$T,MATCH(C301,'Team Indirect'!$A:$A,0)),"")</f>
        <v/>
      </c>
      <c r="W301" s="3"/>
      <c r="X301" s="3"/>
      <c r="Y301" s="3" t="str">
        <f ca="1">IF($C301&lt;&gt;"",INDEX('Team Indirect'!$D:$D,MATCH($C301,'Team Indirect'!$A:$A,0)),"")</f>
        <v/>
      </c>
      <c r="Z301" s="3" t="str">
        <f ca="1">IF($C301&lt;&gt;"",INDEX('Team Indirect'!$E:$E,MATCH($C301,'Team Indirect'!$A:$A,0)),"")</f>
        <v/>
      </c>
      <c r="AA301" s="3" t="str">
        <f ca="1">IF($C301&lt;&gt;"",INDEX('Team Indirect'!$F:$F,MATCH($C301,'Team Indirect'!$A:$A,0)),"")</f>
        <v/>
      </c>
      <c r="AB301" s="3" t="str">
        <f t="shared" ca="1" si="4"/>
        <v/>
      </c>
      <c r="AC301" s="3">
        <f ca="1">IF(OR(AllocationUnits="Stories", AllocationUnits="Points"),'Work Indirect'!F301,F301/MAX('Work Indirect'!AB301,1))</f>
        <v>1</v>
      </c>
    </row>
    <row r="302" spans="1:29"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7" t="str">
        <f ca="1">IF(OFFSET('4. Work'!$A$1,ROW(D302)-1,COLUMN(D302)-1)="","",OFFSET('4. Work'!$A$1,ROW(D302)-1,COLUMN(D302)-1))</f>
        <v/>
      </c>
      <c r="E302" s="147"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I302" s="3" t="str">
        <f ca="1">IF(OFFSET('4. Work'!$A$1,ROW(I302)-1,COLUMN(I302)-1)="","",OFFSET('4. Work'!$A$1,ROW(I302)-1,COLUMN(I302)-1))</f>
        <v/>
      </c>
      <c r="T302" s="3" t="str">
        <f ca="1">IF(A302&lt;&gt;"",MAX('Initiative Indirect'!$T:$T)+(ROW(A302)-1),"")</f>
        <v/>
      </c>
      <c r="U302" s="3" t="str">
        <f ca="1">IF(B302&lt;&gt;"",INDEX('Initiative Indirect'!$T:$T,MATCH(B302,'Initiative Indirect'!$A:$A,0)),"")</f>
        <v/>
      </c>
      <c r="V302" s="3" t="str">
        <f ca="1">IF(C302&lt;&gt;"",INDEX('Team Indirect'!$T:$T,MATCH(C302,'Team Indirect'!$A:$A,0)),"")</f>
        <v/>
      </c>
      <c r="W302" s="3"/>
      <c r="X302" s="3"/>
      <c r="Y302" s="3" t="str">
        <f ca="1">IF($C302&lt;&gt;"",INDEX('Team Indirect'!$D:$D,MATCH($C302,'Team Indirect'!$A:$A,0)),"")</f>
        <v/>
      </c>
      <c r="Z302" s="3" t="str">
        <f ca="1">IF($C302&lt;&gt;"",INDEX('Team Indirect'!$E:$E,MATCH($C302,'Team Indirect'!$A:$A,0)),"")</f>
        <v/>
      </c>
      <c r="AA302" s="3" t="str">
        <f ca="1">IF($C302&lt;&gt;"",INDEX('Team Indirect'!$F:$F,MATCH($C302,'Team Indirect'!$A:$A,0)),"")</f>
        <v/>
      </c>
      <c r="AB302" s="3" t="str">
        <f t="shared" ca="1" si="4"/>
        <v/>
      </c>
      <c r="AC302" s="3">
        <f ca="1">IF(OR(AllocationUnits="Stories", AllocationUnits="Points"),'Work Indirect'!F302,F302/MAX('Work Indirect'!AB302,1))</f>
        <v>1</v>
      </c>
    </row>
    <row r="303" spans="1:29"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7" t="str">
        <f ca="1">IF(OFFSET('4. Work'!$A$1,ROW(D303)-1,COLUMN(D303)-1)="","",OFFSET('4. Work'!$A$1,ROW(D303)-1,COLUMN(D303)-1))</f>
        <v/>
      </c>
      <c r="E303" s="147"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I303" s="3" t="str">
        <f ca="1">IF(OFFSET('4. Work'!$A$1,ROW(I303)-1,COLUMN(I303)-1)="","",OFFSET('4. Work'!$A$1,ROW(I303)-1,COLUMN(I303)-1))</f>
        <v/>
      </c>
      <c r="T303" s="3" t="str">
        <f ca="1">IF(A303&lt;&gt;"",MAX('Initiative Indirect'!$T:$T)+(ROW(A303)-1),"")</f>
        <v/>
      </c>
      <c r="U303" s="3" t="str">
        <f ca="1">IF(B303&lt;&gt;"",INDEX('Initiative Indirect'!$T:$T,MATCH(B303,'Initiative Indirect'!$A:$A,0)),"")</f>
        <v/>
      </c>
      <c r="V303" s="3" t="str">
        <f ca="1">IF(C303&lt;&gt;"",INDEX('Team Indirect'!$T:$T,MATCH(C303,'Team Indirect'!$A:$A,0)),"")</f>
        <v/>
      </c>
      <c r="W303" s="3"/>
      <c r="X303" s="3"/>
      <c r="Y303" s="3" t="str">
        <f ca="1">IF($C303&lt;&gt;"",INDEX('Team Indirect'!$D:$D,MATCH($C303,'Team Indirect'!$A:$A,0)),"")</f>
        <v/>
      </c>
      <c r="Z303" s="3" t="str">
        <f ca="1">IF($C303&lt;&gt;"",INDEX('Team Indirect'!$E:$E,MATCH($C303,'Team Indirect'!$A:$A,0)),"")</f>
        <v/>
      </c>
      <c r="AA303" s="3" t="str">
        <f ca="1">IF($C303&lt;&gt;"",INDEX('Team Indirect'!$F:$F,MATCH($C303,'Team Indirect'!$A:$A,0)),"")</f>
        <v/>
      </c>
      <c r="AB303" s="3" t="str">
        <f t="shared" ca="1" si="4"/>
        <v/>
      </c>
      <c r="AC303" s="3">
        <f ca="1">IF(OR(AllocationUnits="Stories", AllocationUnits="Points"),'Work Indirect'!F303,F303/MAX('Work Indirect'!AB303,1))</f>
        <v>1</v>
      </c>
    </row>
    <row r="304" spans="1:29"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7" t="str">
        <f ca="1">IF(OFFSET('4. Work'!$A$1,ROW(D304)-1,COLUMN(D304)-1)="","",OFFSET('4. Work'!$A$1,ROW(D304)-1,COLUMN(D304)-1))</f>
        <v/>
      </c>
      <c r="E304" s="147"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I304" s="3" t="str">
        <f ca="1">IF(OFFSET('4. Work'!$A$1,ROW(I304)-1,COLUMN(I304)-1)="","",OFFSET('4. Work'!$A$1,ROW(I304)-1,COLUMN(I304)-1))</f>
        <v/>
      </c>
      <c r="T304" s="3" t="str">
        <f ca="1">IF(A304&lt;&gt;"",MAX('Initiative Indirect'!$T:$T)+(ROW(A304)-1),"")</f>
        <v/>
      </c>
      <c r="U304" s="3" t="str">
        <f ca="1">IF(B304&lt;&gt;"",INDEX('Initiative Indirect'!$T:$T,MATCH(B304,'Initiative Indirect'!$A:$A,0)),"")</f>
        <v/>
      </c>
      <c r="V304" s="3" t="str">
        <f ca="1">IF(C304&lt;&gt;"",INDEX('Team Indirect'!$T:$T,MATCH(C304,'Team Indirect'!$A:$A,0)),"")</f>
        <v/>
      </c>
      <c r="W304" s="3"/>
      <c r="X304" s="3"/>
      <c r="Y304" s="3" t="str">
        <f ca="1">IF($C304&lt;&gt;"",INDEX('Team Indirect'!$D:$D,MATCH($C304,'Team Indirect'!$A:$A,0)),"")</f>
        <v/>
      </c>
      <c r="Z304" s="3" t="str">
        <f ca="1">IF($C304&lt;&gt;"",INDEX('Team Indirect'!$E:$E,MATCH($C304,'Team Indirect'!$A:$A,0)),"")</f>
        <v/>
      </c>
      <c r="AA304" s="3" t="str">
        <f ca="1">IF($C304&lt;&gt;"",INDEX('Team Indirect'!$F:$F,MATCH($C304,'Team Indirect'!$A:$A,0)),"")</f>
        <v/>
      </c>
      <c r="AB304" s="3" t="str">
        <f t="shared" ca="1" si="4"/>
        <v/>
      </c>
      <c r="AC304" s="3">
        <f ca="1">IF(OR(AllocationUnits="Stories", AllocationUnits="Points"),'Work Indirect'!F304,F304/MAX('Work Indirect'!AB304,1))</f>
        <v>1</v>
      </c>
    </row>
    <row r="305" spans="1:29"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7" t="str">
        <f ca="1">IF(OFFSET('4. Work'!$A$1,ROW(D305)-1,COLUMN(D305)-1)="","",OFFSET('4. Work'!$A$1,ROW(D305)-1,COLUMN(D305)-1))</f>
        <v/>
      </c>
      <c r="E305" s="147"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I305" s="3" t="str">
        <f ca="1">IF(OFFSET('4. Work'!$A$1,ROW(I305)-1,COLUMN(I305)-1)="","",OFFSET('4. Work'!$A$1,ROW(I305)-1,COLUMN(I305)-1))</f>
        <v/>
      </c>
      <c r="T305" s="3" t="str">
        <f ca="1">IF(A305&lt;&gt;"",MAX('Initiative Indirect'!$T:$T)+(ROW(A305)-1),"")</f>
        <v/>
      </c>
      <c r="U305" s="3" t="str">
        <f ca="1">IF(B305&lt;&gt;"",INDEX('Initiative Indirect'!$T:$T,MATCH(B305,'Initiative Indirect'!$A:$A,0)),"")</f>
        <v/>
      </c>
      <c r="V305" s="3" t="str">
        <f ca="1">IF(C305&lt;&gt;"",INDEX('Team Indirect'!$T:$T,MATCH(C305,'Team Indirect'!$A:$A,0)),"")</f>
        <v/>
      </c>
      <c r="W305" s="3"/>
      <c r="X305" s="3"/>
      <c r="Y305" s="3" t="str">
        <f ca="1">IF($C305&lt;&gt;"",INDEX('Team Indirect'!$D:$D,MATCH($C305,'Team Indirect'!$A:$A,0)),"")</f>
        <v/>
      </c>
      <c r="Z305" s="3" t="str">
        <f ca="1">IF($C305&lt;&gt;"",INDEX('Team Indirect'!$E:$E,MATCH($C305,'Team Indirect'!$A:$A,0)),"")</f>
        <v/>
      </c>
      <c r="AA305" s="3" t="str">
        <f ca="1">IF($C305&lt;&gt;"",INDEX('Team Indirect'!$F:$F,MATCH($C305,'Team Indirect'!$A:$A,0)),"")</f>
        <v/>
      </c>
      <c r="AB305" s="3" t="str">
        <f t="shared" ca="1" si="4"/>
        <v/>
      </c>
      <c r="AC305" s="3">
        <f ca="1">IF(OR(AllocationUnits="Stories", AllocationUnits="Points"),'Work Indirect'!F305,F305/MAX('Work Indirect'!AB305,1))</f>
        <v>1</v>
      </c>
    </row>
    <row r="306" spans="1:29"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7" t="str">
        <f ca="1">IF(OFFSET('4. Work'!$A$1,ROW(D306)-1,COLUMN(D306)-1)="","",OFFSET('4. Work'!$A$1,ROW(D306)-1,COLUMN(D306)-1))</f>
        <v/>
      </c>
      <c r="E306" s="147"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I306" s="3" t="str">
        <f ca="1">IF(OFFSET('4. Work'!$A$1,ROW(I306)-1,COLUMN(I306)-1)="","",OFFSET('4. Work'!$A$1,ROW(I306)-1,COLUMN(I306)-1))</f>
        <v/>
      </c>
      <c r="T306" s="3" t="str">
        <f ca="1">IF(A306&lt;&gt;"",MAX('Initiative Indirect'!$T:$T)+(ROW(A306)-1),"")</f>
        <v/>
      </c>
      <c r="U306" s="3" t="str">
        <f ca="1">IF(B306&lt;&gt;"",INDEX('Initiative Indirect'!$T:$T,MATCH(B306,'Initiative Indirect'!$A:$A,0)),"")</f>
        <v/>
      </c>
      <c r="V306" s="3" t="str">
        <f ca="1">IF(C306&lt;&gt;"",INDEX('Team Indirect'!$T:$T,MATCH(C306,'Team Indirect'!$A:$A,0)),"")</f>
        <v/>
      </c>
      <c r="W306" s="3"/>
      <c r="X306" s="3"/>
      <c r="Y306" s="3" t="str">
        <f ca="1">IF($C306&lt;&gt;"",INDEX('Team Indirect'!$D:$D,MATCH($C306,'Team Indirect'!$A:$A,0)),"")</f>
        <v/>
      </c>
      <c r="Z306" s="3" t="str">
        <f ca="1">IF($C306&lt;&gt;"",INDEX('Team Indirect'!$E:$E,MATCH($C306,'Team Indirect'!$A:$A,0)),"")</f>
        <v/>
      </c>
      <c r="AA306" s="3" t="str">
        <f ca="1">IF($C306&lt;&gt;"",INDEX('Team Indirect'!$F:$F,MATCH($C306,'Team Indirect'!$A:$A,0)),"")</f>
        <v/>
      </c>
      <c r="AB306" s="3" t="str">
        <f t="shared" ca="1" si="4"/>
        <v/>
      </c>
      <c r="AC306" s="3">
        <f ca="1">IF(OR(AllocationUnits="Stories", AllocationUnits="Points"),'Work Indirect'!F306,F306/MAX('Work Indirect'!AB306,1))</f>
        <v>1</v>
      </c>
    </row>
    <row r="307" spans="1:29"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7" t="str">
        <f ca="1">IF(OFFSET('4. Work'!$A$1,ROW(D307)-1,COLUMN(D307)-1)="","",OFFSET('4. Work'!$A$1,ROW(D307)-1,COLUMN(D307)-1))</f>
        <v/>
      </c>
      <c r="E307" s="147"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I307" s="3" t="str">
        <f ca="1">IF(OFFSET('4. Work'!$A$1,ROW(I307)-1,COLUMN(I307)-1)="","",OFFSET('4. Work'!$A$1,ROW(I307)-1,COLUMN(I307)-1))</f>
        <v/>
      </c>
      <c r="T307" s="3" t="str">
        <f ca="1">IF(A307&lt;&gt;"",MAX('Initiative Indirect'!$T:$T)+(ROW(A307)-1),"")</f>
        <v/>
      </c>
      <c r="U307" s="3" t="str">
        <f ca="1">IF(B307&lt;&gt;"",INDEX('Initiative Indirect'!$T:$T,MATCH(B307,'Initiative Indirect'!$A:$A,0)),"")</f>
        <v/>
      </c>
      <c r="V307" s="3" t="str">
        <f ca="1">IF(C307&lt;&gt;"",INDEX('Team Indirect'!$T:$T,MATCH(C307,'Team Indirect'!$A:$A,0)),"")</f>
        <v/>
      </c>
      <c r="W307" s="3"/>
      <c r="X307" s="3"/>
      <c r="Y307" s="3" t="str">
        <f ca="1">IF($C307&lt;&gt;"",INDEX('Team Indirect'!$D:$D,MATCH($C307,'Team Indirect'!$A:$A,0)),"")</f>
        <v/>
      </c>
      <c r="Z307" s="3" t="str">
        <f ca="1">IF($C307&lt;&gt;"",INDEX('Team Indirect'!$E:$E,MATCH($C307,'Team Indirect'!$A:$A,0)),"")</f>
        <v/>
      </c>
      <c r="AA307" s="3" t="str">
        <f ca="1">IF($C307&lt;&gt;"",INDEX('Team Indirect'!$F:$F,MATCH($C307,'Team Indirect'!$A:$A,0)),"")</f>
        <v/>
      </c>
      <c r="AB307" s="3" t="str">
        <f t="shared" ca="1" si="4"/>
        <v/>
      </c>
      <c r="AC307" s="3">
        <f ca="1">IF(OR(AllocationUnits="Stories", AllocationUnits="Points"),'Work Indirect'!F307,F307/MAX('Work Indirect'!AB307,1))</f>
        <v>1</v>
      </c>
    </row>
    <row r="308" spans="1:29"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7" t="str">
        <f ca="1">IF(OFFSET('4. Work'!$A$1,ROW(D308)-1,COLUMN(D308)-1)="","",OFFSET('4. Work'!$A$1,ROW(D308)-1,COLUMN(D308)-1))</f>
        <v/>
      </c>
      <c r="E308" s="147"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I308" s="3" t="str">
        <f ca="1">IF(OFFSET('4. Work'!$A$1,ROW(I308)-1,COLUMN(I308)-1)="","",OFFSET('4. Work'!$A$1,ROW(I308)-1,COLUMN(I308)-1))</f>
        <v/>
      </c>
      <c r="T308" s="3" t="str">
        <f ca="1">IF(A308&lt;&gt;"",MAX('Initiative Indirect'!$T:$T)+(ROW(A308)-1),"")</f>
        <v/>
      </c>
      <c r="U308" s="3" t="str">
        <f ca="1">IF(B308&lt;&gt;"",INDEX('Initiative Indirect'!$T:$T,MATCH(B308,'Initiative Indirect'!$A:$A,0)),"")</f>
        <v/>
      </c>
      <c r="V308" s="3" t="str">
        <f ca="1">IF(C308&lt;&gt;"",INDEX('Team Indirect'!$T:$T,MATCH(C308,'Team Indirect'!$A:$A,0)),"")</f>
        <v/>
      </c>
      <c r="W308" s="3"/>
      <c r="X308" s="3"/>
      <c r="Y308" s="3" t="str">
        <f ca="1">IF($C308&lt;&gt;"",INDEX('Team Indirect'!$D:$D,MATCH($C308,'Team Indirect'!$A:$A,0)),"")</f>
        <v/>
      </c>
      <c r="Z308" s="3" t="str">
        <f ca="1">IF($C308&lt;&gt;"",INDEX('Team Indirect'!$E:$E,MATCH($C308,'Team Indirect'!$A:$A,0)),"")</f>
        <v/>
      </c>
      <c r="AA308" s="3" t="str">
        <f ca="1">IF($C308&lt;&gt;"",INDEX('Team Indirect'!$F:$F,MATCH($C308,'Team Indirect'!$A:$A,0)),"")</f>
        <v/>
      </c>
      <c r="AB308" s="3" t="str">
        <f t="shared" ca="1" si="4"/>
        <v/>
      </c>
      <c r="AC308" s="3">
        <f ca="1">IF(OR(AllocationUnits="Stories", AllocationUnits="Points"),'Work Indirect'!F308,F308/MAX('Work Indirect'!AB308,1))</f>
        <v>1</v>
      </c>
    </row>
    <row r="309" spans="1:29"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7" t="str">
        <f ca="1">IF(OFFSET('4. Work'!$A$1,ROW(D309)-1,COLUMN(D309)-1)="","",OFFSET('4. Work'!$A$1,ROW(D309)-1,COLUMN(D309)-1))</f>
        <v/>
      </c>
      <c r="E309" s="147"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I309" s="3" t="str">
        <f ca="1">IF(OFFSET('4. Work'!$A$1,ROW(I309)-1,COLUMN(I309)-1)="","",OFFSET('4. Work'!$A$1,ROW(I309)-1,COLUMN(I309)-1))</f>
        <v/>
      </c>
      <c r="T309" s="3" t="str">
        <f ca="1">IF(A309&lt;&gt;"",MAX('Initiative Indirect'!$T:$T)+(ROW(A309)-1),"")</f>
        <v/>
      </c>
      <c r="U309" s="3" t="str">
        <f ca="1">IF(B309&lt;&gt;"",INDEX('Initiative Indirect'!$T:$T,MATCH(B309,'Initiative Indirect'!$A:$A,0)),"")</f>
        <v/>
      </c>
      <c r="V309" s="3" t="str">
        <f ca="1">IF(C309&lt;&gt;"",INDEX('Team Indirect'!$T:$T,MATCH(C309,'Team Indirect'!$A:$A,0)),"")</f>
        <v/>
      </c>
      <c r="W309" s="3"/>
      <c r="X309" s="3"/>
      <c r="Y309" s="3" t="str">
        <f ca="1">IF($C309&lt;&gt;"",INDEX('Team Indirect'!$D:$D,MATCH($C309,'Team Indirect'!$A:$A,0)),"")</f>
        <v/>
      </c>
      <c r="Z309" s="3" t="str">
        <f ca="1">IF($C309&lt;&gt;"",INDEX('Team Indirect'!$E:$E,MATCH($C309,'Team Indirect'!$A:$A,0)),"")</f>
        <v/>
      </c>
      <c r="AA309" s="3" t="str">
        <f ca="1">IF($C309&lt;&gt;"",INDEX('Team Indirect'!$F:$F,MATCH($C309,'Team Indirect'!$A:$A,0)),"")</f>
        <v/>
      </c>
      <c r="AB309" s="3" t="str">
        <f t="shared" ca="1" si="4"/>
        <v/>
      </c>
      <c r="AC309" s="3">
        <f ca="1">IF(OR(AllocationUnits="Stories", AllocationUnits="Points"),'Work Indirect'!F309,F309/MAX('Work Indirect'!AB309,1))</f>
        <v>1</v>
      </c>
    </row>
    <row r="310" spans="1:29"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7" t="str">
        <f ca="1">IF(OFFSET('4. Work'!$A$1,ROW(D310)-1,COLUMN(D310)-1)="","",OFFSET('4. Work'!$A$1,ROW(D310)-1,COLUMN(D310)-1))</f>
        <v/>
      </c>
      <c r="E310" s="147"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I310" s="3" t="str">
        <f ca="1">IF(OFFSET('4. Work'!$A$1,ROW(I310)-1,COLUMN(I310)-1)="","",OFFSET('4. Work'!$A$1,ROW(I310)-1,COLUMN(I310)-1))</f>
        <v/>
      </c>
      <c r="T310" s="3" t="str">
        <f ca="1">IF(A310&lt;&gt;"",MAX('Initiative Indirect'!$T:$T)+(ROW(A310)-1),"")</f>
        <v/>
      </c>
      <c r="U310" s="3" t="str">
        <f ca="1">IF(B310&lt;&gt;"",INDEX('Initiative Indirect'!$T:$T,MATCH(B310,'Initiative Indirect'!$A:$A,0)),"")</f>
        <v/>
      </c>
      <c r="V310" s="3" t="str">
        <f ca="1">IF(C310&lt;&gt;"",INDEX('Team Indirect'!$T:$T,MATCH(C310,'Team Indirect'!$A:$A,0)),"")</f>
        <v/>
      </c>
      <c r="W310" s="3"/>
      <c r="X310" s="3"/>
      <c r="Y310" s="3" t="str">
        <f ca="1">IF($C310&lt;&gt;"",INDEX('Team Indirect'!$D:$D,MATCH($C310,'Team Indirect'!$A:$A,0)),"")</f>
        <v/>
      </c>
      <c r="Z310" s="3" t="str">
        <f ca="1">IF($C310&lt;&gt;"",INDEX('Team Indirect'!$E:$E,MATCH($C310,'Team Indirect'!$A:$A,0)),"")</f>
        <v/>
      </c>
      <c r="AA310" s="3" t="str">
        <f ca="1">IF($C310&lt;&gt;"",INDEX('Team Indirect'!$F:$F,MATCH($C310,'Team Indirect'!$A:$A,0)),"")</f>
        <v/>
      </c>
      <c r="AB310" s="3" t="str">
        <f t="shared" ca="1" si="4"/>
        <v/>
      </c>
      <c r="AC310" s="3">
        <f ca="1">IF(OR(AllocationUnits="Stories", AllocationUnits="Points"),'Work Indirect'!F310,F310/MAX('Work Indirect'!AB310,1))</f>
        <v>1</v>
      </c>
    </row>
    <row r="311" spans="1:29"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7" t="str">
        <f ca="1">IF(OFFSET('4. Work'!$A$1,ROW(D311)-1,COLUMN(D311)-1)="","",OFFSET('4. Work'!$A$1,ROW(D311)-1,COLUMN(D311)-1))</f>
        <v/>
      </c>
      <c r="E311" s="147"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I311" s="3" t="str">
        <f ca="1">IF(OFFSET('4. Work'!$A$1,ROW(I311)-1,COLUMN(I311)-1)="","",OFFSET('4. Work'!$A$1,ROW(I311)-1,COLUMN(I311)-1))</f>
        <v/>
      </c>
      <c r="T311" s="3" t="str">
        <f ca="1">IF(A311&lt;&gt;"",MAX('Initiative Indirect'!$T:$T)+(ROW(A311)-1),"")</f>
        <v/>
      </c>
      <c r="U311" s="3" t="str">
        <f ca="1">IF(B311&lt;&gt;"",INDEX('Initiative Indirect'!$T:$T,MATCH(B311,'Initiative Indirect'!$A:$A,0)),"")</f>
        <v/>
      </c>
      <c r="V311" s="3" t="str">
        <f ca="1">IF(C311&lt;&gt;"",INDEX('Team Indirect'!$T:$T,MATCH(C311,'Team Indirect'!$A:$A,0)),"")</f>
        <v/>
      </c>
      <c r="W311" s="3"/>
      <c r="X311" s="3"/>
      <c r="Y311" s="3" t="str">
        <f ca="1">IF($C311&lt;&gt;"",INDEX('Team Indirect'!$D:$D,MATCH($C311,'Team Indirect'!$A:$A,0)),"")</f>
        <v/>
      </c>
      <c r="Z311" s="3" t="str">
        <f ca="1">IF($C311&lt;&gt;"",INDEX('Team Indirect'!$E:$E,MATCH($C311,'Team Indirect'!$A:$A,0)),"")</f>
        <v/>
      </c>
      <c r="AA311" s="3" t="str">
        <f ca="1">IF($C311&lt;&gt;"",INDEX('Team Indirect'!$F:$F,MATCH($C311,'Team Indirect'!$A:$A,0)),"")</f>
        <v/>
      </c>
      <c r="AB311" s="3" t="str">
        <f t="shared" ca="1" si="4"/>
        <v/>
      </c>
      <c r="AC311" s="3">
        <f ca="1">IF(OR(AllocationUnits="Stories", AllocationUnits="Points"),'Work Indirect'!F311,F311/MAX('Work Indirect'!AB311,1))</f>
        <v>1</v>
      </c>
    </row>
    <row r="312" spans="1:29"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7" t="str">
        <f ca="1">IF(OFFSET('4. Work'!$A$1,ROW(D312)-1,COLUMN(D312)-1)="","",OFFSET('4. Work'!$A$1,ROW(D312)-1,COLUMN(D312)-1))</f>
        <v/>
      </c>
      <c r="E312" s="147"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I312" s="3" t="str">
        <f ca="1">IF(OFFSET('4. Work'!$A$1,ROW(I312)-1,COLUMN(I312)-1)="","",OFFSET('4. Work'!$A$1,ROW(I312)-1,COLUMN(I312)-1))</f>
        <v/>
      </c>
      <c r="T312" s="3" t="str">
        <f ca="1">IF(A312&lt;&gt;"",MAX('Initiative Indirect'!$T:$T)+(ROW(A312)-1),"")</f>
        <v/>
      </c>
      <c r="U312" s="3" t="str">
        <f ca="1">IF(B312&lt;&gt;"",INDEX('Initiative Indirect'!$T:$T,MATCH(B312,'Initiative Indirect'!$A:$A,0)),"")</f>
        <v/>
      </c>
      <c r="V312" s="3" t="str">
        <f ca="1">IF(C312&lt;&gt;"",INDEX('Team Indirect'!$T:$T,MATCH(C312,'Team Indirect'!$A:$A,0)),"")</f>
        <v/>
      </c>
      <c r="W312" s="3"/>
      <c r="X312" s="3"/>
      <c r="Y312" s="3" t="str">
        <f ca="1">IF($C312&lt;&gt;"",INDEX('Team Indirect'!$D:$D,MATCH($C312,'Team Indirect'!$A:$A,0)),"")</f>
        <v/>
      </c>
      <c r="Z312" s="3" t="str">
        <f ca="1">IF($C312&lt;&gt;"",INDEX('Team Indirect'!$E:$E,MATCH($C312,'Team Indirect'!$A:$A,0)),"")</f>
        <v/>
      </c>
      <c r="AA312" s="3" t="str">
        <f ca="1">IF($C312&lt;&gt;"",INDEX('Team Indirect'!$F:$F,MATCH($C312,'Team Indirect'!$A:$A,0)),"")</f>
        <v/>
      </c>
      <c r="AB312" s="3" t="str">
        <f t="shared" ca="1" si="4"/>
        <v/>
      </c>
      <c r="AC312" s="3">
        <f ca="1">IF(OR(AllocationUnits="Stories", AllocationUnits="Points"),'Work Indirect'!F312,F312/MAX('Work Indirect'!AB312,1))</f>
        <v>1</v>
      </c>
    </row>
    <row r="313" spans="1:29"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7" t="str">
        <f ca="1">IF(OFFSET('4. Work'!$A$1,ROW(D313)-1,COLUMN(D313)-1)="","",OFFSET('4. Work'!$A$1,ROW(D313)-1,COLUMN(D313)-1))</f>
        <v/>
      </c>
      <c r="E313" s="147"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I313" s="3" t="str">
        <f ca="1">IF(OFFSET('4. Work'!$A$1,ROW(I313)-1,COLUMN(I313)-1)="","",OFFSET('4. Work'!$A$1,ROW(I313)-1,COLUMN(I313)-1))</f>
        <v/>
      </c>
      <c r="T313" s="3" t="str">
        <f ca="1">IF(A313&lt;&gt;"",MAX('Initiative Indirect'!$T:$T)+(ROW(A313)-1),"")</f>
        <v/>
      </c>
      <c r="U313" s="3" t="str">
        <f ca="1">IF(B313&lt;&gt;"",INDEX('Initiative Indirect'!$T:$T,MATCH(B313,'Initiative Indirect'!$A:$A,0)),"")</f>
        <v/>
      </c>
      <c r="V313" s="3" t="str">
        <f ca="1">IF(C313&lt;&gt;"",INDEX('Team Indirect'!$T:$T,MATCH(C313,'Team Indirect'!$A:$A,0)),"")</f>
        <v/>
      </c>
      <c r="W313" s="3"/>
      <c r="X313" s="3"/>
      <c r="Y313" s="3" t="str">
        <f ca="1">IF($C313&lt;&gt;"",INDEX('Team Indirect'!$D:$D,MATCH($C313,'Team Indirect'!$A:$A,0)),"")</f>
        <v/>
      </c>
      <c r="Z313" s="3" t="str">
        <f ca="1">IF($C313&lt;&gt;"",INDEX('Team Indirect'!$E:$E,MATCH($C313,'Team Indirect'!$A:$A,0)),"")</f>
        <v/>
      </c>
      <c r="AA313" s="3" t="str">
        <f ca="1">IF($C313&lt;&gt;"",INDEX('Team Indirect'!$F:$F,MATCH($C313,'Team Indirect'!$A:$A,0)),"")</f>
        <v/>
      </c>
      <c r="AB313" s="3" t="str">
        <f t="shared" ca="1" si="4"/>
        <v/>
      </c>
      <c r="AC313" s="3">
        <f ca="1">IF(OR(AllocationUnits="Stories", AllocationUnits="Points"),'Work Indirect'!F313,F313/MAX('Work Indirect'!AB313,1))</f>
        <v>1</v>
      </c>
    </row>
    <row r="314" spans="1:29"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7" t="str">
        <f ca="1">IF(OFFSET('4. Work'!$A$1,ROW(D314)-1,COLUMN(D314)-1)="","",OFFSET('4. Work'!$A$1,ROW(D314)-1,COLUMN(D314)-1))</f>
        <v/>
      </c>
      <c r="E314" s="147"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I314" s="3" t="str">
        <f ca="1">IF(OFFSET('4. Work'!$A$1,ROW(I314)-1,COLUMN(I314)-1)="","",OFFSET('4. Work'!$A$1,ROW(I314)-1,COLUMN(I314)-1))</f>
        <v/>
      </c>
      <c r="T314" s="3" t="str">
        <f ca="1">IF(A314&lt;&gt;"",MAX('Initiative Indirect'!$T:$T)+(ROW(A314)-1),"")</f>
        <v/>
      </c>
      <c r="U314" s="3" t="str">
        <f ca="1">IF(B314&lt;&gt;"",INDEX('Initiative Indirect'!$T:$T,MATCH(B314,'Initiative Indirect'!$A:$A,0)),"")</f>
        <v/>
      </c>
      <c r="V314" s="3" t="str">
        <f ca="1">IF(C314&lt;&gt;"",INDEX('Team Indirect'!$T:$T,MATCH(C314,'Team Indirect'!$A:$A,0)),"")</f>
        <v/>
      </c>
      <c r="W314" s="3"/>
      <c r="X314" s="3"/>
      <c r="Y314" s="3" t="str">
        <f ca="1">IF($C314&lt;&gt;"",INDEX('Team Indirect'!$D:$D,MATCH($C314,'Team Indirect'!$A:$A,0)),"")</f>
        <v/>
      </c>
      <c r="Z314" s="3" t="str">
        <f ca="1">IF($C314&lt;&gt;"",INDEX('Team Indirect'!$E:$E,MATCH($C314,'Team Indirect'!$A:$A,0)),"")</f>
        <v/>
      </c>
      <c r="AA314" s="3" t="str">
        <f ca="1">IF($C314&lt;&gt;"",INDEX('Team Indirect'!$F:$F,MATCH($C314,'Team Indirect'!$A:$A,0)),"")</f>
        <v/>
      </c>
      <c r="AB314" s="3" t="str">
        <f t="shared" ca="1" si="4"/>
        <v/>
      </c>
      <c r="AC314" s="3">
        <f ca="1">IF(OR(AllocationUnits="Stories", AllocationUnits="Points"),'Work Indirect'!F314,F314/MAX('Work Indirect'!AB314,1))</f>
        <v>1</v>
      </c>
    </row>
    <row r="315" spans="1:29"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7" t="str">
        <f ca="1">IF(OFFSET('4. Work'!$A$1,ROW(D315)-1,COLUMN(D315)-1)="","",OFFSET('4. Work'!$A$1,ROW(D315)-1,COLUMN(D315)-1))</f>
        <v/>
      </c>
      <c r="E315" s="147"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I315" s="3" t="str">
        <f ca="1">IF(OFFSET('4. Work'!$A$1,ROW(I315)-1,COLUMN(I315)-1)="","",OFFSET('4. Work'!$A$1,ROW(I315)-1,COLUMN(I315)-1))</f>
        <v/>
      </c>
      <c r="T315" s="3" t="str">
        <f ca="1">IF(A315&lt;&gt;"",MAX('Initiative Indirect'!$T:$T)+(ROW(A315)-1),"")</f>
        <v/>
      </c>
      <c r="U315" s="3" t="str">
        <f ca="1">IF(B315&lt;&gt;"",INDEX('Initiative Indirect'!$T:$T,MATCH(B315,'Initiative Indirect'!$A:$A,0)),"")</f>
        <v/>
      </c>
      <c r="V315" s="3" t="str">
        <f ca="1">IF(C315&lt;&gt;"",INDEX('Team Indirect'!$T:$T,MATCH(C315,'Team Indirect'!$A:$A,0)),"")</f>
        <v/>
      </c>
      <c r="W315" s="3"/>
      <c r="X315" s="3"/>
      <c r="Y315" s="3" t="str">
        <f ca="1">IF($C315&lt;&gt;"",INDEX('Team Indirect'!$D:$D,MATCH($C315,'Team Indirect'!$A:$A,0)),"")</f>
        <v/>
      </c>
      <c r="Z315" s="3" t="str">
        <f ca="1">IF($C315&lt;&gt;"",INDEX('Team Indirect'!$E:$E,MATCH($C315,'Team Indirect'!$A:$A,0)),"")</f>
        <v/>
      </c>
      <c r="AA315" s="3" t="str">
        <f ca="1">IF($C315&lt;&gt;"",INDEX('Team Indirect'!$F:$F,MATCH($C315,'Team Indirect'!$A:$A,0)),"")</f>
        <v/>
      </c>
      <c r="AB315" s="3" t="str">
        <f t="shared" ca="1" si="4"/>
        <v/>
      </c>
      <c r="AC315" s="3">
        <f ca="1">IF(OR(AllocationUnits="Stories", AllocationUnits="Points"),'Work Indirect'!F315,F315/MAX('Work Indirect'!AB315,1))</f>
        <v>1</v>
      </c>
    </row>
    <row r="316" spans="1:29"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7" t="str">
        <f ca="1">IF(OFFSET('4. Work'!$A$1,ROW(D316)-1,COLUMN(D316)-1)="","",OFFSET('4. Work'!$A$1,ROW(D316)-1,COLUMN(D316)-1))</f>
        <v/>
      </c>
      <c r="E316" s="147"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I316" s="3" t="str">
        <f ca="1">IF(OFFSET('4. Work'!$A$1,ROW(I316)-1,COLUMN(I316)-1)="","",OFFSET('4. Work'!$A$1,ROW(I316)-1,COLUMN(I316)-1))</f>
        <v/>
      </c>
      <c r="T316" s="3" t="str">
        <f ca="1">IF(A316&lt;&gt;"",MAX('Initiative Indirect'!$T:$T)+(ROW(A316)-1),"")</f>
        <v/>
      </c>
      <c r="U316" s="3" t="str">
        <f ca="1">IF(B316&lt;&gt;"",INDEX('Initiative Indirect'!$T:$T,MATCH(B316,'Initiative Indirect'!$A:$A,0)),"")</f>
        <v/>
      </c>
      <c r="V316" s="3" t="str">
        <f ca="1">IF(C316&lt;&gt;"",INDEX('Team Indirect'!$T:$T,MATCH(C316,'Team Indirect'!$A:$A,0)),"")</f>
        <v/>
      </c>
      <c r="W316" s="3"/>
      <c r="X316" s="3"/>
      <c r="Y316" s="3" t="str">
        <f ca="1">IF($C316&lt;&gt;"",INDEX('Team Indirect'!$D:$D,MATCH($C316,'Team Indirect'!$A:$A,0)),"")</f>
        <v/>
      </c>
      <c r="Z316" s="3" t="str">
        <f ca="1">IF($C316&lt;&gt;"",INDEX('Team Indirect'!$E:$E,MATCH($C316,'Team Indirect'!$A:$A,0)),"")</f>
        <v/>
      </c>
      <c r="AA316" s="3" t="str">
        <f ca="1">IF($C316&lt;&gt;"",INDEX('Team Indirect'!$F:$F,MATCH($C316,'Team Indirect'!$A:$A,0)),"")</f>
        <v/>
      </c>
      <c r="AB316" s="3" t="str">
        <f t="shared" ca="1" si="4"/>
        <v/>
      </c>
      <c r="AC316" s="3">
        <f ca="1">IF(OR(AllocationUnits="Stories", AllocationUnits="Points"),'Work Indirect'!F316,F316/MAX('Work Indirect'!AB316,1))</f>
        <v>1</v>
      </c>
    </row>
    <row r="317" spans="1:29"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7" t="str">
        <f ca="1">IF(OFFSET('4. Work'!$A$1,ROW(D317)-1,COLUMN(D317)-1)="","",OFFSET('4. Work'!$A$1,ROW(D317)-1,COLUMN(D317)-1))</f>
        <v/>
      </c>
      <c r="E317" s="147"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I317" s="3" t="str">
        <f ca="1">IF(OFFSET('4. Work'!$A$1,ROW(I317)-1,COLUMN(I317)-1)="","",OFFSET('4. Work'!$A$1,ROW(I317)-1,COLUMN(I317)-1))</f>
        <v/>
      </c>
      <c r="T317" s="3" t="str">
        <f ca="1">IF(A317&lt;&gt;"",MAX('Initiative Indirect'!$T:$T)+(ROW(A317)-1),"")</f>
        <v/>
      </c>
      <c r="U317" s="3" t="str">
        <f ca="1">IF(B317&lt;&gt;"",INDEX('Initiative Indirect'!$T:$T,MATCH(B317,'Initiative Indirect'!$A:$A,0)),"")</f>
        <v/>
      </c>
      <c r="V317" s="3" t="str">
        <f ca="1">IF(C317&lt;&gt;"",INDEX('Team Indirect'!$T:$T,MATCH(C317,'Team Indirect'!$A:$A,0)),"")</f>
        <v/>
      </c>
      <c r="W317" s="3"/>
      <c r="X317" s="3"/>
      <c r="Y317" s="3" t="str">
        <f ca="1">IF($C317&lt;&gt;"",INDEX('Team Indirect'!$D:$D,MATCH($C317,'Team Indirect'!$A:$A,0)),"")</f>
        <v/>
      </c>
      <c r="Z317" s="3" t="str">
        <f ca="1">IF($C317&lt;&gt;"",INDEX('Team Indirect'!$E:$E,MATCH($C317,'Team Indirect'!$A:$A,0)),"")</f>
        <v/>
      </c>
      <c r="AA317" s="3" t="str">
        <f ca="1">IF($C317&lt;&gt;"",INDEX('Team Indirect'!$F:$F,MATCH($C317,'Team Indirect'!$A:$A,0)),"")</f>
        <v/>
      </c>
      <c r="AB317" s="3" t="str">
        <f t="shared" ca="1" si="4"/>
        <v/>
      </c>
      <c r="AC317" s="3">
        <f ca="1">IF(OR(AllocationUnits="Stories", AllocationUnits="Points"),'Work Indirect'!F317,F317/MAX('Work Indirect'!AB317,1))</f>
        <v>1</v>
      </c>
    </row>
    <row r="318" spans="1:29"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7" t="str">
        <f ca="1">IF(OFFSET('4. Work'!$A$1,ROW(D318)-1,COLUMN(D318)-1)="","",OFFSET('4. Work'!$A$1,ROW(D318)-1,COLUMN(D318)-1))</f>
        <v/>
      </c>
      <c r="E318" s="147"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I318" s="3" t="str">
        <f ca="1">IF(OFFSET('4. Work'!$A$1,ROW(I318)-1,COLUMN(I318)-1)="","",OFFSET('4. Work'!$A$1,ROW(I318)-1,COLUMN(I318)-1))</f>
        <v/>
      </c>
      <c r="T318" s="3" t="str">
        <f ca="1">IF(A318&lt;&gt;"",MAX('Initiative Indirect'!$T:$T)+(ROW(A318)-1),"")</f>
        <v/>
      </c>
      <c r="U318" s="3" t="str">
        <f ca="1">IF(B318&lt;&gt;"",INDEX('Initiative Indirect'!$T:$T,MATCH(B318,'Initiative Indirect'!$A:$A,0)),"")</f>
        <v/>
      </c>
      <c r="V318" s="3" t="str">
        <f ca="1">IF(C318&lt;&gt;"",INDEX('Team Indirect'!$T:$T,MATCH(C318,'Team Indirect'!$A:$A,0)),"")</f>
        <v/>
      </c>
      <c r="W318" s="3"/>
      <c r="X318" s="3"/>
      <c r="Y318" s="3" t="str">
        <f ca="1">IF($C318&lt;&gt;"",INDEX('Team Indirect'!$D:$D,MATCH($C318,'Team Indirect'!$A:$A,0)),"")</f>
        <v/>
      </c>
      <c r="Z318" s="3" t="str">
        <f ca="1">IF($C318&lt;&gt;"",INDEX('Team Indirect'!$E:$E,MATCH($C318,'Team Indirect'!$A:$A,0)),"")</f>
        <v/>
      </c>
      <c r="AA318" s="3" t="str">
        <f ca="1">IF($C318&lt;&gt;"",INDEX('Team Indirect'!$F:$F,MATCH($C318,'Team Indirect'!$A:$A,0)),"")</f>
        <v/>
      </c>
      <c r="AB318" s="3" t="str">
        <f t="shared" ca="1" si="4"/>
        <v/>
      </c>
      <c r="AC318" s="3">
        <f ca="1">IF(OR(AllocationUnits="Stories", AllocationUnits="Points"),'Work Indirect'!F318,F318/MAX('Work Indirect'!AB318,1))</f>
        <v>1</v>
      </c>
    </row>
    <row r="319" spans="1:29"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7" t="str">
        <f ca="1">IF(OFFSET('4. Work'!$A$1,ROW(D319)-1,COLUMN(D319)-1)="","",OFFSET('4. Work'!$A$1,ROW(D319)-1,COLUMN(D319)-1))</f>
        <v/>
      </c>
      <c r="E319" s="147"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I319" s="3" t="str">
        <f ca="1">IF(OFFSET('4. Work'!$A$1,ROW(I319)-1,COLUMN(I319)-1)="","",OFFSET('4. Work'!$A$1,ROW(I319)-1,COLUMN(I319)-1))</f>
        <v/>
      </c>
      <c r="T319" s="3" t="str">
        <f ca="1">IF(A319&lt;&gt;"",MAX('Initiative Indirect'!$T:$T)+(ROW(A319)-1),"")</f>
        <v/>
      </c>
      <c r="U319" s="3" t="str">
        <f ca="1">IF(B319&lt;&gt;"",INDEX('Initiative Indirect'!$T:$T,MATCH(B319,'Initiative Indirect'!$A:$A,0)),"")</f>
        <v/>
      </c>
      <c r="V319" s="3" t="str">
        <f ca="1">IF(C319&lt;&gt;"",INDEX('Team Indirect'!$T:$T,MATCH(C319,'Team Indirect'!$A:$A,0)),"")</f>
        <v/>
      </c>
      <c r="W319" s="3"/>
      <c r="X319" s="3"/>
      <c r="Y319" s="3" t="str">
        <f ca="1">IF($C319&lt;&gt;"",INDEX('Team Indirect'!$D:$D,MATCH($C319,'Team Indirect'!$A:$A,0)),"")</f>
        <v/>
      </c>
      <c r="Z319" s="3" t="str">
        <f ca="1">IF($C319&lt;&gt;"",INDEX('Team Indirect'!$E:$E,MATCH($C319,'Team Indirect'!$A:$A,0)),"")</f>
        <v/>
      </c>
      <c r="AA319" s="3" t="str">
        <f ca="1">IF($C319&lt;&gt;"",INDEX('Team Indirect'!$F:$F,MATCH($C319,'Team Indirect'!$A:$A,0)),"")</f>
        <v/>
      </c>
      <c r="AB319" s="3" t="str">
        <f t="shared" ca="1" si="4"/>
        <v/>
      </c>
      <c r="AC319" s="3">
        <f ca="1">IF(OR(AllocationUnits="Stories", AllocationUnits="Points"),'Work Indirect'!F319,F319/MAX('Work Indirect'!AB319,1))</f>
        <v>1</v>
      </c>
    </row>
    <row r="320" spans="1:29"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7" t="str">
        <f ca="1">IF(OFFSET('4. Work'!$A$1,ROW(D320)-1,COLUMN(D320)-1)="","",OFFSET('4. Work'!$A$1,ROW(D320)-1,COLUMN(D320)-1))</f>
        <v/>
      </c>
      <c r="E320" s="147"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I320" s="3" t="str">
        <f ca="1">IF(OFFSET('4. Work'!$A$1,ROW(I320)-1,COLUMN(I320)-1)="","",OFFSET('4. Work'!$A$1,ROW(I320)-1,COLUMN(I320)-1))</f>
        <v/>
      </c>
      <c r="T320" s="3" t="str">
        <f ca="1">IF(A320&lt;&gt;"",MAX('Initiative Indirect'!$T:$T)+(ROW(A320)-1),"")</f>
        <v/>
      </c>
      <c r="U320" s="3" t="str">
        <f ca="1">IF(B320&lt;&gt;"",INDEX('Initiative Indirect'!$T:$T,MATCH(B320,'Initiative Indirect'!$A:$A,0)),"")</f>
        <v/>
      </c>
      <c r="V320" s="3" t="str">
        <f ca="1">IF(C320&lt;&gt;"",INDEX('Team Indirect'!$T:$T,MATCH(C320,'Team Indirect'!$A:$A,0)),"")</f>
        <v/>
      </c>
      <c r="W320" s="3"/>
      <c r="X320" s="3"/>
      <c r="Y320" s="3" t="str">
        <f ca="1">IF($C320&lt;&gt;"",INDEX('Team Indirect'!$D:$D,MATCH($C320,'Team Indirect'!$A:$A,0)),"")</f>
        <v/>
      </c>
      <c r="Z320" s="3" t="str">
        <f ca="1">IF($C320&lt;&gt;"",INDEX('Team Indirect'!$E:$E,MATCH($C320,'Team Indirect'!$A:$A,0)),"")</f>
        <v/>
      </c>
      <c r="AA320" s="3" t="str">
        <f ca="1">IF($C320&lt;&gt;"",INDEX('Team Indirect'!$F:$F,MATCH($C320,'Team Indirect'!$A:$A,0)),"")</f>
        <v/>
      </c>
      <c r="AB320" s="3" t="str">
        <f t="shared" ca="1" si="4"/>
        <v/>
      </c>
      <c r="AC320" s="3">
        <f ca="1">IF(OR(AllocationUnits="Stories", AllocationUnits="Points"),'Work Indirect'!F320,F320/MAX('Work Indirect'!AB320,1))</f>
        <v>1</v>
      </c>
    </row>
    <row r="321" spans="1:29"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7" t="str">
        <f ca="1">IF(OFFSET('4. Work'!$A$1,ROW(D321)-1,COLUMN(D321)-1)="","",OFFSET('4. Work'!$A$1,ROW(D321)-1,COLUMN(D321)-1))</f>
        <v/>
      </c>
      <c r="E321" s="147"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I321" s="3" t="str">
        <f ca="1">IF(OFFSET('4. Work'!$A$1,ROW(I321)-1,COLUMN(I321)-1)="","",OFFSET('4. Work'!$A$1,ROW(I321)-1,COLUMN(I321)-1))</f>
        <v/>
      </c>
      <c r="T321" s="3" t="str">
        <f ca="1">IF(A321&lt;&gt;"",MAX('Initiative Indirect'!$T:$T)+(ROW(A321)-1),"")</f>
        <v/>
      </c>
      <c r="U321" s="3" t="str">
        <f ca="1">IF(B321&lt;&gt;"",INDEX('Initiative Indirect'!$T:$T,MATCH(B321,'Initiative Indirect'!$A:$A,0)),"")</f>
        <v/>
      </c>
      <c r="V321" s="3" t="str">
        <f ca="1">IF(C321&lt;&gt;"",INDEX('Team Indirect'!$T:$T,MATCH(C321,'Team Indirect'!$A:$A,0)),"")</f>
        <v/>
      </c>
      <c r="W321" s="3"/>
      <c r="X321" s="3"/>
      <c r="Y321" s="3" t="str">
        <f ca="1">IF($C321&lt;&gt;"",INDEX('Team Indirect'!$D:$D,MATCH($C321,'Team Indirect'!$A:$A,0)),"")</f>
        <v/>
      </c>
      <c r="Z321" s="3" t="str">
        <f ca="1">IF($C321&lt;&gt;"",INDEX('Team Indirect'!$E:$E,MATCH($C321,'Team Indirect'!$A:$A,0)),"")</f>
        <v/>
      </c>
      <c r="AA321" s="3" t="str">
        <f ca="1">IF($C321&lt;&gt;"",INDEX('Team Indirect'!$F:$F,MATCH($C321,'Team Indirect'!$A:$A,0)),"")</f>
        <v/>
      </c>
      <c r="AB321" s="3" t="str">
        <f t="shared" ca="1" si="4"/>
        <v/>
      </c>
      <c r="AC321" s="3">
        <f ca="1">IF(OR(AllocationUnits="Stories", AllocationUnits="Points"),'Work Indirect'!F321,F321/MAX('Work Indirect'!AB321,1))</f>
        <v>1</v>
      </c>
    </row>
    <row r="322" spans="1:29"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7" t="str">
        <f ca="1">IF(OFFSET('4. Work'!$A$1,ROW(D322)-1,COLUMN(D322)-1)="","",OFFSET('4. Work'!$A$1,ROW(D322)-1,COLUMN(D322)-1))</f>
        <v/>
      </c>
      <c r="E322" s="147"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I322" s="3" t="str">
        <f ca="1">IF(OFFSET('4. Work'!$A$1,ROW(I322)-1,COLUMN(I322)-1)="","",OFFSET('4. Work'!$A$1,ROW(I322)-1,COLUMN(I322)-1))</f>
        <v/>
      </c>
      <c r="T322" s="3" t="str">
        <f ca="1">IF(A322&lt;&gt;"",MAX('Initiative Indirect'!$T:$T)+(ROW(A322)-1),"")</f>
        <v/>
      </c>
      <c r="U322" s="3" t="str">
        <f ca="1">IF(B322&lt;&gt;"",INDEX('Initiative Indirect'!$T:$T,MATCH(B322,'Initiative Indirect'!$A:$A,0)),"")</f>
        <v/>
      </c>
      <c r="V322" s="3" t="str">
        <f ca="1">IF(C322&lt;&gt;"",INDEX('Team Indirect'!$T:$T,MATCH(C322,'Team Indirect'!$A:$A,0)),"")</f>
        <v/>
      </c>
      <c r="W322" s="3"/>
      <c r="X322" s="3"/>
      <c r="Y322" s="3" t="str">
        <f ca="1">IF($C322&lt;&gt;"",INDEX('Team Indirect'!$D:$D,MATCH($C322,'Team Indirect'!$A:$A,0)),"")</f>
        <v/>
      </c>
      <c r="Z322" s="3" t="str">
        <f ca="1">IF($C322&lt;&gt;"",INDEX('Team Indirect'!$E:$E,MATCH($C322,'Team Indirect'!$A:$A,0)),"")</f>
        <v/>
      </c>
      <c r="AA322" s="3" t="str">
        <f ca="1">IF($C322&lt;&gt;"",INDEX('Team Indirect'!$F:$F,MATCH($C322,'Team Indirect'!$A:$A,0)),"")</f>
        <v/>
      </c>
      <c r="AB322" s="3" t="str">
        <f t="shared" ref="AB322:AB385" ca="1" si="5">IF(AND(Y322&lt;&gt;"",Z322&lt;&gt;""),Y322+((Z322-Y322)*(1-MAX(0,AA322))*(1-Probability)),"")</f>
        <v/>
      </c>
      <c r="AC322" s="3">
        <f ca="1">IF(OR(AllocationUnits="Stories", AllocationUnits="Points"),'Work Indirect'!F322,F322/MAX('Work Indirect'!AB322,1))</f>
        <v>1</v>
      </c>
    </row>
    <row r="323" spans="1:29"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7" t="str">
        <f ca="1">IF(OFFSET('4. Work'!$A$1,ROW(D323)-1,COLUMN(D323)-1)="","",OFFSET('4. Work'!$A$1,ROW(D323)-1,COLUMN(D323)-1))</f>
        <v/>
      </c>
      <c r="E323" s="147"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I323" s="3" t="str">
        <f ca="1">IF(OFFSET('4. Work'!$A$1,ROW(I323)-1,COLUMN(I323)-1)="","",OFFSET('4. Work'!$A$1,ROW(I323)-1,COLUMN(I323)-1))</f>
        <v/>
      </c>
      <c r="T323" s="3" t="str">
        <f ca="1">IF(A323&lt;&gt;"",MAX('Initiative Indirect'!$T:$T)+(ROW(A323)-1),"")</f>
        <v/>
      </c>
      <c r="U323" s="3" t="str">
        <f ca="1">IF(B323&lt;&gt;"",INDEX('Initiative Indirect'!$T:$T,MATCH(B323,'Initiative Indirect'!$A:$A,0)),"")</f>
        <v/>
      </c>
      <c r="V323" s="3" t="str">
        <f ca="1">IF(C323&lt;&gt;"",INDEX('Team Indirect'!$T:$T,MATCH(C323,'Team Indirect'!$A:$A,0)),"")</f>
        <v/>
      </c>
      <c r="W323" s="3"/>
      <c r="X323" s="3"/>
      <c r="Y323" s="3" t="str">
        <f ca="1">IF($C323&lt;&gt;"",INDEX('Team Indirect'!$D:$D,MATCH($C323,'Team Indirect'!$A:$A,0)),"")</f>
        <v/>
      </c>
      <c r="Z323" s="3" t="str">
        <f ca="1">IF($C323&lt;&gt;"",INDEX('Team Indirect'!$E:$E,MATCH($C323,'Team Indirect'!$A:$A,0)),"")</f>
        <v/>
      </c>
      <c r="AA323" s="3" t="str">
        <f ca="1">IF($C323&lt;&gt;"",INDEX('Team Indirect'!$F:$F,MATCH($C323,'Team Indirect'!$A:$A,0)),"")</f>
        <v/>
      </c>
      <c r="AB323" s="3" t="str">
        <f t="shared" ca="1" si="5"/>
        <v/>
      </c>
      <c r="AC323" s="3">
        <f ca="1">IF(OR(AllocationUnits="Stories", AllocationUnits="Points"),'Work Indirect'!F323,F323/MAX('Work Indirect'!AB323,1))</f>
        <v>1</v>
      </c>
    </row>
    <row r="324" spans="1:29"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7" t="str">
        <f ca="1">IF(OFFSET('4. Work'!$A$1,ROW(D324)-1,COLUMN(D324)-1)="","",OFFSET('4. Work'!$A$1,ROW(D324)-1,COLUMN(D324)-1))</f>
        <v/>
      </c>
      <c r="E324" s="147"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I324" s="3" t="str">
        <f ca="1">IF(OFFSET('4. Work'!$A$1,ROW(I324)-1,COLUMN(I324)-1)="","",OFFSET('4. Work'!$A$1,ROW(I324)-1,COLUMN(I324)-1))</f>
        <v/>
      </c>
      <c r="T324" s="3" t="str">
        <f ca="1">IF(A324&lt;&gt;"",MAX('Initiative Indirect'!$T:$T)+(ROW(A324)-1),"")</f>
        <v/>
      </c>
      <c r="U324" s="3" t="str">
        <f ca="1">IF(B324&lt;&gt;"",INDEX('Initiative Indirect'!$T:$T,MATCH(B324,'Initiative Indirect'!$A:$A,0)),"")</f>
        <v/>
      </c>
      <c r="V324" s="3" t="str">
        <f ca="1">IF(C324&lt;&gt;"",INDEX('Team Indirect'!$T:$T,MATCH(C324,'Team Indirect'!$A:$A,0)),"")</f>
        <v/>
      </c>
      <c r="W324" s="3"/>
      <c r="X324" s="3"/>
      <c r="Y324" s="3" t="str">
        <f ca="1">IF($C324&lt;&gt;"",INDEX('Team Indirect'!$D:$D,MATCH($C324,'Team Indirect'!$A:$A,0)),"")</f>
        <v/>
      </c>
      <c r="Z324" s="3" t="str">
        <f ca="1">IF($C324&lt;&gt;"",INDEX('Team Indirect'!$E:$E,MATCH($C324,'Team Indirect'!$A:$A,0)),"")</f>
        <v/>
      </c>
      <c r="AA324" s="3" t="str">
        <f ca="1">IF($C324&lt;&gt;"",INDEX('Team Indirect'!$F:$F,MATCH($C324,'Team Indirect'!$A:$A,0)),"")</f>
        <v/>
      </c>
      <c r="AB324" s="3" t="str">
        <f t="shared" ca="1" si="5"/>
        <v/>
      </c>
      <c r="AC324" s="3">
        <f ca="1">IF(OR(AllocationUnits="Stories", AllocationUnits="Points"),'Work Indirect'!F324,F324/MAX('Work Indirect'!AB324,1))</f>
        <v>1</v>
      </c>
    </row>
    <row r="325" spans="1:29"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7" t="str">
        <f ca="1">IF(OFFSET('4. Work'!$A$1,ROW(D325)-1,COLUMN(D325)-1)="","",OFFSET('4. Work'!$A$1,ROW(D325)-1,COLUMN(D325)-1))</f>
        <v/>
      </c>
      <c r="E325" s="147"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I325" s="3" t="str">
        <f ca="1">IF(OFFSET('4. Work'!$A$1,ROW(I325)-1,COLUMN(I325)-1)="","",OFFSET('4. Work'!$A$1,ROW(I325)-1,COLUMN(I325)-1))</f>
        <v/>
      </c>
      <c r="T325" s="3" t="str">
        <f ca="1">IF(A325&lt;&gt;"",MAX('Initiative Indirect'!$T:$T)+(ROW(A325)-1),"")</f>
        <v/>
      </c>
      <c r="U325" s="3" t="str">
        <f ca="1">IF(B325&lt;&gt;"",INDEX('Initiative Indirect'!$T:$T,MATCH(B325,'Initiative Indirect'!$A:$A,0)),"")</f>
        <v/>
      </c>
      <c r="V325" s="3" t="str">
        <f ca="1">IF(C325&lt;&gt;"",INDEX('Team Indirect'!$T:$T,MATCH(C325,'Team Indirect'!$A:$A,0)),"")</f>
        <v/>
      </c>
      <c r="W325" s="3"/>
      <c r="X325" s="3"/>
      <c r="Y325" s="3" t="str">
        <f ca="1">IF($C325&lt;&gt;"",INDEX('Team Indirect'!$D:$D,MATCH($C325,'Team Indirect'!$A:$A,0)),"")</f>
        <v/>
      </c>
      <c r="Z325" s="3" t="str">
        <f ca="1">IF($C325&lt;&gt;"",INDEX('Team Indirect'!$E:$E,MATCH($C325,'Team Indirect'!$A:$A,0)),"")</f>
        <v/>
      </c>
      <c r="AA325" s="3" t="str">
        <f ca="1">IF($C325&lt;&gt;"",INDEX('Team Indirect'!$F:$F,MATCH($C325,'Team Indirect'!$A:$A,0)),"")</f>
        <v/>
      </c>
      <c r="AB325" s="3" t="str">
        <f t="shared" ca="1" si="5"/>
        <v/>
      </c>
      <c r="AC325" s="3">
        <f ca="1">IF(OR(AllocationUnits="Stories", AllocationUnits="Points"),'Work Indirect'!F325,F325/MAX('Work Indirect'!AB325,1))</f>
        <v>1</v>
      </c>
    </row>
    <row r="326" spans="1:29"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7" t="str">
        <f ca="1">IF(OFFSET('4. Work'!$A$1,ROW(D326)-1,COLUMN(D326)-1)="","",OFFSET('4. Work'!$A$1,ROW(D326)-1,COLUMN(D326)-1))</f>
        <v/>
      </c>
      <c r="E326" s="147"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I326" s="3" t="str">
        <f ca="1">IF(OFFSET('4. Work'!$A$1,ROW(I326)-1,COLUMN(I326)-1)="","",OFFSET('4. Work'!$A$1,ROW(I326)-1,COLUMN(I326)-1))</f>
        <v/>
      </c>
      <c r="T326" s="3" t="str">
        <f ca="1">IF(A326&lt;&gt;"",MAX('Initiative Indirect'!$T:$T)+(ROW(A326)-1),"")</f>
        <v/>
      </c>
      <c r="U326" s="3" t="str">
        <f ca="1">IF(B326&lt;&gt;"",INDEX('Initiative Indirect'!$T:$T,MATCH(B326,'Initiative Indirect'!$A:$A,0)),"")</f>
        <v/>
      </c>
      <c r="V326" s="3" t="str">
        <f ca="1">IF(C326&lt;&gt;"",INDEX('Team Indirect'!$T:$T,MATCH(C326,'Team Indirect'!$A:$A,0)),"")</f>
        <v/>
      </c>
      <c r="W326" s="3"/>
      <c r="X326" s="3"/>
      <c r="Y326" s="3" t="str">
        <f ca="1">IF($C326&lt;&gt;"",INDEX('Team Indirect'!$D:$D,MATCH($C326,'Team Indirect'!$A:$A,0)),"")</f>
        <v/>
      </c>
      <c r="Z326" s="3" t="str">
        <f ca="1">IF($C326&lt;&gt;"",INDEX('Team Indirect'!$E:$E,MATCH($C326,'Team Indirect'!$A:$A,0)),"")</f>
        <v/>
      </c>
      <c r="AA326" s="3" t="str">
        <f ca="1">IF($C326&lt;&gt;"",INDEX('Team Indirect'!$F:$F,MATCH($C326,'Team Indirect'!$A:$A,0)),"")</f>
        <v/>
      </c>
      <c r="AB326" s="3" t="str">
        <f t="shared" ca="1" si="5"/>
        <v/>
      </c>
      <c r="AC326" s="3">
        <f ca="1">IF(OR(AllocationUnits="Stories", AllocationUnits="Points"),'Work Indirect'!F326,F326/MAX('Work Indirect'!AB326,1))</f>
        <v>1</v>
      </c>
    </row>
    <row r="327" spans="1:29"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7" t="str">
        <f ca="1">IF(OFFSET('4. Work'!$A$1,ROW(D327)-1,COLUMN(D327)-1)="","",OFFSET('4. Work'!$A$1,ROW(D327)-1,COLUMN(D327)-1))</f>
        <v/>
      </c>
      <c r="E327" s="147"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I327" s="3" t="str">
        <f ca="1">IF(OFFSET('4. Work'!$A$1,ROW(I327)-1,COLUMN(I327)-1)="","",OFFSET('4. Work'!$A$1,ROW(I327)-1,COLUMN(I327)-1))</f>
        <v/>
      </c>
      <c r="T327" s="3" t="str">
        <f ca="1">IF(A327&lt;&gt;"",MAX('Initiative Indirect'!$T:$T)+(ROW(A327)-1),"")</f>
        <v/>
      </c>
      <c r="U327" s="3" t="str">
        <f ca="1">IF(B327&lt;&gt;"",INDEX('Initiative Indirect'!$T:$T,MATCH(B327,'Initiative Indirect'!$A:$A,0)),"")</f>
        <v/>
      </c>
      <c r="V327" s="3" t="str">
        <f ca="1">IF(C327&lt;&gt;"",INDEX('Team Indirect'!$T:$T,MATCH(C327,'Team Indirect'!$A:$A,0)),"")</f>
        <v/>
      </c>
      <c r="W327" s="3"/>
      <c r="X327" s="3"/>
      <c r="Y327" s="3" t="str">
        <f ca="1">IF($C327&lt;&gt;"",INDEX('Team Indirect'!$D:$D,MATCH($C327,'Team Indirect'!$A:$A,0)),"")</f>
        <v/>
      </c>
      <c r="Z327" s="3" t="str">
        <f ca="1">IF($C327&lt;&gt;"",INDEX('Team Indirect'!$E:$E,MATCH($C327,'Team Indirect'!$A:$A,0)),"")</f>
        <v/>
      </c>
      <c r="AA327" s="3" t="str">
        <f ca="1">IF($C327&lt;&gt;"",INDEX('Team Indirect'!$F:$F,MATCH($C327,'Team Indirect'!$A:$A,0)),"")</f>
        <v/>
      </c>
      <c r="AB327" s="3" t="str">
        <f t="shared" ca="1" si="5"/>
        <v/>
      </c>
      <c r="AC327" s="3">
        <f ca="1">IF(OR(AllocationUnits="Stories", AllocationUnits="Points"),'Work Indirect'!F327,F327/MAX('Work Indirect'!AB327,1))</f>
        <v>1</v>
      </c>
    </row>
    <row r="328" spans="1:29"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7" t="str">
        <f ca="1">IF(OFFSET('4. Work'!$A$1,ROW(D328)-1,COLUMN(D328)-1)="","",OFFSET('4. Work'!$A$1,ROW(D328)-1,COLUMN(D328)-1))</f>
        <v/>
      </c>
      <c r="E328" s="147"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I328" s="3" t="str">
        <f ca="1">IF(OFFSET('4. Work'!$A$1,ROW(I328)-1,COLUMN(I328)-1)="","",OFFSET('4. Work'!$A$1,ROW(I328)-1,COLUMN(I328)-1))</f>
        <v/>
      </c>
      <c r="T328" s="3" t="str">
        <f ca="1">IF(A328&lt;&gt;"",MAX('Initiative Indirect'!$T:$T)+(ROW(A328)-1),"")</f>
        <v/>
      </c>
      <c r="U328" s="3" t="str">
        <f ca="1">IF(B328&lt;&gt;"",INDEX('Initiative Indirect'!$T:$T,MATCH(B328,'Initiative Indirect'!$A:$A,0)),"")</f>
        <v/>
      </c>
      <c r="V328" s="3" t="str">
        <f ca="1">IF(C328&lt;&gt;"",INDEX('Team Indirect'!$T:$T,MATCH(C328,'Team Indirect'!$A:$A,0)),"")</f>
        <v/>
      </c>
      <c r="W328" s="3"/>
      <c r="X328" s="3"/>
      <c r="Y328" s="3" t="str">
        <f ca="1">IF($C328&lt;&gt;"",INDEX('Team Indirect'!$D:$D,MATCH($C328,'Team Indirect'!$A:$A,0)),"")</f>
        <v/>
      </c>
      <c r="Z328" s="3" t="str">
        <f ca="1">IF($C328&lt;&gt;"",INDEX('Team Indirect'!$E:$E,MATCH($C328,'Team Indirect'!$A:$A,0)),"")</f>
        <v/>
      </c>
      <c r="AA328" s="3" t="str">
        <f ca="1">IF($C328&lt;&gt;"",INDEX('Team Indirect'!$F:$F,MATCH($C328,'Team Indirect'!$A:$A,0)),"")</f>
        <v/>
      </c>
      <c r="AB328" s="3" t="str">
        <f t="shared" ca="1" si="5"/>
        <v/>
      </c>
      <c r="AC328" s="3">
        <f ca="1">IF(OR(AllocationUnits="Stories", AllocationUnits="Points"),'Work Indirect'!F328,F328/MAX('Work Indirect'!AB328,1))</f>
        <v>1</v>
      </c>
    </row>
    <row r="329" spans="1:29"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7" t="str">
        <f ca="1">IF(OFFSET('4. Work'!$A$1,ROW(D329)-1,COLUMN(D329)-1)="","",OFFSET('4. Work'!$A$1,ROW(D329)-1,COLUMN(D329)-1))</f>
        <v/>
      </c>
      <c r="E329" s="147"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I329" s="3" t="str">
        <f ca="1">IF(OFFSET('4. Work'!$A$1,ROW(I329)-1,COLUMN(I329)-1)="","",OFFSET('4. Work'!$A$1,ROW(I329)-1,COLUMN(I329)-1))</f>
        <v/>
      </c>
      <c r="T329" s="3" t="str">
        <f ca="1">IF(A329&lt;&gt;"",MAX('Initiative Indirect'!$T:$T)+(ROW(A329)-1),"")</f>
        <v/>
      </c>
      <c r="U329" s="3" t="str">
        <f ca="1">IF(B329&lt;&gt;"",INDEX('Initiative Indirect'!$T:$T,MATCH(B329,'Initiative Indirect'!$A:$A,0)),"")</f>
        <v/>
      </c>
      <c r="V329" s="3" t="str">
        <f ca="1">IF(C329&lt;&gt;"",INDEX('Team Indirect'!$T:$T,MATCH(C329,'Team Indirect'!$A:$A,0)),"")</f>
        <v/>
      </c>
      <c r="W329" s="3"/>
      <c r="X329" s="3"/>
      <c r="Y329" s="3" t="str">
        <f ca="1">IF($C329&lt;&gt;"",INDEX('Team Indirect'!$D:$D,MATCH($C329,'Team Indirect'!$A:$A,0)),"")</f>
        <v/>
      </c>
      <c r="Z329" s="3" t="str">
        <f ca="1">IF($C329&lt;&gt;"",INDEX('Team Indirect'!$E:$E,MATCH($C329,'Team Indirect'!$A:$A,0)),"")</f>
        <v/>
      </c>
      <c r="AA329" s="3" t="str">
        <f ca="1">IF($C329&lt;&gt;"",INDEX('Team Indirect'!$F:$F,MATCH($C329,'Team Indirect'!$A:$A,0)),"")</f>
        <v/>
      </c>
      <c r="AB329" s="3" t="str">
        <f t="shared" ca="1" si="5"/>
        <v/>
      </c>
      <c r="AC329" s="3">
        <f ca="1">IF(OR(AllocationUnits="Stories", AllocationUnits="Points"),'Work Indirect'!F329,F329/MAX('Work Indirect'!AB329,1))</f>
        <v>1</v>
      </c>
    </row>
    <row r="330" spans="1:29"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7" t="str">
        <f ca="1">IF(OFFSET('4. Work'!$A$1,ROW(D330)-1,COLUMN(D330)-1)="","",OFFSET('4. Work'!$A$1,ROW(D330)-1,COLUMN(D330)-1))</f>
        <v/>
      </c>
      <c r="E330" s="147"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I330" s="3" t="str">
        <f ca="1">IF(OFFSET('4. Work'!$A$1,ROW(I330)-1,COLUMN(I330)-1)="","",OFFSET('4. Work'!$A$1,ROW(I330)-1,COLUMN(I330)-1))</f>
        <v/>
      </c>
      <c r="T330" s="3" t="str">
        <f ca="1">IF(A330&lt;&gt;"",MAX('Initiative Indirect'!$T:$T)+(ROW(A330)-1),"")</f>
        <v/>
      </c>
      <c r="U330" s="3" t="str">
        <f ca="1">IF(B330&lt;&gt;"",INDEX('Initiative Indirect'!$T:$T,MATCH(B330,'Initiative Indirect'!$A:$A,0)),"")</f>
        <v/>
      </c>
      <c r="V330" s="3" t="str">
        <f ca="1">IF(C330&lt;&gt;"",INDEX('Team Indirect'!$T:$T,MATCH(C330,'Team Indirect'!$A:$A,0)),"")</f>
        <v/>
      </c>
      <c r="W330" s="3"/>
      <c r="X330" s="3"/>
      <c r="Y330" s="3" t="str">
        <f ca="1">IF($C330&lt;&gt;"",INDEX('Team Indirect'!$D:$D,MATCH($C330,'Team Indirect'!$A:$A,0)),"")</f>
        <v/>
      </c>
      <c r="Z330" s="3" t="str">
        <f ca="1">IF($C330&lt;&gt;"",INDEX('Team Indirect'!$E:$E,MATCH($C330,'Team Indirect'!$A:$A,0)),"")</f>
        <v/>
      </c>
      <c r="AA330" s="3" t="str">
        <f ca="1">IF($C330&lt;&gt;"",INDEX('Team Indirect'!$F:$F,MATCH($C330,'Team Indirect'!$A:$A,0)),"")</f>
        <v/>
      </c>
      <c r="AB330" s="3" t="str">
        <f t="shared" ca="1" si="5"/>
        <v/>
      </c>
      <c r="AC330" s="3">
        <f ca="1">IF(OR(AllocationUnits="Stories", AllocationUnits="Points"),'Work Indirect'!F330,F330/MAX('Work Indirect'!AB330,1))</f>
        <v>1</v>
      </c>
    </row>
    <row r="331" spans="1:29"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7" t="str">
        <f ca="1">IF(OFFSET('4. Work'!$A$1,ROW(D331)-1,COLUMN(D331)-1)="","",OFFSET('4. Work'!$A$1,ROW(D331)-1,COLUMN(D331)-1))</f>
        <v/>
      </c>
      <c r="E331" s="147"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I331" s="3" t="str">
        <f ca="1">IF(OFFSET('4. Work'!$A$1,ROW(I331)-1,COLUMN(I331)-1)="","",OFFSET('4. Work'!$A$1,ROW(I331)-1,COLUMN(I331)-1))</f>
        <v/>
      </c>
      <c r="T331" s="3" t="str">
        <f ca="1">IF(A331&lt;&gt;"",MAX('Initiative Indirect'!$T:$T)+(ROW(A331)-1),"")</f>
        <v/>
      </c>
      <c r="U331" s="3" t="str">
        <f ca="1">IF(B331&lt;&gt;"",INDEX('Initiative Indirect'!$T:$T,MATCH(B331,'Initiative Indirect'!$A:$A,0)),"")</f>
        <v/>
      </c>
      <c r="V331" s="3" t="str">
        <f ca="1">IF(C331&lt;&gt;"",INDEX('Team Indirect'!$T:$T,MATCH(C331,'Team Indirect'!$A:$A,0)),"")</f>
        <v/>
      </c>
      <c r="W331" s="3"/>
      <c r="X331" s="3"/>
      <c r="Y331" s="3" t="str">
        <f ca="1">IF($C331&lt;&gt;"",INDEX('Team Indirect'!$D:$D,MATCH($C331,'Team Indirect'!$A:$A,0)),"")</f>
        <v/>
      </c>
      <c r="Z331" s="3" t="str">
        <f ca="1">IF($C331&lt;&gt;"",INDEX('Team Indirect'!$E:$E,MATCH($C331,'Team Indirect'!$A:$A,0)),"")</f>
        <v/>
      </c>
      <c r="AA331" s="3" t="str">
        <f ca="1">IF($C331&lt;&gt;"",INDEX('Team Indirect'!$F:$F,MATCH($C331,'Team Indirect'!$A:$A,0)),"")</f>
        <v/>
      </c>
      <c r="AB331" s="3" t="str">
        <f t="shared" ca="1" si="5"/>
        <v/>
      </c>
      <c r="AC331" s="3">
        <f ca="1">IF(OR(AllocationUnits="Stories", AllocationUnits="Points"),'Work Indirect'!F331,F331/MAX('Work Indirect'!AB331,1))</f>
        <v>1</v>
      </c>
    </row>
    <row r="332" spans="1:29"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7" t="str">
        <f ca="1">IF(OFFSET('4. Work'!$A$1,ROW(D332)-1,COLUMN(D332)-1)="","",OFFSET('4. Work'!$A$1,ROW(D332)-1,COLUMN(D332)-1))</f>
        <v/>
      </c>
      <c r="E332" s="147"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I332" s="3" t="str">
        <f ca="1">IF(OFFSET('4. Work'!$A$1,ROW(I332)-1,COLUMN(I332)-1)="","",OFFSET('4. Work'!$A$1,ROW(I332)-1,COLUMN(I332)-1))</f>
        <v/>
      </c>
      <c r="T332" s="3" t="str">
        <f ca="1">IF(A332&lt;&gt;"",MAX('Initiative Indirect'!$T:$T)+(ROW(A332)-1),"")</f>
        <v/>
      </c>
      <c r="U332" s="3" t="str">
        <f ca="1">IF(B332&lt;&gt;"",INDEX('Initiative Indirect'!$T:$T,MATCH(B332,'Initiative Indirect'!$A:$A,0)),"")</f>
        <v/>
      </c>
      <c r="V332" s="3" t="str">
        <f ca="1">IF(C332&lt;&gt;"",INDEX('Team Indirect'!$T:$T,MATCH(C332,'Team Indirect'!$A:$A,0)),"")</f>
        <v/>
      </c>
      <c r="W332" s="3"/>
      <c r="X332" s="3"/>
      <c r="Y332" s="3" t="str">
        <f ca="1">IF($C332&lt;&gt;"",INDEX('Team Indirect'!$D:$D,MATCH($C332,'Team Indirect'!$A:$A,0)),"")</f>
        <v/>
      </c>
      <c r="Z332" s="3" t="str">
        <f ca="1">IF($C332&lt;&gt;"",INDEX('Team Indirect'!$E:$E,MATCH($C332,'Team Indirect'!$A:$A,0)),"")</f>
        <v/>
      </c>
      <c r="AA332" s="3" t="str">
        <f ca="1">IF($C332&lt;&gt;"",INDEX('Team Indirect'!$F:$F,MATCH($C332,'Team Indirect'!$A:$A,0)),"")</f>
        <v/>
      </c>
      <c r="AB332" s="3" t="str">
        <f t="shared" ca="1" si="5"/>
        <v/>
      </c>
      <c r="AC332" s="3">
        <f ca="1">IF(OR(AllocationUnits="Stories", AllocationUnits="Points"),'Work Indirect'!F332,F332/MAX('Work Indirect'!AB332,1))</f>
        <v>1</v>
      </c>
    </row>
    <row r="333" spans="1:29"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7" t="str">
        <f ca="1">IF(OFFSET('4. Work'!$A$1,ROW(D333)-1,COLUMN(D333)-1)="","",OFFSET('4. Work'!$A$1,ROW(D333)-1,COLUMN(D333)-1))</f>
        <v/>
      </c>
      <c r="E333" s="147"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I333" s="3" t="str">
        <f ca="1">IF(OFFSET('4. Work'!$A$1,ROW(I333)-1,COLUMN(I333)-1)="","",OFFSET('4. Work'!$A$1,ROW(I333)-1,COLUMN(I333)-1))</f>
        <v/>
      </c>
      <c r="T333" s="3" t="str">
        <f ca="1">IF(A333&lt;&gt;"",MAX('Initiative Indirect'!$T:$T)+(ROW(A333)-1),"")</f>
        <v/>
      </c>
      <c r="U333" s="3" t="str">
        <f ca="1">IF(B333&lt;&gt;"",INDEX('Initiative Indirect'!$T:$T,MATCH(B333,'Initiative Indirect'!$A:$A,0)),"")</f>
        <v/>
      </c>
      <c r="V333" s="3" t="str">
        <f ca="1">IF(C333&lt;&gt;"",INDEX('Team Indirect'!$T:$T,MATCH(C333,'Team Indirect'!$A:$A,0)),"")</f>
        <v/>
      </c>
      <c r="W333" s="3"/>
      <c r="X333" s="3"/>
      <c r="Y333" s="3" t="str">
        <f ca="1">IF($C333&lt;&gt;"",INDEX('Team Indirect'!$D:$D,MATCH($C333,'Team Indirect'!$A:$A,0)),"")</f>
        <v/>
      </c>
      <c r="Z333" s="3" t="str">
        <f ca="1">IF($C333&lt;&gt;"",INDEX('Team Indirect'!$E:$E,MATCH($C333,'Team Indirect'!$A:$A,0)),"")</f>
        <v/>
      </c>
      <c r="AA333" s="3" t="str">
        <f ca="1">IF($C333&lt;&gt;"",INDEX('Team Indirect'!$F:$F,MATCH($C333,'Team Indirect'!$A:$A,0)),"")</f>
        <v/>
      </c>
      <c r="AB333" s="3" t="str">
        <f t="shared" ca="1" si="5"/>
        <v/>
      </c>
      <c r="AC333" s="3">
        <f ca="1">IF(OR(AllocationUnits="Stories", AllocationUnits="Points"),'Work Indirect'!F333,F333/MAX('Work Indirect'!AB333,1))</f>
        <v>1</v>
      </c>
    </row>
    <row r="334" spans="1:29"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7" t="str">
        <f ca="1">IF(OFFSET('4. Work'!$A$1,ROW(D334)-1,COLUMN(D334)-1)="","",OFFSET('4. Work'!$A$1,ROW(D334)-1,COLUMN(D334)-1))</f>
        <v/>
      </c>
      <c r="E334" s="147"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I334" s="3" t="str">
        <f ca="1">IF(OFFSET('4. Work'!$A$1,ROW(I334)-1,COLUMN(I334)-1)="","",OFFSET('4. Work'!$A$1,ROW(I334)-1,COLUMN(I334)-1))</f>
        <v/>
      </c>
      <c r="T334" s="3" t="str">
        <f ca="1">IF(A334&lt;&gt;"",MAX('Initiative Indirect'!$T:$T)+(ROW(A334)-1),"")</f>
        <v/>
      </c>
      <c r="U334" s="3" t="str">
        <f ca="1">IF(B334&lt;&gt;"",INDEX('Initiative Indirect'!$T:$T,MATCH(B334,'Initiative Indirect'!$A:$A,0)),"")</f>
        <v/>
      </c>
      <c r="V334" s="3" t="str">
        <f ca="1">IF(C334&lt;&gt;"",INDEX('Team Indirect'!$T:$T,MATCH(C334,'Team Indirect'!$A:$A,0)),"")</f>
        <v/>
      </c>
      <c r="W334" s="3"/>
      <c r="X334" s="3"/>
      <c r="Y334" s="3" t="str">
        <f ca="1">IF($C334&lt;&gt;"",INDEX('Team Indirect'!$D:$D,MATCH($C334,'Team Indirect'!$A:$A,0)),"")</f>
        <v/>
      </c>
      <c r="Z334" s="3" t="str">
        <f ca="1">IF($C334&lt;&gt;"",INDEX('Team Indirect'!$E:$E,MATCH($C334,'Team Indirect'!$A:$A,0)),"")</f>
        <v/>
      </c>
      <c r="AA334" s="3" t="str">
        <f ca="1">IF($C334&lt;&gt;"",INDEX('Team Indirect'!$F:$F,MATCH($C334,'Team Indirect'!$A:$A,0)),"")</f>
        <v/>
      </c>
      <c r="AB334" s="3" t="str">
        <f t="shared" ca="1" si="5"/>
        <v/>
      </c>
      <c r="AC334" s="3">
        <f ca="1">IF(OR(AllocationUnits="Stories", AllocationUnits="Points"),'Work Indirect'!F334,F334/MAX('Work Indirect'!AB334,1))</f>
        <v>1</v>
      </c>
    </row>
    <row r="335" spans="1:29"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7" t="str">
        <f ca="1">IF(OFFSET('4. Work'!$A$1,ROW(D335)-1,COLUMN(D335)-1)="","",OFFSET('4. Work'!$A$1,ROW(D335)-1,COLUMN(D335)-1))</f>
        <v/>
      </c>
      <c r="E335" s="147"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I335" s="3" t="str">
        <f ca="1">IF(OFFSET('4. Work'!$A$1,ROW(I335)-1,COLUMN(I335)-1)="","",OFFSET('4. Work'!$A$1,ROW(I335)-1,COLUMN(I335)-1))</f>
        <v/>
      </c>
      <c r="T335" s="3" t="str">
        <f ca="1">IF(A335&lt;&gt;"",MAX('Initiative Indirect'!$T:$T)+(ROW(A335)-1),"")</f>
        <v/>
      </c>
      <c r="U335" s="3" t="str">
        <f ca="1">IF(B335&lt;&gt;"",INDEX('Initiative Indirect'!$T:$T,MATCH(B335,'Initiative Indirect'!$A:$A,0)),"")</f>
        <v/>
      </c>
      <c r="V335" s="3" t="str">
        <f ca="1">IF(C335&lt;&gt;"",INDEX('Team Indirect'!$T:$T,MATCH(C335,'Team Indirect'!$A:$A,0)),"")</f>
        <v/>
      </c>
      <c r="W335" s="3"/>
      <c r="X335" s="3"/>
      <c r="Y335" s="3" t="str">
        <f ca="1">IF($C335&lt;&gt;"",INDEX('Team Indirect'!$D:$D,MATCH($C335,'Team Indirect'!$A:$A,0)),"")</f>
        <v/>
      </c>
      <c r="Z335" s="3" t="str">
        <f ca="1">IF($C335&lt;&gt;"",INDEX('Team Indirect'!$E:$E,MATCH($C335,'Team Indirect'!$A:$A,0)),"")</f>
        <v/>
      </c>
      <c r="AA335" s="3" t="str">
        <f ca="1">IF($C335&lt;&gt;"",INDEX('Team Indirect'!$F:$F,MATCH($C335,'Team Indirect'!$A:$A,0)),"")</f>
        <v/>
      </c>
      <c r="AB335" s="3" t="str">
        <f t="shared" ca="1" si="5"/>
        <v/>
      </c>
      <c r="AC335" s="3">
        <f ca="1">IF(OR(AllocationUnits="Stories", AllocationUnits="Points"),'Work Indirect'!F335,F335/MAX('Work Indirect'!AB335,1))</f>
        <v>1</v>
      </c>
    </row>
    <row r="336" spans="1:29"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7" t="str">
        <f ca="1">IF(OFFSET('4. Work'!$A$1,ROW(D336)-1,COLUMN(D336)-1)="","",OFFSET('4. Work'!$A$1,ROW(D336)-1,COLUMN(D336)-1))</f>
        <v/>
      </c>
      <c r="E336" s="147"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I336" s="3" t="str">
        <f ca="1">IF(OFFSET('4. Work'!$A$1,ROW(I336)-1,COLUMN(I336)-1)="","",OFFSET('4. Work'!$A$1,ROW(I336)-1,COLUMN(I336)-1))</f>
        <v/>
      </c>
      <c r="T336" s="3" t="str">
        <f ca="1">IF(A336&lt;&gt;"",MAX('Initiative Indirect'!$T:$T)+(ROW(A336)-1),"")</f>
        <v/>
      </c>
      <c r="U336" s="3" t="str">
        <f ca="1">IF(B336&lt;&gt;"",INDEX('Initiative Indirect'!$T:$T,MATCH(B336,'Initiative Indirect'!$A:$A,0)),"")</f>
        <v/>
      </c>
      <c r="V336" s="3" t="str">
        <f ca="1">IF(C336&lt;&gt;"",INDEX('Team Indirect'!$T:$T,MATCH(C336,'Team Indirect'!$A:$A,0)),"")</f>
        <v/>
      </c>
      <c r="W336" s="3"/>
      <c r="X336" s="3"/>
      <c r="Y336" s="3" t="str">
        <f ca="1">IF($C336&lt;&gt;"",INDEX('Team Indirect'!$D:$D,MATCH($C336,'Team Indirect'!$A:$A,0)),"")</f>
        <v/>
      </c>
      <c r="Z336" s="3" t="str">
        <f ca="1">IF($C336&lt;&gt;"",INDEX('Team Indirect'!$E:$E,MATCH($C336,'Team Indirect'!$A:$A,0)),"")</f>
        <v/>
      </c>
      <c r="AA336" s="3" t="str">
        <f ca="1">IF($C336&lt;&gt;"",INDEX('Team Indirect'!$F:$F,MATCH($C336,'Team Indirect'!$A:$A,0)),"")</f>
        <v/>
      </c>
      <c r="AB336" s="3" t="str">
        <f t="shared" ca="1" si="5"/>
        <v/>
      </c>
      <c r="AC336" s="3">
        <f ca="1">IF(OR(AllocationUnits="Stories", AllocationUnits="Points"),'Work Indirect'!F336,F336/MAX('Work Indirect'!AB336,1))</f>
        <v>1</v>
      </c>
    </row>
    <row r="337" spans="1:29"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7" t="str">
        <f ca="1">IF(OFFSET('4. Work'!$A$1,ROW(D337)-1,COLUMN(D337)-1)="","",OFFSET('4. Work'!$A$1,ROW(D337)-1,COLUMN(D337)-1))</f>
        <v/>
      </c>
      <c r="E337" s="147"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I337" s="3" t="str">
        <f ca="1">IF(OFFSET('4. Work'!$A$1,ROW(I337)-1,COLUMN(I337)-1)="","",OFFSET('4. Work'!$A$1,ROW(I337)-1,COLUMN(I337)-1))</f>
        <v/>
      </c>
      <c r="T337" s="3" t="str">
        <f ca="1">IF(A337&lt;&gt;"",MAX('Initiative Indirect'!$T:$T)+(ROW(A337)-1),"")</f>
        <v/>
      </c>
      <c r="U337" s="3" t="str">
        <f ca="1">IF(B337&lt;&gt;"",INDEX('Initiative Indirect'!$T:$T,MATCH(B337,'Initiative Indirect'!$A:$A,0)),"")</f>
        <v/>
      </c>
      <c r="V337" s="3" t="str">
        <f ca="1">IF(C337&lt;&gt;"",INDEX('Team Indirect'!$T:$T,MATCH(C337,'Team Indirect'!$A:$A,0)),"")</f>
        <v/>
      </c>
      <c r="W337" s="3"/>
      <c r="X337" s="3"/>
      <c r="Y337" s="3" t="str">
        <f ca="1">IF($C337&lt;&gt;"",INDEX('Team Indirect'!$D:$D,MATCH($C337,'Team Indirect'!$A:$A,0)),"")</f>
        <v/>
      </c>
      <c r="Z337" s="3" t="str">
        <f ca="1">IF($C337&lt;&gt;"",INDEX('Team Indirect'!$E:$E,MATCH($C337,'Team Indirect'!$A:$A,0)),"")</f>
        <v/>
      </c>
      <c r="AA337" s="3" t="str">
        <f ca="1">IF($C337&lt;&gt;"",INDEX('Team Indirect'!$F:$F,MATCH($C337,'Team Indirect'!$A:$A,0)),"")</f>
        <v/>
      </c>
      <c r="AB337" s="3" t="str">
        <f t="shared" ca="1" si="5"/>
        <v/>
      </c>
      <c r="AC337" s="3">
        <f ca="1">IF(OR(AllocationUnits="Stories", AllocationUnits="Points"),'Work Indirect'!F337,F337/MAX('Work Indirect'!AB337,1))</f>
        <v>1</v>
      </c>
    </row>
    <row r="338" spans="1:29"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7" t="str">
        <f ca="1">IF(OFFSET('4. Work'!$A$1,ROW(D338)-1,COLUMN(D338)-1)="","",OFFSET('4. Work'!$A$1,ROW(D338)-1,COLUMN(D338)-1))</f>
        <v/>
      </c>
      <c r="E338" s="147"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I338" s="3" t="str">
        <f ca="1">IF(OFFSET('4. Work'!$A$1,ROW(I338)-1,COLUMN(I338)-1)="","",OFFSET('4. Work'!$A$1,ROW(I338)-1,COLUMN(I338)-1))</f>
        <v/>
      </c>
      <c r="T338" s="3" t="str">
        <f ca="1">IF(A338&lt;&gt;"",MAX('Initiative Indirect'!$T:$T)+(ROW(A338)-1),"")</f>
        <v/>
      </c>
      <c r="U338" s="3" t="str">
        <f ca="1">IF(B338&lt;&gt;"",INDEX('Initiative Indirect'!$T:$T,MATCH(B338,'Initiative Indirect'!$A:$A,0)),"")</f>
        <v/>
      </c>
      <c r="V338" s="3" t="str">
        <f ca="1">IF(C338&lt;&gt;"",INDEX('Team Indirect'!$T:$T,MATCH(C338,'Team Indirect'!$A:$A,0)),"")</f>
        <v/>
      </c>
      <c r="W338" s="3"/>
      <c r="X338" s="3"/>
      <c r="Y338" s="3" t="str">
        <f ca="1">IF($C338&lt;&gt;"",INDEX('Team Indirect'!$D:$D,MATCH($C338,'Team Indirect'!$A:$A,0)),"")</f>
        <v/>
      </c>
      <c r="Z338" s="3" t="str">
        <f ca="1">IF($C338&lt;&gt;"",INDEX('Team Indirect'!$E:$E,MATCH($C338,'Team Indirect'!$A:$A,0)),"")</f>
        <v/>
      </c>
      <c r="AA338" s="3" t="str">
        <f ca="1">IF($C338&lt;&gt;"",INDEX('Team Indirect'!$F:$F,MATCH($C338,'Team Indirect'!$A:$A,0)),"")</f>
        <v/>
      </c>
      <c r="AB338" s="3" t="str">
        <f t="shared" ca="1" si="5"/>
        <v/>
      </c>
      <c r="AC338" s="3">
        <f ca="1">IF(OR(AllocationUnits="Stories", AllocationUnits="Points"),'Work Indirect'!F338,F338/MAX('Work Indirect'!AB338,1))</f>
        <v>1</v>
      </c>
    </row>
    <row r="339" spans="1:29"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7" t="str">
        <f ca="1">IF(OFFSET('4. Work'!$A$1,ROW(D339)-1,COLUMN(D339)-1)="","",OFFSET('4. Work'!$A$1,ROW(D339)-1,COLUMN(D339)-1))</f>
        <v/>
      </c>
      <c r="E339" s="147"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I339" s="3" t="str">
        <f ca="1">IF(OFFSET('4. Work'!$A$1,ROW(I339)-1,COLUMN(I339)-1)="","",OFFSET('4. Work'!$A$1,ROW(I339)-1,COLUMN(I339)-1))</f>
        <v/>
      </c>
      <c r="T339" s="3" t="str">
        <f ca="1">IF(A339&lt;&gt;"",MAX('Initiative Indirect'!$T:$T)+(ROW(A339)-1),"")</f>
        <v/>
      </c>
      <c r="U339" s="3" t="str">
        <f ca="1">IF(B339&lt;&gt;"",INDEX('Initiative Indirect'!$T:$T,MATCH(B339,'Initiative Indirect'!$A:$A,0)),"")</f>
        <v/>
      </c>
      <c r="V339" s="3" t="str">
        <f ca="1">IF(C339&lt;&gt;"",INDEX('Team Indirect'!$T:$T,MATCH(C339,'Team Indirect'!$A:$A,0)),"")</f>
        <v/>
      </c>
      <c r="W339" s="3"/>
      <c r="X339" s="3"/>
      <c r="Y339" s="3" t="str">
        <f ca="1">IF($C339&lt;&gt;"",INDEX('Team Indirect'!$D:$D,MATCH($C339,'Team Indirect'!$A:$A,0)),"")</f>
        <v/>
      </c>
      <c r="Z339" s="3" t="str">
        <f ca="1">IF($C339&lt;&gt;"",INDEX('Team Indirect'!$E:$E,MATCH($C339,'Team Indirect'!$A:$A,0)),"")</f>
        <v/>
      </c>
      <c r="AA339" s="3" t="str">
        <f ca="1">IF($C339&lt;&gt;"",INDEX('Team Indirect'!$F:$F,MATCH($C339,'Team Indirect'!$A:$A,0)),"")</f>
        <v/>
      </c>
      <c r="AB339" s="3" t="str">
        <f t="shared" ca="1" si="5"/>
        <v/>
      </c>
      <c r="AC339" s="3">
        <f ca="1">IF(OR(AllocationUnits="Stories", AllocationUnits="Points"),'Work Indirect'!F339,F339/MAX('Work Indirect'!AB339,1))</f>
        <v>1</v>
      </c>
    </row>
    <row r="340" spans="1:29"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7" t="str">
        <f ca="1">IF(OFFSET('4. Work'!$A$1,ROW(D340)-1,COLUMN(D340)-1)="","",OFFSET('4. Work'!$A$1,ROW(D340)-1,COLUMN(D340)-1))</f>
        <v/>
      </c>
      <c r="E340" s="147"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I340" s="3" t="str">
        <f ca="1">IF(OFFSET('4. Work'!$A$1,ROW(I340)-1,COLUMN(I340)-1)="","",OFFSET('4. Work'!$A$1,ROW(I340)-1,COLUMN(I340)-1))</f>
        <v/>
      </c>
      <c r="T340" s="3" t="str">
        <f ca="1">IF(A340&lt;&gt;"",MAX('Initiative Indirect'!$T:$T)+(ROW(A340)-1),"")</f>
        <v/>
      </c>
      <c r="U340" s="3" t="str">
        <f ca="1">IF(B340&lt;&gt;"",INDEX('Initiative Indirect'!$T:$T,MATCH(B340,'Initiative Indirect'!$A:$A,0)),"")</f>
        <v/>
      </c>
      <c r="V340" s="3" t="str">
        <f ca="1">IF(C340&lt;&gt;"",INDEX('Team Indirect'!$T:$T,MATCH(C340,'Team Indirect'!$A:$A,0)),"")</f>
        <v/>
      </c>
      <c r="W340" s="3"/>
      <c r="X340" s="3"/>
      <c r="Y340" s="3" t="str">
        <f ca="1">IF($C340&lt;&gt;"",INDEX('Team Indirect'!$D:$D,MATCH($C340,'Team Indirect'!$A:$A,0)),"")</f>
        <v/>
      </c>
      <c r="Z340" s="3" t="str">
        <f ca="1">IF($C340&lt;&gt;"",INDEX('Team Indirect'!$E:$E,MATCH($C340,'Team Indirect'!$A:$A,0)),"")</f>
        <v/>
      </c>
      <c r="AA340" s="3" t="str">
        <f ca="1">IF($C340&lt;&gt;"",INDEX('Team Indirect'!$F:$F,MATCH($C340,'Team Indirect'!$A:$A,0)),"")</f>
        <v/>
      </c>
      <c r="AB340" s="3" t="str">
        <f t="shared" ca="1" si="5"/>
        <v/>
      </c>
      <c r="AC340" s="3">
        <f ca="1">IF(OR(AllocationUnits="Stories", AllocationUnits="Points"),'Work Indirect'!F340,F340/MAX('Work Indirect'!AB340,1))</f>
        <v>1</v>
      </c>
    </row>
    <row r="341" spans="1:29"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7" t="str">
        <f ca="1">IF(OFFSET('4. Work'!$A$1,ROW(D341)-1,COLUMN(D341)-1)="","",OFFSET('4. Work'!$A$1,ROW(D341)-1,COLUMN(D341)-1))</f>
        <v/>
      </c>
      <c r="E341" s="147"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I341" s="3" t="str">
        <f ca="1">IF(OFFSET('4. Work'!$A$1,ROW(I341)-1,COLUMN(I341)-1)="","",OFFSET('4. Work'!$A$1,ROW(I341)-1,COLUMN(I341)-1))</f>
        <v/>
      </c>
      <c r="T341" s="3" t="str">
        <f ca="1">IF(A341&lt;&gt;"",MAX('Initiative Indirect'!$T:$T)+(ROW(A341)-1),"")</f>
        <v/>
      </c>
      <c r="U341" s="3" t="str">
        <f ca="1">IF(B341&lt;&gt;"",INDEX('Initiative Indirect'!$T:$T,MATCH(B341,'Initiative Indirect'!$A:$A,0)),"")</f>
        <v/>
      </c>
      <c r="V341" s="3" t="str">
        <f ca="1">IF(C341&lt;&gt;"",INDEX('Team Indirect'!$T:$T,MATCH(C341,'Team Indirect'!$A:$A,0)),"")</f>
        <v/>
      </c>
      <c r="W341" s="3"/>
      <c r="X341" s="3"/>
      <c r="Y341" s="3" t="str">
        <f ca="1">IF($C341&lt;&gt;"",INDEX('Team Indirect'!$D:$D,MATCH($C341,'Team Indirect'!$A:$A,0)),"")</f>
        <v/>
      </c>
      <c r="Z341" s="3" t="str">
        <f ca="1">IF($C341&lt;&gt;"",INDEX('Team Indirect'!$E:$E,MATCH($C341,'Team Indirect'!$A:$A,0)),"")</f>
        <v/>
      </c>
      <c r="AA341" s="3" t="str">
        <f ca="1">IF($C341&lt;&gt;"",INDEX('Team Indirect'!$F:$F,MATCH($C341,'Team Indirect'!$A:$A,0)),"")</f>
        <v/>
      </c>
      <c r="AB341" s="3" t="str">
        <f t="shared" ca="1" si="5"/>
        <v/>
      </c>
      <c r="AC341" s="3">
        <f ca="1">IF(OR(AllocationUnits="Stories", AllocationUnits="Points"),'Work Indirect'!F341,F341/MAX('Work Indirect'!AB341,1))</f>
        <v>1</v>
      </c>
    </row>
    <row r="342" spans="1:29"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7" t="str">
        <f ca="1">IF(OFFSET('4. Work'!$A$1,ROW(D342)-1,COLUMN(D342)-1)="","",OFFSET('4. Work'!$A$1,ROW(D342)-1,COLUMN(D342)-1))</f>
        <v/>
      </c>
      <c r="E342" s="147"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I342" s="3" t="str">
        <f ca="1">IF(OFFSET('4. Work'!$A$1,ROW(I342)-1,COLUMN(I342)-1)="","",OFFSET('4. Work'!$A$1,ROW(I342)-1,COLUMN(I342)-1))</f>
        <v/>
      </c>
      <c r="T342" s="3" t="str">
        <f ca="1">IF(A342&lt;&gt;"",MAX('Initiative Indirect'!$T:$T)+(ROW(A342)-1),"")</f>
        <v/>
      </c>
      <c r="U342" s="3" t="str">
        <f ca="1">IF(B342&lt;&gt;"",INDEX('Initiative Indirect'!$T:$T,MATCH(B342,'Initiative Indirect'!$A:$A,0)),"")</f>
        <v/>
      </c>
      <c r="V342" s="3" t="str">
        <f ca="1">IF(C342&lt;&gt;"",INDEX('Team Indirect'!$T:$T,MATCH(C342,'Team Indirect'!$A:$A,0)),"")</f>
        <v/>
      </c>
      <c r="W342" s="3"/>
      <c r="X342" s="3"/>
      <c r="Y342" s="3" t="str">
        <f ca="1">IF($C342&lt;&gt;"",INDEX('Team Indirect'!$D:$D,MATCH($C342,'Team Indirect'!$A:$A,0)),"")</f>
        <v/>
      </c>
      <c r="Z342" s="3" t="str">
        <f ca="1">IF($C342&lt;&gt;"",INDEX('Team Indirect'!$E:$E,MATCH($C342,'Team Indirect'!$A:$A,0)),"")</f>
        <v/>
      </c>
      <c r="AA342" s="3" t="str">
        <f ca="1">IF($C342&lt;&gt;"",INDEX('Team Indirect'!$F:$F,MATCH($C342,'Team Indirect'!$A:$A,0)),"")</f>
        <v/>
      </c>
      <c r="AB342" s="3" t="str">
        <f t="shared" ca="1" si="5"/>
        <v/>
      </c>
      <c r="AC342" s="3">
        <f ca="1">IF(OR(AllocationUnits="Stories", AllocationUnits="Points"),'Work Indirect'!F342,F342/MAX('Work Indirect'!AB342,1))</f>
        <v>1</v>
      </c>
    </row>
    <row r="343" spans="1:29"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7" t="str">
        <f ca="1">IF(OFFSET('4. Work'!$A$1,ROW(D343)-1,COLUMN(D343)-1)="","",OFFSET('4. Work'!$A$1,ROW(D343)-1,COLUMN(D343)-1))</f>
        <v/>
      </c>
      <c r="E343" s="147"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I343" s="3" t="str">
        <f ca="1">IF(OFFSET('4. Work'!$A$1,ROW(I343)-1,COLUMN(I343)-1)="","",OFFSET('4. Work'!$A$1,ROW(I343)-1,COLUMN(I343)-1))</f>
        <v/>
      </c>
      <c r="T343" s="3" t="str">
        <f ca="1">IF(A343&lt;&gt;"",MAX('Initiative Indirect'!$T:$T)+(ROW(A343)-1),"")</f>
        <v/>
      </c>
      <c r="U343" s="3" t="str">
        <f ca="1">IF(B343&lt;&gt;"",INDEX('Initiative Indirect'!$T:$T,MATCH(B343,'Initiative Indirect'!$A:$A,0)),"")</f>
        <v/>
      </c>
      <c r="V343" s="3" t="str">
        <f ca="1">IF(C343&lt;&gt;"",INDEX('Team Indirect'!$T:$T,MATCH(C343,'Team Indirect'!$A:$A,0)),"")</f>
        <v/>
      </c>
      <c r="W343" s="3"/>
      <c r="X343" s="3"/>
      <c r="Y343" s="3" t="str">
        <f ca="1">IF($C343&lt;&gt;"",INDEX('Team Indirect'!$D:$D,MATCH($C343,'Team Indirect'!$A:$A,0)),"")</f>
        <v/>
      </c>
      <c r="Z343" s="3" t="str">
        <f ca="1">IF($C343&lt;&gt;"",INDEX('Team Indirect'!$E:$E,MATCH($C343,'Team Indirect'!$A:$A,0)),"")</f>
        <v/>
      </c>
      <c r="AA343" s="3" t="str">
        <f ca="1">IF($C343&lt;&gt;"",INDEX('Team Indirect'!$F:$F,MATCH($C343,'Team Indirect'!$A:$A,0)),"")</f>
        <v/>
      </c>
      <c r="AB343" s="3" t="str">
        <f t="shared" ca="1" si="5"/>
        <v/>
      </c>
      <c r="AC343" s="3">
        <f ca="1">IF(OR(AllocationUnits="Stories", AllocationUnits="Points"),'Work Indirect'!F343,F343/MAX('Work Indirect'!AB343,1))</f>
        <v>1</v>
      </c>
    </row>
    <row r="344" spans="1:29"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7" t="str">
        <f ca="1">IF(OFFSET('4. Work'!$A$1,ROW(D344)-1,COLUMN(D344)-1)="","",OFFSET('4. Work'!$A$1,ROW(D344)-1,COLUMN(D344)-1))</f>
        <v/>
      </c>
      <c r="E344" s="147"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I344" s="3" t="str">
        <f ca="1">IF(OFFSET('4. Work'!$A$1,ROW(I344)-1,COLUMN(I344)-1)="","",OFFSET('4. Work'!$A$1,ROW(I344)-1,COLUMN(I344)-1))</f>
        <v/>
      </c>
      <c r="T344" s="3" t="str">
        <f ca="1">IF(A344&lt;&gt;"",MAX('Initiative Indirect'!$T:$T)+(ROW(A344)-1),"")</f>
        <v/>
      </c>
      <c r="U344" s="3" t="str">
        <f ca="1">IF(B344&lt;&gt;"",INDEX('Initiative Indirect'!$T:$T,MATCH(B344,'Initiative Indirect'!$A:$A,0)),"")</f>
        <v/>
      </c>
      <c r="V344" s="3" t="str">
        <f ca="1">IF(C344&lt;&gt;"",INDEX('Team Indirect'!$T:$T,MATCH(C344,'Team Indirect'!$A:$A,0)),"")</f>
        <v/>
      </c>
      <c r="W344" s="3"/>
      <c r="X344" s="3"/>
      <c r="Y344" s="3" t="str">
        <f ca="1">IF($C344&lt;&gt;"",INDEX('Team Indirect'!$D:$D,MATCH($C344,'Team Indirect'!$A:$A,0)),"")</f>
        <v/>
      </c>
      <c r="Z344" s="3" t="str">
        <f ca="1">IF($C344&lt;&gt;"",INDEX('Team Indirect'!$E:$E,MATCH($C344,'Team Indirect'!$A:$A,0)),"")</f>
        <v/>
      </c>
      <c r="AA344" s="3" t="str">
        <f ca="1">IF($C344&lt;&gt;"",INDEX('Team Indirect'!$F:$F,MATCH($C344,'Team Indirect'!$A:$A,0)),"")</f>
        <v/>
      </c>
      <c r="AB344" s="3" t="str">
        <f t="shared" ca="1" si="5"/>
        <v/>
      </c>
      <c r="AC344" s="3">
        <f ca="1">IF(OR(AllocationUnits="Stories", AllocationUnits="Points"),'Work Indirect'!F344,F344/MAX('Work Indirect'!AB344,1))</f>
        <v>1</v>
      </c>
    </row>
    <row r="345" spans="1:29"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7" t="str">
        <f ca="1">IF(OFFSET('4. Work'!$A$1,ROW(D345)-1,COLUMN(D345)-1)="","",OFFSET('4. Work'!$A$1,ROW(D345)-1,COLUMN(D345)-1))</f>
        <v/>
      </c>
      <c r="E345" s="147"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I345" s="3" t="str">
        <f ca="1">IF(OFFSET('4. Work'!$A$1,ROW(I345)-1,COLUMN(I345)-1)="","",OFFSET('4. Work'!$A$1,ROW(I345)-1,COLUMN(I345)-1))</f>
        <v/>
      </c>
      <c r="T345" s="3" t="str">
        <f ca="1">IF(A345&lt;&gt;"",MAX('Initiative Indirect'!$T:$T)+(ROW(A345)-1),"")</f>
        <v/>
      </c>
      <c r="U345" s="3" t="str">
        <f ca="1">IF(B345&lt;&gt;"",INDEX('Initiative Indirect'!$T:$T,MATCH(B345,'Initiative Indirect'!$A:$A,0)),"")</f>
        <v/>
      </c>
      <c r="V345" s="3" t="str">
        <f ca="1">IF(C345&lt;&gt;"",INDEX('Team Indirect'!$T:$T,MATCH(C345,'Team Indirect'!$A:$A,0)),"")</f>
        <v/>
      </c>
      <c r="W345" s="3"/>
      <c r="X345" s="3"/>
      <c r="Y345" s="3" t="str">
        <f ca="1">IF($C345&lt;&gt;"",INDEX('Team Indirect'!$D:$D,MATCH($C345,'Team Indirect'!$A:$A,0)),"")</f>
        <v/>
      </c>
      <c r="Z345" s="3" t="str">
        <f ca="1">IF($C345&lt;&gt;"",INDEX('Team Indirect'!$E:$E,MATCH($C345,'Team Indirect'!$A:$A,0)),"")</f>
        <v/>
      </c>
      <c r="AA345" s="3" t="str">
        <f ca="1">IF($C345&lt;&gt;"",INDEX('Team Indirect'!$F:$F,MATCH($C345,'Team Indirect'!$A:$A,0)),"")</f>
        <v/>
      </c>
      <c r="AB345" s="3" t="str">
        <f t="shared" ca="1" si="5"/>
        <v/>
      </c>
      <c r="AC345" s="3">
        <f ca="1">IF(OR(AllocationUnits="Stories", AllocationUnits="Points"),'Work Indirect'!F345,F345/MAX('Work Indirect'!AB345,1))</f>
        <v>1</v>
      </c>
    </row>
    <row r="346" spans="1:29"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7" t="str">
        <f ca="1">IF(OFFSET('4. Work'!$A$1,ROW(D346)-1,COLUMN(D346)-1)="","",OFFSET('4. Work'!$A$1,ROW(D346)-1,COLUMN(D346)-1))</f>
        <v/>
      </c>
      <c r="E346" s="147"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I346" s="3" t="str">
        <f ca="1">IF(OFFSET('4. Work'!$A$1,ROW(I346)-1,COLUMN(I346)-1)="","",OFFSET('4. Work'!$A$1,ROW(I346)-1,COLUMN(I346)-1))</f>
        <v/>
      </c>
      <c r="T346" s="3" t="str">
        <f ca="1">IF(A346&lt;&gt;"",MAX('Initiative Indirect'!$T:$T)+(ROW(A346)-1),"")</f>
        <v/>
      </c>
      <c r="U346" s="3" t="str">
        <f ca="1">IF(B346&lt;&gt;"",INDEX('Initiative Indirect'!$T:$T,MATCH(B346,'Initiative Indirect'!$A:$A,0)),"")</f>
        <v/>
      </c>
      <c r="V346" s="3" t="str">
        <f ca="1">IF(C346&lt;&gt;"",INDEX('Team Indirect'!$T:$T,MATCH(C346,'Team Indirect'!$A:$A,0)),"")</f>
        <v/>
      </c>
      <c r="W346" s="3"/>
      <c r="X346" s="3"/>
      <c r="Y346" s="3" t="str">
        <f ca="1">IF($C346&lt;&gt;"",INDEX('Team Indirect'!$D:$D,MATCH($C346,'Team Indirect'!$A:$A,0)),"")</f>
        <v/>
      </c>
      <c r="Z346" s="3" t="str">
        <f ca="1">IF($C346&lt;&gt;"",INDEX('Team Indirect'!$E:$E,MATCH($C346,'Team Indirect'!$A:$A,0)),"")</f>
        <v/>
      </c>
      <c r="AA346" s="3" t="str">
        <f ca="1">IF($C346&lt;&gt;"",INDEX('Team Indirect'!$F:$F,MATCH($C346,'Team Indirect'!$A:$A,0)),"")</f>
        <v/>
      </c>
      <c r="AB346" s="3" t="str">
        <f t="shared" ca="1" si="5"/>
        <v/>
      </c>
      <c r="AC346" s="3">
        <f ca="1">IF(OR(AllocationUnits="Stories", AllocationUnits="Points"),'Work Indirect'!F346,F346/MAX('Work Indirect'!AB346,1))</f>
        <v>1</v>
      </c>
    </row>
    <row r="347" spans="1:29"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7" t="str">
        <f ca="1">IF(OFFSET('4. Work'!$A$1,ROW(D347)-1,COLUMN(D347)-1)="","",OFFSET('4. Work'!$A$1,ROW(D347)-1,COLUMN(D347)-1))</f>
        <v/>
      </c>
      <c r="E347" s="147"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I347" s="3" t="str">
        <f ca="1">IF(OFFSET('4. Work'!$A$1,ROW(I347)-1,COLUMN(I347)-1)="","",OFFSET('4. Work'!$A$1,ROW(I347)-1,COLUMN(I347)-1))</f>
        <v/>
      </c>
      <c r="T347" s="3" t="str">
        <f ca="1">IF(A347&lt;&gt;"",MAX('Initiative Indirect'!$T:$T)+(ROW(A347)-1),"")</f>
        <v/>
      </c>
      <c r="U347" s="3" t="str">
        <f ca="1">IF(B347&lt;&gt;"",INDEX('Initiative Indirect'!$T:$T,MATCH(B347,'Initiative Indirect'!$A:$A,0)),"")</f>
        <v/>
      </c>
      <c r="V347" s="3" t="str">
        <f ca="1">IF(C347&lt;&gt;"",INDEX('Team Indirect'!$T:$T,MATCH(C347,'Team Indirect'!$A:$A,0)),"")</f>
        <v/>
      </c>
      <c r="W347" s="3"/>
      <c r="X347" s="3"/>
      <c r="Y347" s="3" t="str">
        <f ca="1">IF($C347&lt;&gt;"",INDEX('Team Indirect'!$D:$D,MATCH($C347,'Team Indirect'!$A:$A,0)),"")</f>
        <v/>
      </c>
      <c r="Z347" s="3" t="str">
        <f ca="1">IF($C347&lt;&gt;"",INDEX('Team Indirect'!$E:$E,MATCH($C347,'Team Indirect'!$A:$A,0)),"")</f>
        <v/>
      </c>
      <c r="AA347" s="3" t="str">
        <f ca="1">IF($C347&lt;&gt;"",INDEX('Team Indirect'!$F:$F,MATCH($C347,'Team Indirect'!$A:$A,0)),"")</f>
        <v/>
      </c>
      <c r="AB347" s="3" t="str">
        <f t="shared" ca="1" si="5"/>
        <v/>
      </c>
      <c r="AC347" s="3">
        <f ca="1">IF(OR(AllocationUnits="Stories", AllocationUnits="Points"),'Work Indirect'!F347,F347/MAX('Work Indirect'!AB347,1))</f>
        <v>1</v>
      </c>
    </row>
    <row r="348" spans="1:29"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7" t="str">
        <f ca="1">IF(OFFSET('4. Work'!$A$1,ROW(D348)-1,COLUMN(D348)-1)="","",OFFSET('4. Work'!$A$1,ROW(D348)-1,COLUMN(D348)-1))</f>
        <v/>
      </c>
      <c r="E348" s="147"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I348" s="3" t="str">
        <f ca="1">IF(OFFSET('4. Work'!$A$1,ROW(I348)-1,COLUMN(I348)-1)="","",OFFSET('4. Work'!$A$1,ROW(I348)-1,COLUMN(I348)-1))</f>
        <v/>
      </c>
      <c r="T348" s="3" t="str">
        <f ca="1">IF(A348&lt;&gt;"",MAX('Initiative Indirect'!$T:$T)+(ROW(A348)-1),"")</f>
        <v/>
      </c>
      <c r="U348" s="3" t="str">
        <f ca="1">IF(B348&lt;&gt;"",INDEX('Initiative Indirect'!$T:$T,MATCH(B348,'Initiative Indirect'!$A:$A,0)),"")</f>
        <v/>
      </c>
      <c r="V348" s="3" t="str">
        <f ca="1">IF(C348&lt;&gt;"",INDEX('Team Indirect'!$T:$T,MATCH(C348,'Team Indirect'!$A:$A,0)),"")</f>
        <v/>
      </c>
      <c r="W348" s="3"/>
      <c r="X348" s="3"/>
      <c r="Y348" s="3" t="str">
        <f ca="1">IF($C348&lt;&gt;"",INDEX('Team Indirect'!$D:$D,MATCH($C348,'Team Indirect'!$A:$A,0)),"")</f>
        <v/>
      </c>
      <c r="Z348" s="3" t="str">
        <f ca="1">IF($C348&lt;&gt;"",INDEX('Team Indirect'!$E:$E,MATCH($C348,'Team Indirect'!$A:$A,0)),"")</f>
        <v/>
      </c>
      <c r="AA348" s="3" t="str">
        <f ca="1">IF($C348&lt;&gt;"",INDEX('Team Indirect'!$F:$F,MATCH($C348,'Team Indirect'!$A:$A,0)),"")</f>
        <v/>
      </c>
      <c r="AB348" s="3" t="str">
        <f t="shared" ca="1" si="5"/>
        <v/>
      </c>
      <c r="AC348" s="3">
        <f ca="1">IF(OR(AllocationUnits="Stories", AllocationUnits="Points"),'Work Indirect'!F348,F348/MAX('Work Indirect'!AB348,1))</f>
        <v>1</v>
      </c>
    </row>
    <row r="349" spans="1:29"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7" t="str">
        <f ca="1">IF(OFFSET('4. Work'!$A$1,ROW(D349)-1,COLUMN(D349)-1)="","",OFFSET('4. Work'!$A$1,ROW(D349)-1,COLUMN(D349)-1))</f>
        <v/>
      </c>
      <c r="E349" s="147"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I349" s="3" t="str">
        <f ca="1">IF(OFFSET('4. Work'!$A$1,ROW(I349)-1,COLUMN(I349)-1)="","",OFFSET('4. Work'!$A$1,ROW(I349)-1,COLUMN(I349)-1))</f>
        <v/>
      </c>
      <c r="T349" s="3" t="str">
        <f ca="1">IF(A349&lt;&gt;"",MAX('Initiative Indirect'!$T:$T)+(ROW(A349)-1),"")</f>
        <v/>
      </c>
      <c r="U349" s="3" t="str">
        <f ca="1">IF(B349&lt;&gt;"",INDEX('Initiative Indirect'!$T:$T,MATCH(B349,'Initiative Indirect'!$A:$A,0)),"")</f>
        <v/>
      </c>
      <c r="V349" s="3" t="str">
        <f ca="1">IF(C349&lt;&gt;"",INDEX('Team Indirect'!$T:$T,MATCH(C349,'Team Indirect'!$A:$A,0)),"")</f>
        <v/>
      </c>
      <c r="W349" s="3"/>
      <c r="X349" s="3"/>
      <c r="Y349" s="3" t="str">
        <f ca="1">IF($C349&lt;&gt;"",INDEX('Team Indirect'!$D:$D,MATCH($C349,'Team Indirect'!$A:$A,0)),"")</f>
        <v/>
      </c>
      <c r="Z349" s="3" t="str">
        <f ca="1">IF($C349&lt;&gt;"",INDEX('Team Indirect'!$E:$E,MATCH($C349,'Team Indirect'!$A:$A,0)),"")</f>
        <v/>
      </c>
      <c r="AA349" s="3" t="str">
        <f ca="1">IF($C349&lt;&gt;"",INDEX('Team Indirect'!$F:$F,MATCH($C349,'Team Indirect'!$A:$A,0)),"")</f>
        <v/>
      </c>
      <c r="AB349" s="3" t="str">
        <f t="shared" ca="1" si="5"/>
        <v/>
      </c>
      <c r="AC349" s="3">
        <f ca="1">IF(OR(AllocationUnits="Stories", AllocationUnits="Points"),'Work Indirect'!F349,F349/MAX('Work Indirect'!AB349,1))</f>
        <v>1</v>
      </c>
    </row>
    <row r="350" spans="1:29"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7" t="str">
        <f ca="1">IF(OFFSET('4. Work'!$A$1,ROW(D350)-1,COLUMN(D350)-1)="","",OFFSET('4. Work'!$A$1,ROW(D350)-1,COLUMN(D350)-1))</f>
        <v/>
      </c>
      <c r="E350" s="147"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I350" s="3" t="str">
        <f ca="1">IF(OFFSET('4. Work'!$A$1,ROW(I350)-1,COLUMN(I350)-1)="","",OFFSET('4. Work'!$A$1,ROW(I350)-1,COLUMN(I350)-1))</f>
        <v/>
      </c>
      <c r="T350" s="3" t="str">
        <f ca="1">IF(A350&lt;&gt;"",MAX('Initiative Indirect'!$T:$T)+(ROW(A350)-1),"")</f>
        <v/>
      </c>
      <c r="U350" s="3" t="str">
        <f ca="1">IF(B350&lt;&gt;"",INDEX('Initiative Indirect'!$T:$T,MATCH(B350,'Initiative Indirect'!$A:$A,0)),"")</f>
        <v/>
      </c>
      <c r="V350" s="3" t="str">
        <f ca="1">IF(C350&lt;&gt;"",INDEX('Team Indirect'!$T:$T,MATCH(C350,'Team Indirect'!$A:$A,0)),"")</f>
        <v/>
      </c>
      <c r="W350" s="3"/>
      <c r="X350" s="3"/>
      <c r="Y350" s="3" t="str">
        <f ca="1">IF($C350&lt;&gt;"",INDEX('Team Indirect'!$D:$D,MATCH($C350,'Team Indirect'!$A:$A,0)),"")</f>
        <v/>
      </c>
      <c r="Z350" s="3" t="str">
        <f ca="1">IF($C350&lt;&gt;"",INDEX('Team Indirect'!$E:$E,MATCH($C350,'Team Indirect'!$A:$A,0)),"")</f>
        <v/>
      </c>
      <c r="AA350" s="3" t="str">
        <f ca="1">IF($C350&lt;&gt;"",INDEX('Team Indirect'!$F:$F,MATCH($C350,'Team Indirect'!$A:$A,0)),"")</f>
        <v/>
      </c>
      <c r="AB350" s="3" t="str">
        <f t="shared" ca="1" si="5"/>
        <v/>
      </c>
      <c r="AC350" s="3">
        <f ca="1">IF(OR(AllocationUnits="Stories", AllocationUnits="Points"),'Work Indirect'!F350,F350/MAX('Work Indirect'!AB350,1))</f>
        <v>1</v>
      </c>
    </row>
    <row r="351" spans="1:29"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7" t="str">
        <f ca="1">IF(OFFSET('4. Work'!$A$1,ROW(D351)-1,COLUMN(D351)-1)="","",OFFSET('4. Work'!$A$1,ROW(D351)-1,COLUMN(D351)-1))</f>
        <v/>
      </c>
      <c r="E351" s="147"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I351" s="3" t="str">
        <f ca="1">IF(OFFSET('4. Work'!$A$1,ROW(I351)-1,COLUMN(I351)-1)="","",OFFSET('4. Work'!$A$1,ROW(I351)-1,COLUMN(I351)-1))</f>
        <v/>
      </c>
      <c r="T351" s="3" t="str">
        <f ca="1">IF(A351&lt;&gt;"",MAX('Initiative Indirect'!$T:$T)+(ROW(A351)-1),"")</f>
        <v/>
      </c>
      <c r="U351" s="3" t="str">
        <f ca="1">IF(B351&lt;&gt;"",INDEX('Initiative Indirect'!$T:$T,MATCH(B351,'Initiative Indirect'!$A:$A,0)),"")</f>
        <v/>
      </c>
      <c r="V351" s="3" t="str">
        <f ca="1">IF(C351&lt;&gt;"",INDEX('Team Indirect'!$T:$T,MATCH(C351,'Team Indirect'!$A:$A,0)),"")</f>
        <v/>
      </c>
      <c r="W351" s="3"/>
      <c r="X351" s="3"/>
      <c r="Y351" s="3" t="str">
        <f ca="1">IF($C351&lt;&gt;"",INDEX('Team Indirect'!$D:$D,MATCH($C351,'Team Indirect'!$A:$A,0)),"")</f>
        <v/>
      </c>
      <c r="Z351" s="3" t="str">
        <f ca="1">IF($C351&lt;&gt;"",INDEX('Team Indirect'!$E:$E,MATCH($C351,'Team Indirect'!$A:$A,0)),"")</f>
        <v/>
      </c>
      <c r="AA351" s="3" t="str">
        <f ca="1">IF($C351&lt;&gt;"",INDEX('Team Indirect'!$F:$F,MATCH($C351,'Team Indirect'!$A:$A,0)),"")</f>
        <v/>
      </c>
      <c r="AB351" s="3" t="str">
        <f t="shared" ca="1" si="5"/>
        <v/>
      </c>
      <c r="AC351" s="3">
        <f ca="1">IF(OR(AllocationUnits="Stories", AllocationUnits="Points"),'Work Indirect'!F351,F351/MAX('Work Indirect'!AB351,1))</f>
        <v>1</v>
      </c>
    </row>
    <row r="352" spans="1:29"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7" t="str">
        <f ca="1">IF(OFFSET('4. Work'!$A$1,ROW(D352)-1,COLUMN(D352)-1)="","",OFFSET('4. Work'!$A$1,ROW(D352)-1,COLUMN(D352)-1))</f>
        <v/>
      </c>
      <c r="E352" s="147"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I352" s="3" t="str">
        <f ca="1">IF(OFFSET('4. Work'!$A$1,ROW(I352)-1,COLUMN(I352)-1)="","",OFFSET('4. Work'!$A$1,ROW(I352)-1,COLUMN(I352)-1))</f>
        <v/>
      </c>
      <c r="T352" s="3" t="str">
        <f ca="1">IF(A352&lt;&gt;"",MAX('Initiative Indirect'!$T:$T)+(ROW(A352)-1),"")</f>
        <v/>
      </c>
      <c r="U352" s="3" t="str">
        <f ca="1">IF(B352&lt;&gt;"",INDEX('Initiative Indirect'!$T:$T,MATCH(B352,'Initiative Indirect'!$A:$A,0)),"")</f>
        <v/>
      </c>
      <c r="V352" s="3" t="str">
        <f ca="1">IF(C352&lt;&gt;"",INDEX('Team Indirect'!$T:$T,MATCH(C352,'Team Indirect'!$A:$A,0)),"")</f>
        <v/>
      </c>
      <c r="W352" s="3"/>
      <c r="X352" s="3"/>
      <c r="Y352" s="3" t="str">
        <f ca="1">IF($C352&lt;&gt;"",INDEX('Team Indirect'!$D:$D,MATCH($C352,'Team Indirect'!$A:$A,0)),"")</f>
        <v/>
      </c>
      <c r="Z352" s="3" t="str">
        <f ca="1">IF($C352&lt;&gt;"",INDEX('Team Indirect'!$E:$E,MATCH($C352,'Team Indirect'!$A:$A,0)),"")</f>
        <v/>
      </c>
      <c r="AA352" s="3" t="str">
        <f ca="1">IF($C352&lt;&gt;"",INDEX('Team Indirect'!$F:$F,MATCH($C352,'Team Indirect'!$A:$A,0)),"")</f>
        <v/>
      </c>
      <c r="AB352" s="3" t="str">
        <f t="shared" ca="1" si="5"/>
        <v/>
      </c>
      <c r="AC352" s="3">
        <f ca="1">IF(OR(AllocationUnits="Stories", AllocationUnits="Points"),'Work Indirect'!F352,F352/MAX('Work Indirect'!AB352,1))</f>
        <v>1</v>
      </c>
    </row>
    <row r="353" spans="1:29"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7" t="str">
        <f ca="1">IF(OFFSET('4. Work'!$A$1,ROW(D353)-1,COLUMN(D353)-1)="","",OFFSET('4. Work'!$A$1,ROW(D353)-1,COLUMN(D353)-1))</f>
        <v/>
      </c>
      <c r="E353" s="147"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I353" s="3" t="str">
        <f ca="1">IF(OFFSET('4. Work'!$A$1,ROW(I353)-1,COLUMN(I353)-1)="","",OFFSET('4. Work'!$A$1,ROW(I353)-1,COLUMN(I353)-1))</f>
        <v/>
      </c>
      <c r="T353" s="3" t="str">
        <f ca="1">IF(A353&lt;&gt;"",MAX('Initiative Indirect'!$T:$T)+(ROW(A353)-1),"")</f>
        <v/>
      </c>
      <c r="U353" s="3" t="str">
        <f ca="1">IF(B353&lt;&gt;"",INDEX('Initiative Indirect'!$T:$T,MATCH(B353,'Initiative Indirect'!$A:$A,0)),"")</f>
        <v/>
      </c>
      <c r="V353" s="3" t="str">
        <f ca="1">IF(C353&lt;&gt;"",INDEX('Team Indirect'!$T:$T,MATCH(C353,'Team Indirect'!$A:$A,0)),"")</f>
        <v/>
      </c>
      <c r="W353" s="3"/>
      <c r="X353" s="3"/>
      <c r="Y353" s="3" t="str">
        <f ca="1">IF($C353&lt;&gt;"",INDEX('Team Indirect'!$D:$D,MATCH($C353,'Team Indirect'!$A:$A,0)),"")</f>
        <v/>
      </c>
      <c r="Z353" s="3" t="str">
        <f ca="1">IF($C353&lt;&gt;"",INDEX('Team Indirect'!$E:$E,MATCH($C353,'Team Indirect'!$A:$A,0)),"")</f>
        <v/>
      </c>
      <c r="AA353" s="3" t="str">
        <f ca="1">IF($C353&lt;&gt;"",INDEX('Team Indirect'!$F:$F,MATCH($C353,'Team Indirect'!$A:$A,0)),"")</f>
        <v/>
      </c>
      <c r="AB353" s="3" t="str">
        <f t="shared" ca="1" si="5"/>
        <v/>
      </c>
      <c r="AC353" s="3">
        <f ca="1">IF(OR(AllocationUnits="Stories", AllocationUnits="Points"),'Work Indirect'!F353,F353/MAX('Work Indirect'!AB353,1))</f>
        <v>1</v>
      </c>
    </row>
    <row r="354" spans="1:29"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7" t="str">
        <f ca="1">IF(OFFSET('4. Work'!$A$1,ROW(D354)-1,COLUMN(D354)-1)="","",OFFSET('4. Work'!$A$1,ROW(D354)-1,COLUMN(D354)-1))</f>
        <v/>
      </c>
      <c r="E354" s="147"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I354" s="3" t="str">
        <f ca="1">IF(OFFSET('4. Work'!$A$1,ROW(I354)-1,COLUMN(I354)-1)="","",OFFSET('4. Work'!$A$1,ROW(I354)-1,COLUMN(I354)-1))</f>
        <v/>
      </c>
      <c r="T354" s="3" t="str">
        <f ca="1">IF(A354&lt;&gt;"",MAX('Initiative Indirect'!$T:$T)+(ROW(A354)-1),"")</f>
        <v/>
      </c>
      <c r="U354" s="3" t="str">
        <f ca="1">IF(B354&lt;&gt;"",INDEX('Initiative Indirect'!$T:$T,MATCH(B354,'Initiative Indirect'!$A:$A,0)),"")</f>
        <v/>
      </c>
      <c r="V354" s="3" t="str">
        <f ca="1">IF(C354&lt;&gt;"",INDEX('Team Indirect'!$T:$T,MATCH(C354,'Team Indirect'!$A:$A,0)),"")</f>
        <v/>
      </c>
      <c r="W354" s="3"/>
      <c r="X354" s="3"/>
      <c r="Y354" s="3" t="str">
        <f ca="1">IF($C354&lt;&gt;"",INDEX('Team Indirect'!$D:$D,MATCH($C354,'Team Indirect'!$A:$A,0)),"")</f>
        <v/>
      </c>
      <c r="Z354" s="3" t="str">
        <f ca="1">IF($C354&lt;&gt;"",INDEX('Team Indirect'!$E:$E,MATCH($C354,'Team Indirect'!$A:$A,0)),"")</f>
        <v/>
      </c>
      <c r="AA354" s="3" t="str">
        <f ca="1">IF($C354&lt;&gt;"",INDEX('Team Indirect'!$F:$F,MATCH($C354,'Team Indirect'!$A:$A,0)),"")</f>
        <v/>
      </c>
      <c r="AB354" s="3" t="str">
        <f t="shared" ca="1" si="5"/>
        <v/>
      </c>
      <c r="AC354" s="3">
        <f ca="1">IF(OR(AllocationUnits="Stories", AllocationUnits="Points"),'Work Indirect'!F354,F354/MAX('Work Indirect'!AB354,1))</f>
        <v>1</v>
      </c>
    </row>
    <row r="355" spans="1:29"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7" t="str">
        <f ca="1">IF(OFFSET('4. Work'!$A$1,ROW(D355)-1,COLUMN(D355)-1)="","",OFFSET('4. Work'!$A$1,ROW(D355)-1,COLUMN(D355)-1))</f>
        <v/>
      </c>
      <c r="E355" s="147"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I355" s="3" t="str">
        <f ca="1">IF(OFFSET('4. Work'!$A$1,ROW(I355)-1,COLUMN(I355)-1)="","",OFFSET('4. Work'!$A$1,ROW(I355)-1,COLUMN(I355)-1))</f>
        <v/>
      </c>
      <c r="T355" s="3" t="str">
        <f ca="1">IF(A355&lt;&gt;"",MAX('Initiative Indirect'!$T:$T)+(ROW(A355)-1),"")</f>
        <v/>
      </c>
      <c r="U355" s="3" t="str">
        <f ca="1">IF(B355&lt;&gt;"",INDEX('Initiative Indirect'!$T:$T,MATCH(B355,'Initiative Indirect'!$A:$A,0)),"")</f>
        <v/>
      </c>
      <c r="V355" s="3" t="str">
        <f ca="1">IF(C355&lt;&gt;"",INDEX('Team Indirect'!$T:$T,MATCH(C355,'Team Indirect'!$A:$A,0)),"")</f>
        <v/>
      </c>
      <c r="W355" s="3"/>
      <c r="X355" s="3"/>
      <c r="Y355" s="3" t="str">
        <f ca="1">IF($C355&lt;&gt;"",INDEX('Team Indirect'!$D:$D,MATCH($C355,'Team Indirect'!$A:$A,0)),"")</f>
        <v/>
      </c>
      <c r="Z355" s="3" t="str">
        <f ca="1">IF($C355&lt;&gt;"",INDEX('Team Indirect'!$E:$E,MATCH($C355,'Team Indirect'!$A:$A,0)),"")</f>
        <v/>
      </c>
      <c r="AA355" s="3" t="str">
        <f ca="1">IF($C355&lt;&gt;"",INDEX('Team Indirect'!$F:$F,MATCH($C355,'Team Indirect'!$A:$A,0)),"")</f>
        <v/>
      </c>
      <c r="AB355" s="3" t="str">
        <f t="shared" ca="1" si="5"/>
        <v/>
      </c>
      <c r="AC355" s="3">
        <f ca="1">IF(OR(AllocationUnits="Stories", AllocationUnits="Points"),'Work Indirect'!F355,F355/MAX('Work Indirect'!AB355,1))</f>
        <v>1</v>
      </c>
    </row>
    <row r="356" spans="1:29"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7" t="str">
        <f ca="1">IF(OFFSET('4. Work'!$A$1,ROW(D356)-1,COLUMN(D356)-1)="","",OFFSET('4. Work'!$A$1,ROW(D356)-1,COLUMN(D356)-1))</f>
        <v/>
      </c>
      <c r="E356" s="147"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I356" s="3" t="str">
        <f ca="1">IF(OFFSET('4. Work'!$A$1,ROW(I356)-1,COLUMN(I356)-1)="","",OFFSET('4. Work'!$A$1,ROW(I356)-1,COLUMN(I356)-1))</f>
        <v/>
      </c>
      <c r="T356" s="3" t="str">
        <f ca="1">IF(A356&lt;&gt;"",MAX('Initiative Indirect'!$T:$T)+(ROW(A356)-1),"")</f>
        <v/>
      </c>
      <c r="U356" s="3" t="str">
        <f ca="1">IF(B356&lt;&gt;"",INDEX('Initiative Indirect'!$T:$T,MATCH(B356,'Initiative Indirect'!$A:$A,0)),"")</f>
        <v/>
      </c>
      <c r="V356" s="3" t="str">
        <f ca="1">IF(C356&lt;&gt;"",INDEX('Team Indirect'!$T:$T,MATCH(C356,'Team Indirect'!$A:$A,0)),"")</f>
        <v/>
      </c>
      <c r="W356" s="3"/>
      <c r="X356" s="3"/>
      <c r="Y356" s="3" t="str">
        <f ca="1">IF($C356&lt;&gt;"",INDEX('Team Indirect'!$D:$D,MATCH($C356,'Team Indirect'!$A:$A,0)),"")</f>
        <v/>
      </c>
      <c r="Z356" s="3" t="str">
        <f ca="1">IF($C356&lt;&gt;"",INDEX('Team Indirect'!$E:$E,MATCH($C356,'Team Indirect'!$A:$A,0)),"")</f>
        <v/>
      </c>
      <c r="AA356" s="3" t="str">
        <f ca="1">IF($C356&lt;&gt;"",INDEX('Team Indirect'!$F:$F,MATCH($C356,'Team Indirect'!$A:$A,0)),"")</f>
        <v/>
      </c>
      <c r="AB356" s="3" t="str">
        <f t="shared" ca="1" si="5"/>
        <v/>
      </c>
      <c r="AC356" s="3">
        <f ca="1">IF(OR(AllocationUnits="Stories", AllocationUnits="Points"),'Work Indirect'!F356,F356/MAX('Work Indirect'!AB356,1))</f>
        <v>1</v>
      </c>
    </row>
    <row r="357" spans="1:29"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7" t="str">
        <f ca="1">IF(OFFSET('4. Work'!$A$1,ROW(D357)-1,COLUMN(D357)-1)="","",OFFSET('4. Work'!$A$1,ROW(D357)-1,COLUMN(D357)-1))</f>
        <v/>
      </c>
      <c r="E357" s="147"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I357" s="3" t="str">
        <f ca="1">IF(OFFSET('4. Work'!$A$1,ROW(I357)-1,COLUMN(I357)-1)="","",OFFSET('4. Work'!$A$1,ROW(I357)-1,COLUMN(I357)-1))</f>
        <v/>
      </c>
      <c r="T357" s="3" t="str">
        <f ca="1">IF(A357&lt;&gt;"",MAX('Initiative Indirect'!$T:$T)+(ROW(A357)-1),"")</f>
        <v/>
      </c>
      <c r="U357" s="3" t="str">
        <f ca="1">IF(B357&lt;&gt;"",INDEX('Initiative Indirect'!$T:$T,MATCH(B357,'Initiative Indirect'!$A:$A,0)),"")</f>
        <v/>
      </c>
      <c r="V357" s="3" t="str">
        <f ca="1">IF(C357&lt;&gt;"",INDEX('Team Indirect'!$T:$T,MATCH(C357,'Team Indirect'!$A:$A,0)),"")</f>
        <v/>
      </c>
      <c r="W357" s="3"/>
      <c r="X357" s="3"/>
      <c r="Y357" s="3" t="str">
        <f ca="1">IF($C357&lt;&gt;"",INDEX('Team Indirect'!$D:$D,MATCH($C357,'Team Indirect'!$A:$A,0)),"")</f>
        <v/>
      </c>
      <c r="Z357" s="3" t="str">
        <f ca="1">IF($C357&lt;&gt;"",INDEX('Team Indirect'!$E:$E,MATCH($C357,'Team Indirect'!$A:$A,0)),"")</f>
        <v/>
      </c>
      <c r="AA357" s="3" t="str">
        <f ca="1">IF($C357&lt;&gt;"",INDEX('Team Indirect'!$F:$F,MATCH($C357,'Team Indirect'!$A:$A,0)),"")</f>
        <v/>
      </c>
      <c r="AB357" s="3" t="str">
        <f t="shared" ca="1" si="5"/>
        <v/>
      </c>
      <c r="AC357" s="3">
        <f ca="1">IF(OR(AllocationUnits="Stories", AllocationUnits="Points"),'Work Indirect'!F357,F357/MAX('Work Indirect'!AB357,1))</f>
        <v>1</v>
      </c>
    </row>
    <row r="358" spans="1:29"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7" t="str">
        <f ca="1">IF(OFFSET('4. Work'!$A$1,ROW(D358)-1,COLUMN(D358)-1)="","",OFFSET('4. Work'!$A$1,ROW(D358)-1,COLUMN(D358)-1))</f>
        <v/>
      </c>
      <c r="E358" s="147"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I358" s="3" t="str">
        <f ca="1">IF(OFFSET('4. Work'!$A$1,ROW(I358)-1,COLUMN(I358)-1)="","",OFFSET('4. Work'!$A$1,ROW(I358)-1,COLUMN(I358)-1))</f>
        <v/>
      </c>
      <c r="T358" s="3" t="str">
        <f ca="1">IF(A358&lt;&gt;"",MAX('Initiative Indirect'!$T:$T)+(ROW(A358)-1),"")</f>
        <v/>
      </c>
      <c r="U358" s="3" t="str">
        <f ca="1">IF(B358&lt;&gt;"",INDEX('Initiative Indirect'!$T:$T,MATCH(B358,'Initiative Indirect'!$A:$A,0)),"")</f>
        <v/>
      </c>
      <c r="V358" s="3" t="str">
        <f ca="1">IF(C358&lt;&gt;"",INDEX('Team Indirect'!$T:$T,MATCH(C358,'Team Indirect'!$A:$A,0)),"")</f>
        <v/>
      </c>
      <c r="W358" s="3"/>
      <c r="X358" s="3"/>
      <c r="Y358" s="3" t="str">
        <f ca="1">IF($C358&lt;&gt;"",INDEX('Team Indirect'!$D:$D,MATCH($C358,'Team Indirect'!$A:$A,0)),"")</f>
        <v/>
      </c>
      <c r="Z358" s="3" t="str">
        <f ca="1">IF($C358&lt;&gt;"",INDEX('Team Indirect'!$E:$E,MATCH($C358,'Team Indirect'!$A:$A,0)),"")</f>
        <v/>
      </c>
      <c r="AA358" s="3" t="str">
        <f ca="1">IF($C358&lt;&gt;"",INDEX('Team Indirect'!$F:$F,MATCH($C358,'Team Indirect'!$A:$A,0)),"")</f>
        <v/>
      </c>
      <c r="AB358" s="3" t="str">
        <f t="shared" ca="1" si="5"/>
        <v/>
      </c>
      <c r="AC358" s="3">
        <f ca="1">IF(OR(AllocationUnits="Stories", AllocationUnits="Points"),'Work Indirect'!F358,F358/MAX('Work Indirect'!AB358,1))</f>
        <v>1</v>
      </c>
    </row>
    <row r="359" spans="1:29"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7" t="str">
        <f ca="1">IF(OFFSET('4. Work'!$A$1,ROW(D359)-1,COLUMN(D359)-1)="","",OFFSET('4. Work'!$A$1,ROW(D359)-1,COLUMN(D359)-1))</f>
        <v/>
      </c>
      <c r="E359" s="147"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I359" s="3" t="str">
        <f ca="1">IF(OFFSET('4. Work'!$A$1,ROW(I359)-1,COLUMN(I359)-1)="","",OFFSET('4. Work'!$A$1,ROW(I359)-1,COLUMN(I359)-1))</f>
        <v/>
      </c>
      <c r="T359" s="3" t="str">
        <f ca="1">IF(A359&lt;&gt;"",MAX('Initiative Indirect'!$T:$T)+(ROW(A359)-1),"")</f>
        <v/>
      </c>
      <c r="U359" s="3" t="str">
        <f ca="1">IF(B359&lt;&gt;"",INDEX('Initiative Indirect'!$T:$T,MATCH(B359,'Initiative Indirect'!$A:$A,0)),"")</f>
        <v/>
      </c>
      <c r="V359" s="3" t="str">
        <f ca="1">IF(C359&lt;&gt;"",INDEX('Team Indirect'!$T:$T,MATCH(C359,'Team Indirect'!$A:$A,0)),"")</f>
        <v/>
      </c>
      <c r="W359" s="3"/>
      <c r="X359" s="3"/>
      <c r="Y359" s="3" t="str">
        <f ca="1">IF($C359&lt;&gt;"",INDEX('Team Indirect'!$D:$D,MATCH($C359,'Team Indirect'!$A:$A,0)),"")</f>
        <v/>
      </c>
      <c r="Z359" s="3" t="str">
        <f ca="1">IF($C359&lt;&gt;"",INDEX('Team Indirect'!$E:$E,MATCH($C359,'Team Indirect'!$A:$A,0)),"")</f>
        <v/>
      </c>
      <c r="AA359" s="3" t="str">
        <f ca="1">IF($C359&lt;&gt;"",INDEX('Team Indirect'!$F:$F,MATCH($C359,'Team Indirect'!$A:$A,0)),"")</f>
        <v/>
      </c>
      <c r="AB359" s="3" t="str">
        <f t="shared" ca="1" si="5"/>
        <v/>
      </c>
      <c r="AC359" s="3">
        <f ca="1">IF(OR(AllocationUnits="Stories", AllocationUnits="Points"),'Work Indirect'!F359,F359/MAX('Work Indirect'!AB359,1))</f>
        <v>1</v>
      </c>
    </row>
    <row r="360" spans="1:29"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7" t="str">
        <f ca="1">IF(OFFSET('4. Work'!$A$1,ROW(D360)-1,COLUMN(D360)-1)="","",OFFSET('4. Work'!$A$1,ROW(D360)-1,COLUMN(D360)-1))</f>
        <v/>
      </c>
      <c r="E360" s="147"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I360" s="3" t="str">
        <f ca="1">IF(OFFSET('4. Work'!$A$1,ROW(I360)-1,COLUMN(I360)-1)="","",OFFSET('4. Work'!$A$1,ROW(I360)-1,COLUMN(I360)-1))</f>
        <v/>
      </c>
      <c r="T360" s="3" t="str">
        <f ca="1">IF(A360&lt;&gt;"",MAX('Initiative Indirect'!$T:$T)+(ROW(A360)-1),"")</f>
        <v/>
      </c>
      <c r="U360" s="3" t="str">
        <f ca="1">IF(B360&lt;&gt;"",INDEX('Initiative Indirect'!$T:$T,MATCH(B360,'Initiative Indirect'!$A:$A,0)),"")</f>
        <v/>
      </c>
      <c r="V360" s="3" t="str">
        <f ca="1">IF(C360&lt;&gt;"",INDEX('Team Indirect'!$T:$T,MATCH(C360,'Team Indirect'!$A:$A,0)),"")</f>
        <v/>
      </c>
      <c r="W360" s="3"/>
      <c r="X360" s="3"/>
      <c r="Y360" s="3" t="str">
        <f ca="1">IF($C360&lt;&gt;"",INDEX('Team Indirect'!$D:$D,MATCH($C360,'Team Indirect'!$A:$A,0)),"")</f>
        <v/>
      </c>
      <c r="Z360" s="3" t="str">
        <f ca="1">IF($C360&lt;&gt;"",INDEX('Team Indirect'!$E:$E,MATCH($C360,'Team Indirect'!$A:$A,0)),"")</f>
        <v/>
      </c>
      <c r="AA360" s="3" t="str">
        <f ca="1">IF($C360&lt;&gt;"",INDEX('Team Indirect'!$F:$F,MATCH($C360,'Team Indirect'!$A:$A,0)),"")</f>
        <v/>
      </c>
      <c r="AB360" s="3" t="str">
        <f t="shared" ca="1" si="5"/>
        <v/>
      </c>
      <c r="AC360" s="3">
        <f ca="1">IF(OR(AllocationUnits="Stories", AllocationUnits="Points"),'Work Indirect'!F360,F360/MAX('Work Indirect'!AB360,1))</f>
        <v>1</v>
      </c>
    </row>
    <row r="361" spans="1:29"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7" t="str">
        <f ca="1">IF(OFFSET('4. Work'!$A$1,ROW(D361)-1,COLUMN(D361)-1)="","",OFFSET('4. Work'!$A$1,ROW(D361)-1,COLUMN(D361)-1))</f>
        <v/>
      </c>
      <c r="E361" s="147"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I361" s="3" t="str">
        <f ca="1">IF(OFFSET('4. Work'!$A$1,ROW(I361)-1,COLUMN(I361)-1)="","",OFFSET('4. Work'!$A$1,ROW(I361)-1,COLUMN(I361)-1))</f>
        <v/>
      </c>
      <c r="T361" s="3" t="str">
        <f ca="1">IF(A361&lt;&gt;"",MAX('Initiative Indirect'!$T:$T)+(ROW(A361)-1),"")</f>
        <v/>
      </c>
      <c r="U361" s="3" t="str">
        <f ca="1">IF(B361&lt;&gt;"",INDEX('Initiative Indirect'!$T:$T,MATCH(B361,'Initiative Indirect'!$A:$A,0)),"")</f>
        <v/>
      </c>
      <c r="V361" s="3" t="str">
        <f ca="1">IF(C361&lt;&gt;"",INDEX('Team Indirect'!$T:$T,MATCH(C361,'Team Indirect'!$A:$A,0)),"")</f>
        <v/>
      </c>
      <c r="W361" s="3"/>
      <c r="X361" s="3"/>
      <c r="Y361" s="3" t="str">
        <f ca="1">IF($C361&lt;&gt;"",INDEX('Team Indirect'!$D:$D,MATCH($C361,'Team Indirect'!$A:$A,0)),"")</f>
        <v/>
      </c>
      <c r="Z361" s="3" t="str">
        <f ca="1">IF($C361&lt;&gt;"",INDEX('Team Indirect'!$E:$E,MATCH($C361,'Team Indirect'!$A:$A,0)),"")</f>
        <v/>
      </c>
      <c r="AA361" s="3" t="str">
        <f ca="1">IF($C361&lt;&gt;"",INDEX('Team Indirect'!$F:$F,MATCH($C361,'Team Indirect'!$A:$A,0)),"")</f>
        <v/>
      </c>
      <c r="AB361" s="3" t="str">
        <f t="shared" ca="1" si="5"/>
        <v/>
      </c>
      <c r="AC361" s="3">
        <f ca="1">IF(OR(AllocationUnits="Stories", AllocationUnits="Points"),'Work Indirect'!F361,F361/MAX('Work Indirect'!AB361,1))</f>
        <v>1</v>
      </c>
    </row>
    <row r="362" spans="1:29"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7" t="str">
        <f ca="1">IF(OFFSET('4. Work'!$A$1,ROW(D362)-1,COLUMN(D362)-1)="","",OFFSET('4. Work'!$A$1,ROW(D362)-1,COLUMN(D362)-1))</f>
        <v/>
      </c>
      <c r="E362" s="147"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I362" s="3" t="str">
        <f ca="1">IF(OFFSET('4. Work'!$A$1,ROW(I362)-1,COLUMN(I362)-1)="","",OFFSET('4. Work'!$A$1,ROW(I362)-1,COLUMN(I362)-1))</f>
        <v/>
      </c>
      <c r="T362" s="3" t="str">
        <f ca="1">IF(A362&lt;&gt;"",MAX('Initiative Indirect'!$T:$T)+(ROW(A362)-1),"")</f>
        <v/>
      </c>
      <c r="U362" s="3" t="str">
        <f ca="1">IF(B362&lt;&gt;"",INDEX('Initiative Indirect'!$T:$T,MATCH(B362,'Initiative Indirect'!$A:$A,0)),"")</f>
        <v/>
      </c>
      <c r="V362" s="3" t="str">
        <f ca="1">IF(C362&lt;&gt;"",INDEX('Team Indirect'!$T:$T,MATCH(C362,'Team Indirect'!$A:$A,0)),"")</f>
        <v/>
      </c>
      <c r="W362" s="3"/>
      <c r="X362" s="3"/>
      <c r="Y362" s="3" t="str">
        <f ca="1">IF($C362&lt;&gt;"",INDEX('Team Indirect'!$D:$D,MATCH($C362,'Team Indirect'!$A:$A,0)),"")</f>
        <v/>
      </c>
      <c r="Z362" s="3" t="str">
        <f ca="1">IF($C362&lt;&gt;"",INDEX('Team Indirect'!$E:$E,MATCH($C362,'Team Indirect'!$A:$A,0)),"")</f>
        <v/>
      </c>
      <c r="AA362" s="3" t="str">
        <f ca="1">IF($C362&lt;&gt;"",INDEX('Team Indirect'!$F:$F,MATCH($C362,'Team Indirect'!$A:$A,0)),"")</f>
        <v/>
      </c>
      <c r="AB362" s="3" t="str">
        <f t="shared" ca="1" si="5"/>
        <v/>
      </c>
      <c r="AC362" s="3">
        <f ca="1">IF(OR(AllocationUnits="Stories", AllocationUnits="Points"),'Work Indirect'!F362,F362/MAX('Work Indirect'!AB362,1))</f>
        <v>1</v>
      </c>
    </row>
    <row r="363" spans="1:29"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7" t="str">
        <f ca="1">IF(OFFSET('4. Work'!$A$1,ROW(D363)-1,COLUMN(D363)-1)="","",OFFSET('4. Work'!$A$1,ROW(D363)-1,COLUMN(D363)-1))</f>
        <v/>
      </c>
      <c r="E363" s="147"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I363" s="3" t="str">
        <f ca="1">IF(OFFSET('4. Work'!$A$1,ROW(I363)-1,COLUMN(I363)-1)="","",OFFSET('4. Work'!$A$1,ROW(I363)-1,COLUMN(I363)-1))</f>
        <v/>
      </c>
      <c r="T363" s="3" t="str">
        <f ca="1">IF(A363&lt;&gt;"",MAX('Initiative Indirect'!$T:$T)+(ROW(A363)-1),"")</f>
        <v/>
      </c>
      <c r="U363" s="3" t="str">
        <f ca="1">IF(B363&lt;&gt;"",INDEX('Initiative Indirect'!$T:$T,MATCH(B363,'Initiative Indirect'!$A:$A,0)),"")</f>
        <v/>
      </c>
      <c r="V363" s="3" t="str">
        <f ca="1">IF(C363&lt;&gt;"",INDEX('Team Indirect'!$T:$T,MATCH(C363,'Team Indirect'!$A:$A,0)),"")</f>
        <v/>
      </c>
      <c r="W363" s="3"/>
      <c r="X363" s="3"/>
      <c r="Y363" s="3" t="str">
        <f ca="1">IF($C363&lt;&gt;"",INDEX('Team Indirect'!$D:$D,MATCH($C363,'Team Indirect'!$A:$A,0)),"")</f>
        <v/>
      </c>
      <c r="Z363" s="3" t="str">
        <f ca="1">IF($C363&lt;&gt;"",INDEX('Team Indirect'!$E:$E,MATCH($C363,'Team Indirect'!$A:$A,0)),"")</f>
        <v/>
      </c>
      <c r="AA363" s="3" t="str">
        <f ca="1">IF($C363&lt;&gt;"",INDEX('Team Indirect'!$F:$F,MATCH($C363,'Team Indirect'!$A:$A,0)),"")</f>
        <v/>
      </c>
      <c r="AB363" s="3" t="str">
        <f t="shared" ca="1" si="5"/>
        <v/>
      </c>
      <c r="AC363" s="3">
        <f ca="1">IF(OR(AllocationUnits="Stories", AllocationUnits="Points"),'Work Indirect'!F363,F363/MAX('Work Indirect'!AB363,1))</f>
        <v>1</v>
      </c>
    </row>
    <row r="364" spans="1:29"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7" t="str">
        <f ca="1">IF(OFFSET('4. Work'!$A$1,ROW(D364)-1,COLUMN(D364)-1)="","",OFFSET('4. Work'!$A$1,ROW(D364)-1,COLUMN(D364)-1))</f>
        <v/>
      </c>
      <c r="E364" s="147"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I364" s="3" t="str">
        <f ca="1">IF(OFFSET('4. Work'!$A$1,ROW(I364)-1,COLUMN(I364)-1)="","",OFFSET('4. Work'!$A$1,ROW(I364)-1,COLUMN(I364)-1))</f>
        <v/>
      </c>
      <c r="T364" s="3" t="str">
        <f ca="1">IF(A364&lt;&gt;"",MAX('Initiative Indirect'!$T:$T)+(ROW(A364)-1),"")</f>
        <v/>
      </c>
      <c r="U364" s="3" t="str">
        <f ca="1">IF(B364&lt;&gt;"",INDEX('Initiative Indirect'!$T:$T,MATCH(B364,'Initiative Indirect'!$A:$A,0)),"")</f>
        <v/>
      </c>
      <c r="V364" s="3" t="str">
        <f ca="1">IF(C364&lt;&gt;"",INDEX('Team Indirect'!$T:$T,MATCH(C364,'Team Indirect'!$A:$A,0)),"")</f>
        <v/>
      </c>
      <c r="W364" s="3"/>
      <c r="X364" s="3"/>
      <c r="Y364" s="3" t="str">
        <f ca="1">IF($C364&lt;&gt;"",INDEX('Team Indirect'!$D:$D,MATCH($C364,'Team Indirect'!$A:$A,0)),"")</f>
        <v/>
      </c>
      <c r="Z364" s="3" t="str">
        <f ca="1">IF($C364&lt;&gt;"",INDEX('Team Indirect'!$E:$E,MATCH($C364,'Team Indirect'!$A:$A,0)),"")</f>
        <v/>
      </c>
      <c r="AA364" s="3" t="str">
        <f ca="1">IF($C364&lt;&gt;"",INDEX('Team Indirect'!$F:$F,MATCH($C364,'Team Indirect'!$A:$A,0)),"")</f>
        <v/>
      </c>
      <c r="AB364" s="3" t="str">
        <f t="shared" ca="1" si="5"/>
        <v/>
      </c>
      <c r="AC364" s="3">
        <f ca="1">IF(OR(AllocationUnits="Stories", AllocationUnits="Points"),'Work Indirect'!F364,F364/MAX('Work Indirect'!AB364,1))</f>
        <v>1</v>
      </c>
    </row>
    <row r="365" spans="1:29"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7" t="str">
        <f ca="1">IF(OFFSET('4. Work'!$A$1,ROW(D365)-1,COLUMN(D365)-1)="","",OFFSET('4. Work'!$A$1,ROW(D365)-1,COLUMN(D365)-1))</f>
        <v/>
      </c>
      <c r="E365" s="147"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I365" s="3" t="str">
        <f ca="1">IF(OFFSET('4. Work'!$A$1,ROW(I365)-1,COLUMN(I365)-1)="","",OFFSET('4. Work'!$A$1,ROW(I365)-1,COLUMN(I365)-1))</f>
        <v/>
      </c>
      <c r="T365" s="3" t="str">
        <f ca="1">IF(A365&lt;&gt;"",MAX('Initiative Indirect'!$T:$T)+(ROW(A365)-1),"")</f>
        <v/>
      </c>
      <c r="U365" s="3" t="str">
        <f ca="1">IF(B365&lt;&gt;"",INDEX('Initiative Indirect'!$T:$T,MATCH(B365,'Initiative Indirect'!$A:$A,0)),"")</f>
        <v/>
      </c>
      <c r="V365" s="3" t="str">
        <f ca="1">IF(C365&lt;&gt;"",INDEX('Team Indirect'!$T:$T,MATCH(C365,'Team Indirect'!$A:$A,0)),"")</f>
        <v/>
      </c>
      <c r="W365" s="3"/>
      <c r="X365" s="3"/>
      <c r="Y365" s="3" t="str">
        <f ca="1">IF($C365&lt;&gt;"",INDEX('Team Indirect'!$D:$D,MATCH($C365,'Team Indirect'!$A:$A,0)),"")</f>
        <v/>
      </c>
      <c r="Z365" s="3" t="str">
        <f ca="1">IF($C365&lt;&gt;"",INDEX('Team Indirect'!$E:$E,MATCH($C365,'Team Indirect'!$A:$A,0)),"")</f>
        <v/>
      </c>
      <c r="AA365" s="3" t="str">
        <f ca="1">IF($C365&lt;&gt;"",INDEX('Team Indirect'!$F:$F,MATCH($C365,'Team Indirect'!$A:$A,0)),"")</f>
        <v/>
      </c>
      <c r="AB365" s="3" t="str">
        <f t="shared" ca="1" si="5"/>
        <v/>
      </c>
      <c r="AC365" s="3">
        <f ca="1">IF(OR(AllocationUnits="Stories", AllocationUnits="Points"),'Work Indirect'!F365,F365/MAX('Work Indirect'!AB365,1))</f>
        <v>1</v>
      </c>
    </row>
    <row r="366" spans="1:29"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7" t="str">
        <f ca="1">IF(OFFSET('4. Work'!$A$1,ROW(D366)-1,COLUMN(D366)-1)="","",OFFSET('4. Work'!$A$1,ROW(D366)-1,COLUMN(D366)-1))</f>
        <v/>
      </c>
      <c r="E366" s="147"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I366" s="3" t="str">
        <f ca="1">IF(OFFSET('4. Work'!$A$1,ROW(I366)-1,COLUMN(I366)-1)="","",OFFSET('4. Work'!$A$1,ROW(I366)-1,COLUMN(I366)-1))</f>
        <v/>
      </c>
      <c r="T366" s="3" t="str">
        <f ca="1">IF(A366&lt;&gt;"",MAX('Initiative Indirect'!$T:$T)+(ROW(A366)-1),"")</f>
        <v/>
      </c>
      <c r="U366" s="3" t="str">
        <f ca="1">IF(B366&lt;&gt;"",INDEX('Initiative Indirect'!$T:$T,MATCH(B366,'Initiative Indirect'!$A:$A,0)),"")</f>
        <v/>
      </c>
      <c r="V366" s="3" t="str">
        <f ca="1">IF(C366&lt;&gt;"",INDEX('Team Indirect'!$T:$T,MATCH(C366,'Team Indirect'!$A:$A,0)),"")</f>
        <v/>
      </c>
      <c r="W366" s="3"/>
      <c r="X366" s="3"/>
      <c r="Y366" s="3" t="str">
        <f ca="1">IF($C366&lt;&gt;"",INDEX('Team Indirect'!$D:$D,MATCH($C366,'Team Indirect'!$A:$A,0)),"")</f>
        <v/>
      </c>
      <c r="Z366" s="3" t="str">
        <f ca="1">IF($C366&lt;&gt;"",INDEX('Team Indirect'!$E:$E,MATCH($C366,'Team Indirect'!$A:$A,0)),"")</f>
        <v/>
      </c>
      <c r="AA366" s="3" t="str">
        <f ca="1">IF($C366&lt;&gt;"",INDEX('Team Indirect'!$F:$F,MATCH($C366,'Team Indirect'!$A:$A,0)),"")</f>
        <v/>
      </c>
      <c r="AB366" s="3" t="str">
        <f t="shared" ca="1" si="5"/>
        <v/>
      </c>
      <c r="AC366" s="3">
        <f ca="1">IF(OR(AllocationUnits="Stories", AllocationUnits="Points"),'Work Indirect'!F366,F366/MAX('Work Indirect'!AB366,1))</f>
        <v>1</v>
      </c>
    </row>
    <row r="367" spans="1:29"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7" t="str">
        <f ca="1">IF(OFFSET('4. Work'!$A$1,ROW(D367)-1,COLUMN(D367)-1)="","",OFFSET('4. Work'!$A$1,ROW(D367)-1,COLUMN(D367)-1))</f>
        <v/>
      </c>
      <c r="E367" s="147"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I367" s="3" t="str">
        <f ca="1">IF(OFFSET('4. Work'!$A$1,ROW(I367)-1,COLUMN(I367)-1)="","",OFFSET('4. Work'!$A$1,ROW(I367)-1,COLUMN(I367)-1))</f>
        <v/>
      </c>
      <c r="T367" s="3" t="str">
        <f ca="1">IF(A367&lt;&gt;"",MAX('Initiative Indirect'!$T:$T)+(ROW(A367)-1),"")</f>
        <v/>
      </c>
      <c r="U367" s="3" t="str">
        <f ca="1">IF(B367&lt;&gt;"",INDEX('Initiative Indirect'!$T:$T,MATCH(B367,'Initiative Indirect'!$A:$A,0)),"")</f>
        <v/>
      </c>
      <c r="V367" s="3" t="str">
        <f ca="1">IF(C367&lt;&gt;"",INDEX('Team Indirect'!$T:$T,MATCH(C367,'Team Indirect'!$A:$A,0)),"")</f>
        <v/>
      </c>
      <c r="W367" s="3"/>
      <c r="X367" s="3"/>
      <c r="Y367" s="3" t="str">
        <f ca="1">IF($C367&lt;&gt;"",INDEX('Team Indirect'!$D:$D,MATCH($C367,'Team Indirect'!$A:$A,0)),"")</f>
        <v/>
      </c>
      <c r="Z367" s="3" t="str">
        <f ca="1">IF($C367&lt;&gt;"",INDEX('Team Indirect'!$E:$E,MATCH($C367,'Team Indirect'!$A:$A,0)),"")</f>
        <v/>
      </c>
      <c r="AA367" s="3" t="str">
        <f ca="1">IF($C367&lt;&gt;"",INDEX('Team Indirect'!$F:$F,MATCH($C367,'Team Indirect'!$A:$A,0)),"")</f>
        <v/>
      </c>
      <c r="AB367" s="3" t="str">
        <f t="shared" ca="1" si="5"/>
        <v/>
      </c>
      <c r="AC367" s="3">
        <f ca="1">IF(OR(AllocationUnits="Stories", AllocationUnits="Points"),'Work Indirect'!F367,F367/MAX('Work Indirect'!AB367,1))</f>
        <v>1</v>
      </c>
    </row>
    <row r="368" spans="1:29"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7" t="str">
        <f ca="1">IF(OFFSET('4. Work'!$A$1,ROW(D368)-1,COLUMN(D368)-1)="","",OFFSET('4. Work'!$A$1,ROW(D368)-1,COLUMN(D368)-1))</f>
        <v/>
      </c>
      <c r="E368" s="147"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I368" s="3" t="str">
        <f ca="1">IF(OFFSET('4. Work'!$A$1,ROW(I368)-1,COLUMN(I368)-1)="","",OFFSET('4. Work'!$A$1,ROW(I368)-1,COLUMN(I368)-1))</f>
        <v/>
      </c>
      <c r="T368" s="3" t="str">
        <f ca="1">IF(A368&lt;&gt;"",MAX('Initiative Indirect'!$T:$T)+(ROW(A368)-1),"")</f>
        <v/>
      </c>
      <c r="U368" s="3" t="str">
        <f ca="1">IF(B368&lt;&gt;"",INDEX('Initiative Indirect'!$T:$T,MATCH(B368,'Initiative Indirect'!$A:$A,0)),"")</f>
        <v/>
      </c>
      <c r="V368" s="3" t="str">
        <f ca="1">IF(C368&lt;&gt;"",INDEX('Team Indirect'!$T:$T,MATCH(C368,'Team Indirect'!$A:$A,0)),"")</f>
        <v/>
      </c>
      <c r="W368" s="3"/>
      <c r="X368" s="3"/>
      <c r="Y368" s="3" t="str">
        <f ca="1">IF($C368&lt;&gt;"",INDEX('Team Indirect'!$D:$D,MATCH($C368,'Team Indirect'!$A:$A,0)),"")</f>
        <v/>
      </c>
      <c r="Z368" s="3" t="str">
        <f ca="1">IF($C368&lt;&gt;"",INDEX('Team Indirect'!$E:$E,MATCH($C368,'Team Indirect'!$A:$A,0)),"")</f>
        <v/>
      </c>
      <c r="AA368" s="3" t="str">
        <f ca="1">IF($C368&lt;&gt;"",INDEX('Team Indirect'!$F:$F,MATCH($C368,'Team Indirect'!$A:$A,0)),"")</f>
        <v/>
      </c>
      <c r="AB368" s="3" t="str">
        <f t="shared" ca="1" si="5"/>
        <v/>
      </c>
      <c r="AC368" s="3">
        <f ca="1">IF(OR(AllocationUnits="Stories", AllocationUnits="Points"),'Work Indirect'!F368,F368/MAX('Work Indirect'!AB368,1))</f>
        <v>1</v>
      </c>
    </row>
    <row r="369" spans="1:29"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7" t="str">
        <f ca="1">IF(OFFSET('4. Work'!$A$1,ROW(D369)-1,COLUMN(D369)-1)="","",OFFSET('4. Work'!$A$1,ROW(D369)-1,COLUMN(D369)-1))</f>
        <v/>
      </c>
      <c r="E369" s="147"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I369" s="3" t="str">
        <f ca="1">IF(OFFSET('4. Work'!$A$1,ROW(I369)-1,COLUMN(I369)-1)="","",OFFSET('4. Work'!$A$1,ROW(I369)-1,COLUMN(I369)-1))</f>
        <v/>
      </c>
      <c r="T369" s="3" t="str">
        <f ca="1">IF(A369&lt;&gt;"",MAX('Initiative Indirect'!$T:$T)+(ROW(A369)-1),"")</f>
        <v/>
      </c>
      <c r="U369" s="3" t="str">
        <f ca="1">IF(B369&lt;&gt;"",INDEX('Initiative Indirect'!$T:$T,MATCH(B369,'Initiative Indirect'!$A:$A,0)),"")</f>
        <v/>
      </c>
      <c r="V369" s="3" t="str">
        <f ca="1">IF(C369&lt;&gt;"",INDEX('Team Indirect'!$T:$T,MATCH(C369,'Team Indirect'!$A:$A,0)),"")</f>
        <v/>
      </c>
      <c r="W369" s="3"/>
      <c r="X369" s="3"/>
      <c r="Y369" s="3" t="str">
        <f ca="1">IF($C369&lt;&gt;"",INDEX('Team Indirect'!$D:$D,MATCH($C369,'Team Indirect'!$A:$A,0)),"")</f>
        <v/>
      </c>
      <c r="Z369" s="3" t="str">
        <f ca="1">IF($C369&lt;&gt;"",INDEX('Team Indirect'!$E:$E,MATCH($C369,'Team Indirect'!$A:$A,0)),"")</f>
        <v/>
      </c>
      <c r="AA369" s="3" t="str">
        <f ca="1">IF($C369&lt;&gt;"",INDEX('Team Indirect'!$F:$F,MATCH($C369,'Team Indirect'!$A:$A,0)),"")</f>
        <v/>
      </c>
      <c r="AB369" s="3" t="str">
        <f t="shared" ca="1" si="5"/>
        <v/>
      </c>
      <c r="AC369" s="3">
        <f ca="1">IF(OR(AllocationUnits="Stories", AllocationUnits="Points"),'Work Indirect'!F369,F369/MAX('Work Indirect'!AB369,1))</f>
        <v>1</v>
      </c>
    </row>
    <row r="370" spans="1:29"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7" t="str">
        <f ca="1">IF(OFFSET('4. Work'!$A$1,ROW(D370)-1,COLUMN(D370)-1)="","",OFFSET('4. Work'!$A$1,ROW(D370)-1,COLUMN(D370)-1))</f>
        <v/>
      </c>
      <c r="E370" s="147"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I370" s="3" t="str">
        <f ca="1">IF(OFFSET('4. Work'!$A$1,ROW(I370)-1,COLUMN(I370)-1)="","",OFFSET('4. Work'!$A$1,ROW(I370)-1,COLUMN(I370)-1))</f>
        <v/>
      </c>
      <c r="T370" s="3" t="str">
        <f ca="1">IF(A370&lt;&gt;"",MAX('Initiative Indirect'!$T:$T)+(ROW(A370)-1),"")</f>
        <v/>
      </c>
      <c r="U370" s="3" t="str">
        <f ca="1">IF(B370&lt;&gt;"",INDEX('Initiative Indirect'!$T:$T,MATCH(B370,'Initiative Indirect'!$A:$A,0)),"")</f>
        <v/>
      </c>
      <c r="V370" s="3" t="str">
        <f ca="1">IF(C370&lt;&gt;"",INDEX('Team Indirect'!$T:$T,MATCH(C370,'Team Indirect'!$A:$A,0)),"")</f>
        <v/>
      </c>
      <c r="W370" s="3"/>
      <c r="X370" s="3"/>
      <c r="Y370" s="3" t="str">
        <f ca="1">IF($C370&lt;&gt;"",INDEX('Team Indirect'!$D:$D,MATCH($C370,'Team Indirect'!$A:$A,0)),"")</f>
        <v/>
      </c>
      <c r="Z370" s="3" t="str">
        <f ca="1">IF($C370&lt;&gt;"",INDEX('Team Indirect'!$E:$E,MATCH($C370,'Team Indirect'!$A:$A,0)),"")</f>
        <v/>
      </c>
      <c r="AA370" s="3" t="str">
        <f ca="1">IF($C370&lt;&gt;"",INDEX('Team Indirect'!$F:$F,MATCH($C370,'Team Indirect'!$A:$A,0)),"")</f>
        <v/>
      </c>
      <c r="AB370" s="3" t="str">
        <f t="shared" ca="1" si="5"/>
        <v/>
      </c>
      <c r="AC370" s="3">
        <f ca="1">IF(OR(AllocationUnits="Stories", AllocationUnits="Points"),'Work Indirect'!F370,F370/MAX('Work Indirect'!AB370,1))</f>
        <v>1</v>
      </c>
    </row>
    <row r="371" spans="1:29"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7" t="str">
        <f ca="1">IF(OFFSET('4. Work'!$A$1,ROW(D371)-1,COLUMN(D371)-1)="","",OFFSET('4. Work'!$A$1,ROW(D371)-1,COLUMN(D371)-1))</f>
        <v/>
      </c>
      <c r="E371" s="147"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I371" s="3" t="str">
        <f ca="1">IF(OFFSET('4. Work'!$A$1,ROW(I371)-1,COLUMN(I371)-1)="","",OFFSET('4. Work'!$A$1,ROW(I371)-1,COLUMN(I371)-1))</f>
        <v/>
      </c>
      <c r="T371" s="3" t="str">
        <f ca="1">IF(A371&lt;&gt;"",MAX('Initiative Indirect'!$T:$T)+(ROW(A371)-1),"")</f>
        <v/>
      </c>
      <c r="U371" s="3" t="str">
        <f ca="1">IF(B371&lt;&gt;"",INDEX('Initiative Indirect'!$T:$T,MATCH(B371,'Initiative Indirect'!$A:$A,0)),"")</f>
        <v/>
      </c>
      <c r="V371" s="3" t="str">
        <f ca="1">IF(C371&lt;&gt;"",INDEX('Team Indirect'!$T:$T,MATCH(C371,'Team Indirect'!$A:$A,0)),"")</f>
        <v/>
      </c>
      <c r="W371" s="3"/>
      <c r="X371" s="3"/>
      <c r="Y371" s="3" t="str">
        <f ca="1">IF($C371&lt;&gt;"",INDEX('Team Indirect'!$D:$D,MATCH($C371,'Team Indirect'!$A:$A,0)),"")</f>
        <v/>
      </c>
      <c r="Z371" s="3" t="str">
        <f ca="1">IF($C371&lt;&gt;"",INDEX('Team Indirect'!$E:$E,MATCH($C371,'Team Indirect'!$A:$A,0)),"")</f>
        <v/>
      </c>
      <c r="AA371" s="3" t="str">
        <f ca="1">IF($C371&lt;&gt;"",INDEX('Team Indirect'!$F:$F,MATCH($C371,'Team Indirect'!$A:$A,0)),"")</f>
        <v/>
      </c>
      <c r="AB371" s="3" t="str">
        <f t="shared" ca="1" si="5"/>
        <v/>
      </c>
      <c r="AC371" s="3">
        <f ca="1">IF(OR(AllocationUnits="Stories", AllocationUnits="Points"),'Work Indirect'!F371,F371/MAX('Work Indirect'!AB371,1))</f>
        <v>1</v>
      </c>
    </row>
    <row r="372" spans="1:29"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7" t="str">
        <f ca="1">IF(OFFSET('4. Work'!$A$1,ROW(D372)-1,COLUMN(D372)-1)="","",OFFSET('4. Work'!$A$1,ROW(D372)-1,COLUMN(D372)-1))</f>
        <v/>
      </c>
      <c r="E372" s="147"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I372" s="3" t="str">
        <f ca="1">IF(OFFSET('4. Work'!$A$1,ROW(I372)-1,COLUMN(I372)-1)="","",OFFSET('4. Work'!$A$1,ROW(I372)-1,COLUMN(I372)-1))</f>
        <v/>
      </c>
      <c r="T372" s="3" t="str">
        <f ca="1">IF(A372&lt;&gt;"",MAX('Initiative Indirect'!$T:$T)+(ROW(A372)-1),"")</f>
        <v/>
      </c>
      <c r="U372" s="3" t="str">
        <f ca="1">IF(B372&lt;&gt;"",INDEX('Initiative Indirect'!$T:$T,MATCH(B372,'Initiative Indirect'!$A:$A,0)),"")</f>
        <v/>
      </c>
      <c r="V372" s="3" t="str">
        <f ca="1">IF(C372&lt;&gt;"",INDEX('Team Indirect'!$T:$T,MATCH(C372,'Team Indirect'!$A:$A,0)),"")</f>
        <v/>
      </c>
      <c r="W372" s="3"/>
      <c r="X372" s="3"/>
      <c r="Y372" s="3" t="str">
        <f ca="1">IF($C372&lt;&gt;"",INDEX('Team Indirect'!$D:$D,MATCH($C372,'Team Indirect'!$A:$A,0)),"")</f>
        <v/>
      </c>
      <c r="Z372" s="3" t="str">
        <f ca="1">IF($C372&lt;&gt;"",INDEX('Team Indirect'!$E:$E,MATCH($C372,'Team Indirect'!$A:$A,0)),"")</f>
        <v/>
      </c>
      <c r="AA372" s="3" t="str">
        <f ca="1">IF($C372&lt;&gt;"",INDEX('Team Indirect'!$F:$F,MATCH($C372,'Team Indirect'!$A:$A,0)),"")</f>
        <v/>
      </c>
      <c r="AB372" s="3" t="str">
        <f t="shared" ca="1" si="5"/>
        <v/>
      </c>
      <c r="AC372" s="3">
        <f ca="1">IF(OR(AllocationUnits="Stories", AllocationUnits="Points"),'Work Indirect'!F372,F372/MAX('Work Indirect'!AB372,1))</f>
        <v>1</v>
      </c>
    </row>
    <row r="373" spans="1:29"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7" t="str">
        <f ca="1">IF(OFFSET('4. Work'!$A$1,ROW(D373)-1,COLUMN(D373)-1)="","",OFFSET('4. Work'!$A$1,ROW(D373)-1,COLUMN(D373)-1))</f>
        <v/>
      </c>
      <c r="E373" s="147"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I373" s="3" t="str">
        <f ca="1">IF(OFFSET('4. Work'!$A$1,ROW(I373)-1,COLUMN(I373)-1)="","",OFFSET('4. Work'!$A$1,ROW(I373)-1,COLUMN(I373)-1))</f>
        <v/>
      </c>
      <c r="T373" s="3" t="str">
        <f ca="1">IF(A373&lt;&gt;"",MAX('Initiative Indirect'!$T:$T)+(ROW(A373)-1),"")</f>
        <v/>
      </c>
      <c r="U373" s="3" t="str">
        <f ca="1">IF(B373&lt;&gt;"",INDEX('Initiative Indirect'!$T:$T,MATCH(B373,'Initiative Indirect'!$A:$A,0)),"")</f>
        <v/>
      </c>
      <c r="V373" s="3" t="str">
        <f ca="1">IF(C373&lt;&gt;"",INDEX('Team Indirect'!$T:$T,MATCH(C373,'Team Indirect'!$A:$A,0)),"")</f>
        <v/>
      </c>
      <c r="W373" s="3"/>
      <c r="X373" s="3"/>
      <c r="Y373" s="3" t="str">
        <f ca="1">IF($C373&lt;&gt;"",INDEX('Team Indirect'!$D:$D,MATCH($C373,'Team Indirect'!$A:$A,0)),"")</f>
        <v/>
      </c>
      <c r="Z373" s="3" t="str">
        <f ca="1">IF($C373&lt;&gt;"",INDEX('Team Indirect'!$E:$E,MATCH($C373,'Team Indirect'!$A:$A,0)),"")</f>
        <v/>
      </c>
      <c r="AA373" s="3" t="str">
        <f ca="1">IF($C373&lt;&gt;"",INDEX('Team Indirect'!$F:$F,MATCH($C373,'Team Indirect'!$A:$A,0)),"")</f>
        <v/>
      </c>
      <c r="AB373" s="3" t="str">
        <f t="shared" ca="1" si="5"/>
        <v/>
      </c>
      <c r="AC373" s="3">
        <f ca="1">IF(OR(AllocationUnits="Stories", AllocationUnits="Points"),'Work Indirect'!F373,F373/MAX('Work Indirect'!AB373,1))</f>
        <v>1</v>
      </c>
    </row>
    <row r="374" spans="1:29"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7" t="str">
        <f ca="1">IF(OFFSET('4. Work'!$A$1,ROW(D374)-1,COLUMN(D374)-1)="","",OFFSET('4. Work'!$A$1,ROW(D374)-1,COLUMN(D374)-1))</f>
        <v/>
      </c>
      <c r="E374" s="147"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I374" s="3" t="str">
        <f ca="1">IF(OFFSET('4. Work'!$A$1,ROW(I374)-1,COLUMN(I374)-1)="","",OFFSET('4. Work'!$A$1,ROW(I374)-1,COLUMN(I374)-1))</f>
        <v/>
      </c>
      <c r="T374" s="3" t="str">
        <f ca="1">IF(A374&lt;&gt;"",MAX('Initiative Indirect'!$T:$T)+(ROW(A374)-1),"")</f>
        <v/>
      </c>
      <c r="U374" s="3" t="str">
        <f ca="1">IF(B374&lt;&gt;"",INDEX('Initiative Indirect'!$T:$T,MATCH(B374,'Initiative Indirect'!$A:$A,0)),"")</f>
        <v/>
      </c>
      <c r="V374" s="3" t="str">
        <f ca="1">IF(C374&lt;&gt;"",INDEX('Team Indirect'!$T:$T,MATCH(C374,'Team Indirect'!$A:$A,0)),"")</f>
        <v/>
      </c>
      <c r="W374" s="3"/>
      <c r="X374" s="3"/>
      <c r="Y374" s="3" t="str">
        <f ca="1">IF($C374&lt;&gt;"",INDEX('Team Indirect'!$D:$D,MATCH($C374,'Team Indirect'!$A:$A,0)),"")</f>
        <v/>
      </c>
      <c r="Z374" s="3" t="str">
        <f ca="1">IF($C374&lt;&gt;"",INDEX('Team Indirect'!$E:$E,MATCH($C374,'Team Indirect'!$A:$A,0)),"")</f>
        <v/>
      </c>
      <c r="AA374" s="3" t="str">
        <f ca="1">IF($C374&lt;&gt;"",INDEX('Team Indirect'!$F:$F,MATCH($C374,'Team Indirect'!$A:$A,0)),"")</f>
        <v/>
      </c>
      <c r="AB374" s="3" t="str">
        <f t="shared" ca="1" si="5"/>
        <v/>
      </c>
      <c r="AC374" s="3">
        <f ca="1">IF(OR(AllocationUnits="Stories", AllocationUnits="Points"),'Work Indirect'!F374,F374/MAX('Work Indirect'!AB374,1))</f>
        <v>1</v>
      </c>
    </row>
    <row r="375" spans="1:29"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7" t="str">
        <f ca="1">IF(OFFSET('4. Work'!$A$1,ROW(D375)-1,COLUMN(D375)-1)="","",OFFSET('4. Work'!$A$1,ROW(D375)-1,COLUMN(D375)-1))</f>
        <v/>
      </c>
      <c r="E375" s="147"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I375" s="3" t="str">
        <f ca="1">IF(OFFSET('4. Work'!$A$1,ROW(I375)-1,COLUMN(I375)-1)="","",OFFSET('4. Work'!$A$1,ROW(I375)-1,COLUMN(I375)-1))</f>
        <v/>
      </c>
      <c r="T375" s="3" t="str">
        <f ca="1">IF(A375&lt;&gt;"",MAX('Initiative Indirect'!$T:$T)+(ROW(A375)-1),"")</f>
        <v/>
      </c>
      <c r="U375" s="3" t="str">
        <f ca="1">IF(B375&lt;&gt;"",INDEX('Initiative Indirect'!$T:$T,MATCH(B375,'Initiative Indirect'!$A:$A,0)),"")</f>
        <v/>
      </c>
      <c r="V375" s="3" t="str">
        <f ca="1">IF(C375&lt;&gt;"",INDEX('Team Indirect'!$T:$T,MATCH(C375,'Team Indirect'!$A:$A,0)),"")</f>
        <v/>
      </c>
      <c r="W375" s="3"/>
      <c r="X375" s="3"/>
      <c r="Y375" s="3" t="str">
        <f ca="1">IF($C375&lt;&gt;"",INDEX('Team Indirect'!$D:$D,MATCH($C375,'Team Indirect'!$A:$A,0)),"")</f>
        <v/>
      </c>
      <c r="Z375" s="3" t="str">
        <f ca="1">IF($C375&lt;&gt;"",INDEX('Team Indirect'!$E:$E,MATCH($C375,'Team Indirect'!$A:$A,0)),"")</f>
        <v/>
      </c>
      <c r="AA375" s="3" t="str">
        <f ca="1">IF($C375&lt;&gt;"",INDEX('Team Indirect'!$F:$F,MATCH($C375,'Team Indirect'!$A:$A,0)),"")</f>
        <v/>
      </c>
      <c r="AB375" s="3" t="str">
        <f t="shared" ca="1" si="5"/>
        <v/>
      </c>
      <c r="AC375" s="3">
        <f ca="1">IF(OR(AllocationUnits="Stories", AllocationUnits="Points"),'Work Indirect'!F375,F375/MAX('Work Indirect'!AB375,1))</f>
        <v>1</v>
      </c>
    </row>
    <row r="376" spans="1:29"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7" t="str">
        <f ca="1">IF(OFFSET('4. Work'!$A$1,ROW(D376)-1,COLUMN(D376)-1)="","",OFFSET('4. Work'!$A$1,ROW(D376)-1,COLUMN(D376)-1))</f>
        <v/>
      </c>
      <c r="E376" s="147"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I376" s="3" t="str">
        <f ca="1">IF(OFFSET('4. Work'!$A$1,ROW(I376)-1,COLUMN(I376)-1)="","",OFFSET('4. Work'!$A$1,ROW(I376)-1,COLUMN(I376)-1))</f>
        <v/>
      </c>
      <c r="T376" s="3" t="str">
        <f ca="1">IF(A376&lt;&gt;"",MAX('Initiative Indirect'!$T:$T)+(ROW(A376)-1),"")</f>
        <v/>
      </c>
      <c r="U376" s="3" t="str">
        <f ca="1">IF(B376&lt;&gt;"",INDEX('Initiative Indirect'!$T:$T,MATCH(B376,'Initiative Indirect'!$A:$A,0)),"")</f>
        <v/>
      </c>
      <c r="V376" s="3" t="str">
        <f ca="1">IF(C376&lt;&gt;"",INDEX('Team Indirect'!$T:$T,MATCH(C376,'Team Indirect'!$A:$A,0)),"")</f>
        <v/>
      </c>
      <c r="W376" s="3"/>
      <c r="X376" s="3"/>
      <c r="Y376" s="3" t="str">
        <f ca="1">IF($C376&lt;&gt;"",INDEX('Team Indirect'!$D:$D,MATCH($C376,'Team Indirect'!$A:$A,0)),"")</f>
        <v/>
      </c>
      <c r="Z376" s="3" t="str">
        <f ca="1">IF($C376&lt;&gt;"",INDEX('Team Indirect'!$E:$E,MATCH($C376,'Team Indirect'!$A:$A,0)),"")</f>
        <v/>
      </c>
      <c r="AA376" s="3" t="str">
        <f ca="1">IF($C376&lt;&gt;"",INDEX('Team Indirect'!$F:$F,MATCH($C376,'Team Indirect'!$A:$A,0)),"")</f>
        <v/>
      </c>
      <c r="AB376" s="3" t="str">
        <f t="shared" ca="1" si="5"/>
        <v/>
      </c>
      <c r="AC376" s="3">
        <f ca="1">IF(OR(AllocationUnits="Stories", AllocationUnits="Points"),'Work Indirect'!F376,F376/MAX('Work Indirect'!AB376,1))</f>
        <v>1</v>
      </c>
    </row>
    <row r="377" spans="1:29"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7" t="str">
        <f ca="1">IF(OFFSET('4. Work'!$A$1,ROW(D377)-1,COLUMN(D377)-1)="","",OFFSET('4. Work'!$A$1,ROW(D377)-1,COLUMN(D377)-1))</f>
        <v/>
      </c>
      <c r="E377" s="147"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I377" s="3" t="str">
        <f ca="1">IF(OFFSET('4. Work'!$A$1,ROW(I377)-1,COLUMN(I377)-1)="","",OFFSET('4. Work'!$A$1,ROW(I377)-1,COLUMN(I377)-1))</f>
        <v/>
      </c>
      <c r="T377" s="3" t="str">
        <f ca="1">IF(A377&lt;&gt;"",MAX('Initiative Indirect'!$T:$T)+(ROW(A377)-1),"")</f>
        <v/>
      </c>
      <c r="U377" s="3" t="str">
        <f ca="1">IF(B377&lt;&gt;"",INDEX('Initiative Indirect'!$T:$T,MATCH(B377,'Initiative Indirect'!$A:$A,0)),"")</f>
        <v/>
      </c>
      <c r="V377" s="3" t="str">
        <f ca="1">IF(C377&lt;&gt;"",INDEX('Team Indirect'!$T:$T,MATCH(C377,'Team Indirect'!$A:$A,0)),"")</f>
        <v/>
      </c>
      <c r="W377" s="3"/>
      <c r="X377" s="3"/>
      <c r="Y377" s="3" t="str">
        <f ca="1">IF($C377&lt;&gt;"",INDEX('Team Indirect'!$D:$D,MATCH($C377,'Team Indirect'!$A:$A,0)),"")</f>
        <v/>
      </c>
      <c r="Z377" s="3" t="str">
        <f ca="1">IF($C377&lt;&gt;"",INDEX('Team Indirect'!$E:$E,MATCH($C377,'Team Indirect'!$A:$A,0)),"")</f>
        <v/>
      </c>
      <c r="AA377" s="3" t="str">
        <f ca="1">IF($C377&lt;&gt;"",INDEX('Team Indirect'!$F:$F,MATCH($C377,'Team Indirect'!$A:$A,0)),"")</f>
        <v/>
      </c>
      <c r="AB377" s="3" t="str">
        <f t="shared" ca="1" si="5"/>
        <v/>
      </c>
      <c r="AC377" s="3">
        <f ca="1">IF(OR(AllocationUnits="Stories", AllocationUnits="Points"),'Work Indirect'!F377,F377/MAX('Work Indirect'!AB377,1))</f>
        <v>1</v>
      </c>
    </row>
    <row r="378" spans="1:29"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7" t="str">
        <f ca="1">IF(OFFSET('4. Work'!$A$1,ROW(D378)-1,COLUMN(D378)-1)="","",OFFSET('4. Work'!$A$1,ROW(D378)-1,COLUMN(D378)-1))</f>
        <v/>
      </c>
      <c r="E378" s="147"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I378" s="3" t="str">
        <f ca="1">IF(OFFSET('4. Work'!$A$1,ROW(I378)-1,COLUMN(I378)-1)="","",OFFSET('4. Work'!$A$1,ROW(I378)-1,COLUMN(I378)-1))</f>
        <v/>
      </c>
      <c r="T378" s="3" t="str">
        <f ca="1">IF(A378&lt;&gt;"",MAX('Initiative Indirect'!$T:$T)+(ROW(A378)-1),"")</f>
        <v/>
      </c>
      <c r="U378" s="3" t="str">
        <f ca="1">IF(B378&lt;&gt;"",INDEX('Initiative Indirect'!$T:$T,MATCH(B378,'Initiative Indirect'!$A:$A,0)),"")</f>
        <v/>
      </c>
      <c r="V378" s="3" t="str">
        <f ca="1">IF(C378&lt;&gt;"",INDEX('Team Indirect'!$T:$T,MATCH(C378,'Team Indirect'!$A:$A,0)),"")</f>
        <v/>
      </c>
      <c r="W378" s="3"/>
      <c r="X378" s="3"/>
      <c r="Y378" s="3" t="str">
        <f ca="1">IF($C378&lt;&gt;"",INDEX('Team Indirect'!$D:$D,MATCH($C378,'Team Indirect'!$A:$A,0)),"")</f>
        <v/>
      </c>
      <c r="Z378" s="3" t="str">
        <f ca="1">IF($C378&lt;&gt;"",INDEX('Team Indirect'!$E:$E,MATCH($C378,'Team Indirect'!$A:$A,0)),"")</f>
        <v/>
      </c>
      <c r="AA378" s="3" t="str">
        <f ca="1">IF($C378&lt;&gt;"",INDEX('Team Indirect'!$F:$F,MATCH($C378,'Team Indirect'!$A:$A,0)),"")</f>
        <v/>
      </c>
      <c r="AB378" s="3" t="str">
        <f t="shared" ca="1" si="5"/>
        <v/>
      </c>
      <c r="AC378" s="3">
        <f ca="1">IF(OR(AllocationUnits="Stories", AllocationUnits="Points"),'Work Indirect'!F378,F378/MAX('Work Indirect'!AB378,1))</f>
        <v>1</v>
      </c>
    </row>
    <row r="379" spans="1:29"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7" t="str">
        <f ca="1">IF(OFFSET('4. Work'!$A$1,ROW(D379)-1,COLUMN(D379)-1)="","",OFFSET('4. Work'!$A$1,ROW(D379)-1,COLUMN(D379)-1))</f>
        <v/>
      </c>
      <c r="E379" s="147"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I379" s="3" t="str">
        <f ca="1">IF(OFFSET('4. Work'!$A$1,ROW(I379)-1,COLUMN(I379)-1)="","",OFFSET('4. Work'!$A$1,ROW(I379)-1,COLUMN(I379)-1))</f>
        <v/>
      </c>
      <c r="T379" s="3" t="str">
        <f ca="1">IF(A379&lt;&gt;"",MAX('Initiative Indirect'!$T:$T)+(ROW(A379)-1),"")</f>
        <v/>
      </c>
      <c r="U379" s="3" t="str">
        <f ca="1">IF(B379&lt;&gt;"",INDEX('Initiative Indirect'!$T:$T,MATCH(B379,'Initiative Indirect'!$A:$A,0)),"")</f>
        <v/>
      </c>
      <c r="V379" s="3" t="str">
        <f ca="1">IF(C379&lt;&gt;"",INDEX('Team Indirect'!$T:$T,MATCH(C379,'Team Indirect'!$A:$A,0)),"")</f>
        <v/>
      </c>
      <c r="W379" s="3"/>
      <c r="X379" s="3"/>
      <c r="Y379" s="3" t="str">
        <f ca="1">IF($C379&lt;&gt;"",INDEX('Team Indirect'!$D:$D,MATCH($C379,'Team Indirect'!$A:$A,0)),"")</f>
        <v/>
      </c>
      <c r="Z379" s="3" t="str">
        <f ca="1">IF($C379&lt;&gt;"",INDEX('Team Indirect'!$E:$E,MATCH($C379,'Team Indirect'!$A:$A,0)),"")</f>
        <v/>
      </c>
      <c r="AA379" s="3" t="str">
        <f ca="1">IF($C379&lt;&gt;"",INDEX('Team Indirect'!$F:$F,MATCH($C379,'Team Indirect'!$A:$A,0)),"")</f>
        <v/>
      </c>
      <c r="AB379" s="3" t="str">
        <f t="shared" ca="1" si="5"/>
        <v/>
      </c>
      <c r="AC379" s="3">
        <f ca="1">IF(OR(AllocationUnits="Stories", AllocationUnits="Points"),'Work Indirect'!F379,F379/MAX('Work Indirect'!AB379,1))</f>
        <v>1</v>
      </c>
    </row>
    <row r="380" spans="1:29"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7" t="str">
        <f ca="1">IF(OFFSET('4. Work'!$A$1,ROW(D380)-1,COLUMN(D380)-1)="","",OFFSET('4. Work'!$A$1,ROW(D380)-1,COLUMN(D380)-1))</f>
        <v/>
      </c>
      <c r="E380" s="147"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I380" s="3" t="str">
        <f ca="1">IF(OFFSET('4. Work'!$A$1,ROW(I380)-1,COLUMN(I380)-1)="","",OFFSET('4. Work'!$A$1,ROW(I380)-1,COLUMN(I380)-1))</f>
        <v/>
      </c>
      <c r="T380" s="3" t="str">
        <f ca="1">IF(A380&lt;&gt;"",MAX('Initiative Indirect'!$T:$T)+(ROW(A380)-1),"")</f>
        <v/>
      </c>
      <c r="U380" s="3" t="str">
        <f ca="1">IF(B380&lt;&gt;"",INDEX('Initiative Indirect'!$T:$T,MATCH(B380,'Initiative Indirect'!$A:$A,0)),"")</f>
        <v/>
      </c>
      <c r="V380" s="3" t="str">
        <f ca="1">IF(C380&lt;&gt;"",INDEX('Team Indirect'!$T:$T,MATCH(C380,'Team Indirect'!$A:$A,0)),"")</f>
        <v/>
      </c>
      <c r="W380" s="3"/>
      <c r="X380" s="3"/>
      <c r="Y380" s="3" t="str">
        <f ca="1">IF($C380&lt;&gt;"",INDEX('Team Indirect'!$D:$D,MATCH($C380,'Team Indirect'!$A:$A,0)),"")</f>
        <v/>
      </c>
      <c r="Z380" s="3" t="str">
        <f ca="1">IF($C380&lt;&gt;"",INDEX('Team Indirect'!$E:$E,MATCH($C380,'Team Indirect'!$A:$A,0)),"")</f>
        <v/>
      </c>
      <c r="AA380" s="3" t="str">
        <f ca="1">IF($C380&lt;&gt;"",INDEX('Team Indirect'!$F:$F,MATCH($C380,'Team Indirect'!$A:$A,0)),"")</f>
        <v/>
      </c>
      <c r="AB380" s="3" t="str">
        <f t="shared" ca="1" si="5"/>
        <v/>
      </c>
      <c r="AC380" s="3">
        <f ca="1">IF(OR(AllocationUnits="Stories", AllocationUnits="Points"),'Work Indirect'!F380,F380/MAX('Work Indirect'!AB380,1))</f>
        <v>1</v>
      </c>
    </row>
    <row r="381" spans="1:29"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7" t="str">
        <f ca="1">IF(OFFSET('4. Work'!$A$1,ROW(D381)-1,COLUMN(D381)-1)="","",OFFSET('4. Work'!$A$1,ROW(D381)-1,COLUMN(D381)-1))</f>
        <v/>
      </c>
      <c r="E381" s="147"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I381" s="3" t="str">
        <f ca="1">IF(OFFSET('4. Work'!$A$1,ROW(I381)-1,COLUMN(I381)-1)="","",OFFSET('4. Work'!$A$1,ROW(I381)-1,COLUMN(I381)-1))</f>
        <v/>
      </c>
      <c r="T381" s="3" t="str">
        <f ca="1">IF(A381&lt;&gt;"",MAX('Initiative Indirect'!$T:$T)+(ROW(A381)-1),"")</f>
        <v/>
      </c>
      <c r="U381" s="3" t="str">
        <f ca="1">IF(B381&lt;&gt;"",INDEX('Initiative Indirect'!$T:$T,MATCH(B381,'Initiative Indirect'!$A:$A,0)),"")</f>
        <v/>
      </c>
      <c r="V381" s="3" t="str">
        <f ca="1">IF(C381&lt;&gt;"",INDEX('Team Indirect'!$T:$T,MATCH(C381,'Team Indirect'!$A:$A,0)),"")</f>
        <v/>
      </c>
      <c r="W381" s="3"/>
      <c r="X381" s="3"/>
      <c r="Y381" s="3" t="str">
        <f ca="1">IF($C381&lt;&gt;"",INDEX('Team Indirect'!$D:$D,MATCH($C381,'Team Indirect'!$A:$A,0)),"")</f>
        <v/>
      </c>
      <c r="Z381" s="3" t="str">
        <f ca="1">IF($C381&lt;&gt;"",INDEX('Team Indirect'!$E:$E,MATCH($C381,'Team Indirect'!$A:$A,0)),"")</f>
        <v/>
      </c>
      <c r="AA381" s="3" t="str">
        <f ca="1">IF($C381&lt;&gt;"",INDEX('Team Indirect'!$F:$F,MATCH($C381,'Team Indirect'!$A:$A,0)),"")</f>
        <v/>
      </c>
      <c r="AB381" s="3" t="str">
        <f t="shared" ca="1" si="5"/>
        <v/>
      </c>
      <c r="AC381" s="3">
        <f ca="1">IF(OR(AllocationUnits="Stories", AllocationUnits="Points"),'Work Indirect'!F381,F381/MAX('Work Indirect'!AB381,1))</f>
        <v>1</v>
      </c>
    </row>
    <row r="382" spans="1:29"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7" t="str">
        <f ca="1">IF(OFFSET('4. Work'!$A$1,ROW(D382)-1,COLUMN(D382)-1)="","",OFFSET('4. Work'!$A$1,ROW(D382)-1,COLUMN(D382)-1))</f>
        <v/>
      </c>
      <c r="E382" s="147"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I382" s="3" t="str">
        <f ca="1">IF(OFFSET('4. Work'!$A$1,ROW(I382)-1,COLUMN(I382)-1)="","",OFFSET('4. Work'!$A$1,ROW(I382)-1,COLUMN(I382)-1))</f>
        <v/>
      </c>
      <c r="T382" s="3" t="str">
        <f ca="1">IF(A382&lt;&gt;"",MAX('Initiative Indirect'!$T:$T)+(ROW(A382)-1),"")</f>
        <v/>
      </c>
      <c r="U382" s="3" t="str">
        <f ca="1">IF(B382&lt;&gt;"",INDEX('Initiative Indirect'!$T:$T,MATCH(B382,'Initiative Indirect'!$A:$A,0)),"")</f>
        <v/>
      </c>
      <c r="V382" s="3" t="str">
        <f ca="1">IF(C382&lt;&gt;"",INDEX('Team Indirect'!$T:$T,MATCH(C382,'Team Indirect'!$A:$A,0)),"")</f>
        <v/>
      </c>
      <c r="W382" s="3"/>
      <c r="X382" s="3"/>
      <c r="Y382" s="3" t="str">
        <f ca="1">IF($C382&lt;&gt;"",INDEX('Team Indirect'!$D:$D,MATCH($C382,'Team Indirect'!$A:$A,0)),"")</f>
        <v/>
      </c>
      <c r="Z382" s="3" t="str">
        <f ca="1">IF($C382&lt;&gt;"",INDEX('Team Indirect'!$E:$E,MATCH($C382,'Team Indirect'!$A:$A,0)),"")</f>
        <v/>
      </c>
      <c r="AA382" s="3" t="str">
        <f ca="1">IF($C382&lt;&gt;"",INDEX('Team Indirect'!$F:$F,MATCH($C382,'Team Indirect'!$A:$A,0)),"")</f>
        <v/>
      </c>
      <c r="AB382" s="3" t="str">
        <f t="shared" ca="1" si="5"/>
        <v/>
      </c>
      <c r="AC382" s="3">
        <f ca="1">IF(OR(AllocationUnits="Stories", AllocationUnits="Points"),'Work Indirect'!F382,F382/MAX('Work Indirect'!AB382,1))</f>
        <v>1</v>
      </c>
    </row>
    <row r="383" spans="1:29"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7" t="str">
        <f ca="1">IF(OFFSET('4. Work'!$A$1,ROW(D383)-1,COLUMN(D383)-1)="","",OFFSET('4. Work'!$A$1,ROW(D383)-1,COLUMN(D383)-1))</f>
        <v/>
      </c>
      <c r="E383" s="147"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I383" s="3" t="str">
        <f ca="1">IF(OFFSET('4. Work'!$A$1,ROW(I383)-1,COLUMN(I383)-1)="","",OFFSET('4. Work'!$A$1,ROW(I383)-1,COLUMN(I383)-1))</f>
        <v/>
      </c>
      <c r="T383" s="3" t="str">
        <f ca="1">IF(A383&lt;&gt;"",MAX('Initiative Indirect'!$T:$T)+(ROW(A383)-1),"")</f>
        <v/>
      </c>
      <c r="U383" s="3" t="str">
        <f ca="1">IF(B383&lt;&gt;"",INDEX('Initiative Indirect'!$T:$T,MATCH(B383,'Initiative Indirect'!$A:$A,0)),"")</f>
        <v/>
      </c>
      <c r="V383" s="3" t="str">
        <f ca="1">IF(C383&lt;&gt;"",INDEX('Team Indirect'!$T:$T,MATCH(C383,'Team Indirect'!$A:$A,0)),"")</f>
        <v/>
      </c>
      <c r="W383" s="3"/>
      <c r="X383" s="3"/>
      <c r="Y383" s="3" t="str">
        <f ca="1">IF($C383&lt;&gt;"",INDEX('Team Indirect'!$D:$D,MATCH($C383,'Team Indirect'!$A:$A,0)),"")</f>
        <v/>
      </c>
      <c r="Z383" s="3" t="str">
        <f ca="1">IF($C383&lt;&gt;"",INDEX('Team Indirect'!$E:$E,MATCH($C383,'Team Indirect'!$A:$A,0)),"")</f>
        <v/>
      </c>
      <c r="AA383" s="3" t="str">
        <f ca="1">IF($C383&lt;&gt;"",INDEX('Team Indirect'!$F:$F,MATCH($C383,'Team Indirect'!$A:$A,0)),"")</f>
        <v/>
      </c>
      <c r="AB383" s="3" t="str">
        <f t="shared" ca="1" si="5"/>
        <v/>
      </c>
      <c r="AC383" s="3">
        <f ca="1">IF(OR(AllocationUnits="Stories", AllocationUnits="Points"),'Work Indirect'!F383,F383/MAX('Work Indirect'!AB383,1))</f>
        <v>1</v>
      </c>
    </row>
    <row r="384" spans="1:29"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7" t="str">
        <f ca="1">IF(OFFSET('4. Work'!$A$1,ROW(D384)-1,COLUMN(D384)-1)="","",OFFSET('4. Work'!$A$1,ROW(D384)-1,COLUMN(D384)-1))</f>
        <v/>
      </c>
      <c r="E384" s="147"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I384" s="3" t="str">
        <f ca="1">IF(OFFSET('4. Work'!$A$1,ROW(I384)-1,COLUMN(I384)-1)="","",OFFSET('4. Work'!$A$1,ROW(I384)-1,COLUMN(I384)-1))</f>
        <v/>
      </c>
      <c r="T384" s="3" t="str">
        <f ca="1">IF(A384&lt;&gt;"",MAX('Initiative Indirect'!$T:$T)+(ROW(A384)-1),"")</f>
        <v/>
      </c>
      <c r="U384" s="3" t="str">
        <f ca="1">IF(B384&lt;&gt;"",INDEX('Initiative Indirect'!$T:$T,MATCH(B384,'Initiative Indirect'!$A:$A,0)),"")</f>
        <v/>
      </c>
      <c r="V384" s="3" t="str">
        <f ca="1">IF(C384&lt;&gt;"",INDEX('Team Indirect'!$T:$T,MATCH(C384,'Team Indirect'!$A:$A,0)),"")</f>
        <v/>
      </c>
      <c r="W384" s="3"/>
      <c r="X384" s="3"/>
      <c r="Y384" s="3" t="str">
        <f ca="1">IF($C384&lt;&gt;"",INDEX('Team Indirect'!$D:$D,MATCH($C384,'Team Indirect'!$A:$A,0)),"")</f>
        <v/>
      </c>
      <c r="Z384" s="3" t="str">
        <f ca="1">IF($C384&lt;&gt;"",INDEX('Team Indirect'!$E:$E,MATCH($C384,'Team Indirect'!$A:$A,0)),"")</f>
        <v/>
      </c>
      <c r="AA384" s="3" t="str">
        <f ca="1">IF($C384&lt;&gt;"",INDEX('Team Indirect'!$F:$F,MATCH($C384,'Team Indirect'!$A:$A,0)),"")</f>
        <v/>
      </c>
      <c r="AB384" s="3" t="str">
        <f t="shared" ca="1" si="5"/>
        <v/>
      </c>
      <c r="AC384" s="3">
        <f ca="1">IF(OR(AllocationUnits="Stories", AllocationUnits="Points"),'Work Indirect'!F384,F384/MAX('Work Indirect'!AB384,1))</f>
        <v>1</v>
      </c>
    </row>
    <row r="385" spans="1:29"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7" t="str">
        <f ca="1">IF(OFFSET('4. Work'!$A$1,ROW(D385)-1,COLUMN(D385)-1)="","",OFFSET('4. Work'!$A$1,ROW(D385)-1,COLUMN(D385)-1))</f>
        <v/>
      </c>
      <c r="E385" s="147"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I385" s="3" t="str">
        <f ca="1">IF(OFFSET('4. Work'!$A$1,ROW(I385)-1,COLUMN(I385)-1)="","",OFFSET('4. Work'!$A$1,ROW(I385)-1,COLUMN(I385)-1))</f>
        <v/>
      </c>
      <c r="T385" s="3" t="str">
        <f ca="1">IF(A385&lt;&gt;"",MAX('Initiative Indirect'!$T:$T)+(ROW(A385)-1),"")</f>
        <v/>
      </c>
      <c r="U385" s="3" t="str">
        <f ca="1">IF(B385&lt;&gt;"",INDEX('Initiative Indirect'!$T:$T,MATCH(B385,'Initiative Indirect'!$A:$A,0)),"")</f>
        <v/>
      </c>
      <c r="V385" s="3" t="str">
        <f ca="1">IF(C385&lt;&gt;"",INDEX('Team Indirect'!$T:$T,MATCH(C385,'Team Indirect'!$A:$A,0)),"")</f>
        <v/>
      </c>
      <c r="W385" s="3"/>
      <c r="X385" s="3"/>
      <c r="Y385" s="3" t="str">
        <f ca="1">IF($C385&lt;&gt;"",INDEX('Team Indirect'!$D:$D,MATCH($C385,'Team Indirect'!$A:$A,0)),"")</f>
        <v/>
      </c>
      <c r="Z385" s="3" t="str">
        <f ca="1">IF($C385&lt;&gt;"",INDEX('Team Indirect'!$E:$E,MATCH($C385,'Team Indirect'!$A:$A,0)),"")</f>
        <v/>
      </c>
      <c r="AA385" s="3" t="str">
        <f ca="1">IF($C385&lt;&gt;"",INDEX('Team Indirect'!$F:$F,MATCH($C385,'Team Indirect'!$A:$A,0)),"")</f>
        <v/>
      </c>
      <c r="AB385" s="3" t="str">
        <f t="shared" ca="1" si="5"/>
        <v/>
      </c>
      <c r="AC385" s="3">
        <f ca="1">IF(OR(AllocationUnits="Stories", AllocationUnits="Points"),'Work Indirect'!F385,F385/MAX('Work Indirect'!AB385,1))</f>
        <v>1</v>
      </c>
    </row>
    <row r="386" spans="1:29"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7" t="str">
        <f ca="1">IF(OFFSET('4. Work'!$A$1,ROW(D386)-1,COLUMN(D386)-1)="","",OFFSET('4. Work'!$A$1,ROW(D386)-1,COLUMN(D386)-1))</f>
        <v/>
      </c>
      <c r="E386" s="147"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I386" s="3" t="str">
        <f ca="1">IF(OFFSET('4. Work'!$A$1,ROW(I386)-1,COLUMN(I386)-1)="","",OFFSET('4. Work'!$A$1,ROW(I386)-1,COLUMN(I386)-1))</f>
        <v/>
      </c>
      <c r="T386" s="3" t="str">
        <f ca="1">IF(A386&lt;&gt;"",MAX('Initiative Indirect'!$T:$T)+(ROW(A386)-1),"")</f>
        <v/>
      </c>
      <c r="U386" s="3" t="str">
        <f ca="1">IF(B386&lt;&gt;"",INDEX('Initiative Indirect'!$T:$T,MATCH(B386,'Initiative Indirect'!$A:$A,0)),"")</f>
        <v/>
      </c>
      <c r="V386" s="3" t="str">
        <f ca="1">IF(C386&lt;&gt;"",INDEX('Team Indirect'!$T:$T,MATCH(C386,'Team Indirect'!$A:$A,0)),"")</f>
        <v/>
      </c>
      <c r="W386" s="3"/>
      <c r="X386" s="3"/>
      <c r="Y386" s="3" t="str">
        <f ca="1">IF($C386&lt;&gt;"",INDEX('Team Indirect'!$D:$D,MATCH($C386,'Team Indirect'!$A:$A,0)),"")</f>
        <v/>
      </c>
      <c r="Z386" s="3" t="str">
        <f ca="1">IF($C386&lt;&gt;"",INDEX('Team Indirect'!$E:$E,MATCH($C386,'Team Indirect'!$A:$A,0)),"")</f>
        <v/>
      </c>
      <c r="AA386" s="3" t="str">
        <f ca="1">IF($C386&lt;&gt;"",INDEX('Team Indirect'!$F:$F,MATCH($C386,'Team Indirect'!$A:$A,0)),"")</f>
        <v/>
      </c>
      <c r="AB386" s="3" t="str">
        <f t="shared" ref="AB386:AB449" ca="1" si="6">IF(AND(Y386&lt;&gt;"",Z386&lt;&gt;""),Y386+((Z386-Y386)*(1-MAX(0,AA386))*(1-Probability)),"")</f>
        <v/>
      </c>
      <c r="AC386" s="3">
        <f ca="1">IF(OR(AllocationUnits="Stories", AllocationUnits="Points"),'Work Indirect'!F386,F386/MAX('Work Indirect'!AB386,1))</f>
        <v>1</v>
      </c>
    </row>
    <row r="387" spans="1:29"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7" t="str">
        <f ca="1">IF(OFFSET('4. Work'!$A$1,ROW(D387)-1,COLUMN(D387)-1)="","",OFFSET('4. Work'!$A$1,ROW(D387)-1,COLUMN(D387)-1))</f>
        <v/>
      </c>
      <c r="E387" s="147"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I387" s="3" t="str">
        <f ca="1">IF(OFFSET('4. Work'!$A$1,ROW(I387)-1,COLUMN(I387)-1)="","",OFFSET('4. Work'!$A$1,ROW(I387)-1,COLUMN(I387)-1))</f>
        <v/>
      </c>
      <c r="T387" s="3" t="str">
        <f ca="1">IF(A387&lt;&gt;"",MAX('Initiative Indirect'!$T:$T)+(ROW(A387)-1),"")</f>
        <v/>
      </c>
      <c r="U387" s="3" t="str">
        <f ca="1">IF(B387&lt;&gt;"",INDEX('Initiative Indirect'!$T:$T,MATCH(B387,'Initiative Indirect'!$A:$A,0)),"")</f>
        <v/>
      </c>
      <c r="V387" s="3" t="str">
        <f ca="1">IF(C387&lt;&gt;"",INDEX('Team Indirect'!$T:$T,MATCH(C387,'Team Indirect'!$A:$A,0)),"")</f>
        <v/>
      </c>
      <c r="W387" s="3"/>
      <c r="X387" s="3"/>
      <c r="Y387" s="3" t="str">
        <f ca="1">IF($C387&lt;&gt;"",INDEX('Team Indirect'!$D:$D,MATCH($C387,'Team Indirect'!$A:$A,0)),"")</f>
        <v/>
      </c>
      <c r="Z387" s="3" t="str">
        <f ca="1">IF($C387&lt;&gt;"",INDEX('Team Indirect'!$E:$E,MATCH($C387,'Team Indirect'!$A:$A,0)),"")</f>
        <v/>
      </c>
      <c r="AA387" s="3" t="str">
        <f ca="1">IF($C387&lt;&gt;"",INDEX('Team Indirect'!$F:$F,MATCH($C387,'Team Indirect'!$A:$A,0)),"")</f>
        <v/>
      </c>
      <c r="AB387" s="3" t="str">
        <f t="shared" ca="1" si="6"/>
        <v/>
      </c>
      <c r="AC387" s="3">
        <f ca="1">IF(OR(AllocationUnits="Stories", AllocationUnits="Points"),'Work Indirect'!F387,F387/MAX('Work Indirect'!AB387,1))</f>
        <v>1</v>
      </c>
    </row>
    <row r="388" spans="1:29"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7" t="str">
        <f ca="1">IF(OFFSET('4. Work'!$A$1,ROW(D388)-1,COLUMN(D388)-1)="","",OFFSET('4. Work'!$A$1,ROW(D388)-1,COLUMN(D388)-1))</f>
        <v/>
      </c>
      <c r="E388" s="147"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I388" s="3" t="str">
        <f ca="1">IF(OFFSET('4. Work'!$A$1,ROW(I388)-1,COLUMN(I388)-1)="","",OFFSET('4. Work'!$A$1,ROW(I388)-1,COLUMN(I388)-1))</f>
        <v/>
      </c>
      <c r="T388" s="3" t="str">
        <f ca="1">IF(A388&lt;&gt;"",MAX('Initiative Indirect'!$T:$T)+(ROW(A388)-1),"")</f>
        <v/>
      </c>
      <c r="U388" s="3" t="str">
        <f ca="1">IF(B388&lt;&gt;"",INDEX('Initiative Indirect'!$T:$T,MATCH(B388,'Initiative Indirect'!$A:$A,0)),"")</f>
        <v/>
      </c>
      <c r="V388" s="3" t="str">
        <f ca="1">IF(C388&lt;&gt;"",INDEX('Team Indirect'!$T:$T,MATCH(C388,'Team Indirect'!$A:$A,0)),"")</f>
        <v/>
      </c>
      <c r="W388" s="3"/>
      <c r="X388" s="3"/>
      <c r="Y388" s="3" t="str">
        <f ca="1">IF($C388&lt;&gt;"",INDEX('Team Indirect'!$D:$D,MATCH($C388,'Team Indirect'!$A:$A,0)),"")</f>
        <v/>
      </c>
      <c r="Z388" s="3" t="str">
        <f ca="1">IF($C388&lt;&gt;"",INDEX('Team Indirect'!$E:$E,MATCH($C388,'Team Indirect'!$A:$A,0)),"")</f>
        <v/>
      </c>
      <c r="AA388" s="3" t="str">
        <f ca="1">IF($C388&lt;&gt;"",INDEX('Team Indirect'!$F:$F,MATCH($C388,'Team Indirect'!$A:$A,0)),"")</f>
        <v/>
      </c>
      <c r="AB388" s="3" t="str">
        <f t="shared" ca="1" si="6"/>
        <v/>
      </c>
      <c r="AC388" s="3">
        <f ca="1">IF(OR(AllocationUnits="Stories", AllocationUnits="Points"),'Work Indirect'!F388,F388/MAX('Work Indirect'!AB388,1))</f>
        <v>1</v>
      </c>
    </row>
    <row r="389" spans="1:29"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7" t="str">
        <f ca="1">IF(OFFSET('4. Work'!$A$1,ROW(D389)-1,COLUMN(D389)-1)="","",OFFSET('4. Work'!$A$1,ROW(D389)-1,COLUMN(D389)-1))</f>
        <v/>
      </c>
      <c r="E389" s="147"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I389" s="3" t="str">
        <f ca="1">IF(OFFSET('4. Work'!$A$1,ROW(I389)-1,COLUMN(I389)-1)="","",OFFSET('4. Work'!$A$1,ROW(I389)-1,COLUMN(I389)-1))</f>
        <v/>
      </c>
      <c r="T389" s="3" t="str">
        <f ca="1">IF(A389&lt;&gt;"",MAX('Initiative Indirect'!$T:$T)+(ROW(A389)-1),"")</f>
        <v/>
      </c>
      <c r="U389" s="3" t="str">
        <f ca="1">IF(B389&lt;&gt;"",INDEX('Initiative Indirect'!$T:$T,MATCH(B389,'Initiative Indirect'!$A:$A,0)),"")</f>
        <v/>
      </c>
      <c r="V389" s="3" t="str">
        <f ca="1">IF(C389&lt;&gt;"",INDEX('Team Indirect'!$T:$T,MATCH(C389,'Team Indirect'!$A:$A,0)),"")</f>
        <v/>
      </c>
      <c r="W389" s="3"/>
      <c r="X389" s="3"/>
      <c r="Y389" s="3" t="str">
        <f ca="1">IF($C389&lt;&gt;"",INDEX('Team Indirect'!$D:$D,MATCH($C389,'Team Indirect'!$A:$A,0)),"")</f>
        <v/>
      </c>
      <c r="Z389" s="3" t="str">
        <f ca="1">IF($C389&lt;&gt;"",INDEX('Team Indirect'!$E:$E,MATCH($C389,'Team Indirect'!$A:$A,0)),"")</f>
        <v/>
      </c>
      <c r="AA389" s="3" t="str">
        <f ca="1">IF($C389&lt;&gt;"",INDEX('Team Indirect'!$F:$F,MATCH($C389,'Team Indirect'!$A:$A,0)),"")</f>
        <v/>
      </c>
      <c r="AB389" s="3" t="str">
        <f t="shared" ca="1" si="6"/>
        <v/>
      </c>
      <c r="AC389" s="3">
        <f ca="1">IF(OR(AllocationUnits="Stories", AllocationUnits="Points"),'Work Indirect'!F389,F389/MAX('Work Indirect'!AB389,1))</f>
        <v>1</v>
      </c>
    </row>
    <row r="390" spans="1:29"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7" t="str">
        <f ca="1">IF(OFFSET('4. Work'!$A$1,ROW(D390)-1,COLUMN(D390)-1)="","",OFFSET('4. Work'!$A$1,ROW(D390)-1,COLUMN(D390)-1))</f>
        <v/>
      </c>
      <c r="E390" s="147"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I390" s="3" t="str">
        <f ca="1">IF(OFFSET('4. Work'!$A$1,ROW(I390)-1,COLUMN(I390)-1)="","",OFFSET('4. Work'!$A$1,ROW(I390)-1,COLUMN(I390)-1))</f>
        <v/>
      </c>
      <c r="T390" s="3" t="str">
        <f ca="1">IF(A390&lt;&gt;"",MAX('Initiative Indirect'!$T:$T)+(ROW(A390)-1),"")</f>
        <v/>
      </c>
      <c r="U390" s="3" t="str">
        <f ca="1">IF(B390&lt;&gt;"",INDEX('Initiative Indirect'!$T:$T,MATCH(B390,'Initiative Indirect'!$A:$A,0)),"")</f>
        <v/>
      </c>
      <c r="V390" s="3" t="str">
        <f ca="1">IF(C390&lt;&gt;"",INDEX('Team Indirect'!$T:$T,MATCH(C390,'Team Indirect'!$A:$A,0)),"")</f>
        <v/>
      </c>
      <c r="W390" s="3"/>
      <c r="X390" s="3"/>
      <c r="Y390" s="3" t="str">
        <f ca="1">IF($C390&lt;&gt;"",INDEX('Team Indirect'!$D:$D,MATCH($C390,'Team Indirect'!$A:$A,0)),"")</f>
        <v/>
      </c>
      <c r="Z390" s="3" t="str">
        <f ca="1">IF($C390&lt;&gt;"",INDEX('Team Indirect'!$E:$E,MATCH($C390,'Team Indirect'!$A:$A,0)),"")</f>
        <v/>
      </c>
      <c r="AA390" s="3" t="str">
        <f ca="1">IF($C390&lt;&gt;"",INDEX('Team Indirect'!$F:$F,MATCH($C390,'Team Indirect'!$A:$A,0)),"")</f>
        <v/>
      </c>
      <c r="AB390" s="3" t="str">
        <f t="shared" ca="1" si="6"/>
        <v/>
      </c>
      <c r="AC390" s="3">
        <f ca="1">IF(OR(AllocationUnits="Stories", AllocationUnits="Points"),'Work Indirect'!F390,F390/MAX('Work Indirect'!AB390,1))</f>
        <v>1</v>
      </c>
    </row>
    <row r="391" spans="1:29"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7" t="str">
        <f ca="1">IF(OFFSET('4. Work'!$A$1,ROW(D391)-1,COLUMN(D391)-1)="","",OFFSET('4. Work'!$A$1,ROW(D391)-1,COLUMN(D391)-1))</f>
        <v/>
      </c>
      <c r="E391" s="147"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I391" s="3" t="str">
        <f ca="1">IF(OFFSET('4. Work'!$A$1,ROW(I391)-1,COLUMN(I391)-1)="","",OFFSET('4. Work'!$A$1,ROW(I391)-1,COLUMN(I391)-1))</f>
        <v/>
      </c>
      <c r="T391" s="3" t="str">
        <f ca="1">IF(A391&lt;&gt;"",MAX('Initiative Indirect'!$T:$T)+(ROW(A391)-1),"")</f>
        <v/>
      </c>
      <c r="U391" s="3" t="str">
        <f ca="1">IF(B391&lt;&gt;"",INDEX('Initiative Indirect'!$T:$T,MATCH(B391,'Initiative Indirect'!$A:$A,0)),"")</f>
        <v/>
      </c>
      <c r="V391" s="3" t="str">
        <f ca="1">IF(C391&lt;&gt;"",INDEX('Team Indirect'!$T:$T,MATCH(C391,'Team Indirect'!$A:$A,0)),"")</f>
        <v/>
      </c>
      <c r="W391" s="3"/>
      <c r="X391" s="3"/>
      <c r="Y391" s="3" t="str">
        <f ca="1">IF($C391&lt;&gt;"",INDEX('Team Indirect'!$D:$D,MATCH($C391,'Team Indirect'!$A:$A,0)),"")</f>
        <v/>
      </c>
      <c r="Z391" s="3" t="str">
        <f ca="1">IF($C391&lt;&gt;"",INDEX('Team Indirect'!$E:$E,MATCH($C391,'Team Indirect'!$A:$A,0)),"")</f>
        <v/>
      </c>
      <c r="AA391" s="3" t="str">
        <f ca="1">IF($C391&lt;&gt;"",INDEX('Team Indirect'!$F:$F,MATCH($C391,'Team Indirect'!$A:$A,0)),"")</f>
        <v/>
      </c>
      <c r="AB391" s="3" t="str">
        <f t="shared" ca="1" si="6"/>
        <v/>
      </c>
      <c r="AC391" s="3">
        <f ca="1">IF(OR(AllocationUnits="Stories", AllocationUnits="Points"),'Work Indirect'!F391,F391/MAX('Work Indirect'!AB391,1))</f>
        <v>1</v>
      </c>
    </row>
    <row r="392" spans="1:29"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7" t="str">
        <f ca="1">IF(OFFSET('4. Work'!$A$1,ROW(D392)-1,COLUMN(D392)-1)="","",OFFSET('4. Work'!$A$1,ROW(D392)-1,COLUMN(D392)-1))</f>
        <v/>
      </c>
      <c r="E392" s="147"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I392" s="3" t="str">
        <f ca="1">IF(OFFSET('4. Work'!$A$1,ROW(I392)-1,COLUMN(I392)-1)="","",OFFSET('4. Work'!$A$1,ROW(I392)-1,COLUMN(I392)-1))</f>
        <v/>
      </c>
      <c r="T392" s="3" t="str">
        <f ca="1">IF(A392&lt;&gt;"",MAX('Initiative Indirect'!$T:$T)+(ROW(A392)-1),"")</f>
        <v/>
      </c>
      <c r="U392" s="3" t="str">
        <f ca="1">IF(B392&lt;&gt;"",INDEX('Initiative Indirect'!$T:$T,MATCH(B392,'Initiative Indirect'!$A:$A,0)),"")</f>
        <v/>
      </c>
      <c r="V392" s="3" t="str">
        <f ca="1">IF(C392&lt;&gt;"",INDEX('Team Indirect'!$T:$T,MATCH(C392,'Team Indirect'!$A:$A,0)),"")</f>
        <v/>
      </c>
      <c r="W392" s="3"/>
      <c r="X392" s="3"/>
      <c r="Y392" s="3" t="str">
        <f ca="1">IF($C392&lt;&gt;"",INDEX('Team Indirect'!$D:$D,MATCH($C392,'Team Indirect'!$A:$A,0)),"")</f>
        <v/>
      </c>
      <c r="Z392" s="3" t="str">
        <f ca="1">IF($C392&lt;&gt;"",INDEX('Team Indirect'!$E:$E,MATCH($C392,'Team Indirect'!$A:$A,0)),"")</f>
        <v/>
      </c>
      <c r="AA392" s="3" t="str">
        <f ca="1">IF($C392&lt;&gt;"",INDEX('Team Indirect'!$F:$F,MATCH($C392,'Team Indirect'!$A:$A,0)),"")</f>
        <v/>
      </c>
      <c r="AB392" s="3" t="str">
        <f t="shared" ca="1" si="6"/>
        <v/>
      </c>
      <c r="AC392" s="3">
        <f ca="1">IF(OR(AllocationUnits="Stories", AllocationUnits="Points"),'Work Indirect'!F392,F392/MAX('Work Indirect'!AB392,1))</f>
        <v>1</v>
      </c>
    </row>
    <row r="393" spans="1:29"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7" t="str">
        <f ca="1">IF(OFFSET('4. Work'!$A$1,ROW(D393)-1,COLUMN(D393)-1)="","",OFFSET('4. Work'!$A$1,ROW(D393)-1,COLUMN(D393)-1))</f>
        <v/>
      </c>
      <c r="E393" s="147"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I393" s="3" t="str">
        <f ca="1">IF(OFFSET('4. Work'!$A$1,ROW(I393)-1,COLUMN(I393)-1)="","",OFFSET('4. Work'!$A$1,ROW(I393)-1,COLUMN(I393)-1))</f>
        <v/>
      </c>
      <c r="T393" s="3" t="str">
        <f ca="1">IF(A393&lt;&gt;"",MAX('Initiative Indirect'!$T:$T)+(ROW(A393)-1),"")</f>
        <v/>
      </c>
      <c r="U393" s="3" t="str">
        <f ca="1">IF(B393&lt;&gt;"",INDEX('Initiative Indirect'!$T:$T,MATCH(B393,'Initiative Indirect'!$A:$A,0)),"")</f>
        <v/>
      </c>
      <c r="V393" s="3" t="str">
        <f ca="1">IF(C393&lt;&gt;"",INDEX('Team Indirect'!$T:$T,MATCH(C393,'Team Indirect'!$A:$A,0)),"")</f>
        <v/>
      </c>
      <c r="W393" s="3"/>
      <c r="X393" s="3"/>
      <c r="Y393" s="3" t="str">
        <f ca="1">IF($C393&lt;&gt;"",INDEX('Team Indirect'!$D:$D,MATCH($C393,'Team Indirect'!$A:$A,0)),"")</f>
        <v/>
      </c>
      <c r="Z393" s="3" t="str">
        <f ca="1">IF($C393&lt;&gt;"",INDEX('Team Indirect'!$E:$E,MATCH($C393,'Team Indirect'!$A:$A,0)),"")</f>
        <v/>
      </c>
      <c r="AA393" s="3" t="str">
        <f ca="1">IF($C393&lt;&gt;"",INDEX('Team Indirect'!$F:$F,MATCH($C393,'Team Indirect'!$A:$A,0)),"")</f>
        <v/>
      </c>
      <c r="AB393" s="3" t="str">
        <f t="shared" ca="1" si="6"/>
        <v/>
      </c>
      <c r="AC393" s="3">
        <f ca="1">IF(OR(AllocationUnits="Stories", AllocationUnits="Points"),'Work Indirect'!F393,F393/MAX('Work Indirect'!AB393,1))</f>
        <v>1</v>
      </c>
    </row>
    <row r="394" spans="1:29"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7" t="str">
        <f ca="1">IF(OFFSET('4. Work'!$A$1,ROW(D394)-1,COLUMN(D394)-1)="","",OFFSET('4. Work'!$A$1,ROW(D394)-1,COLUMN(D394)-1))</f>
        <v/>
      </c>
      <c r="E394" s="147"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I394" s="3" t="str">
        <f ca="1">IF(OFFSET('4. Work'!$A$1,ROW(I394)-1,COLUMN(I394)-1)="","",OFFSET('4. Work'!$A$1,ROW(I394)-1,COLUMN(I394)-1))</f>
        <v/>
      </c>
      <c r="T394" s="3" t="str">
        <f ca="1">IF(A394&lt;&gt;"",MAX('Initiative Indirect'!$T:$T)+(ROW(A394)-1),"")</f>
        <v/>
      </c>
      <c r="U394" s="3" t="str">
        <f ca="1">IF(B394&lt;&gt;"",INDEX('Initiative Indirect'!$T:$T,MATCH(B394,'Initiative Indirect'!$A:$A,0)),"")</f>
        <v/>
      </c>
      <c r="V394" s="3" t="str">
        <f ca="1">IF(C394&lt;&gt;"",INDEX('Team Indirect'!$T:$T,MATCH(C394,'Team Indirect'!$A:$A,0)),"")</f>
        <v/>
      </c>
      <c r="W394" s="3"/>
      <c r="X394" s="3"/>
      <c r="Y394" s="3" t="str">
        <f ca="1">IF($C394&lt;&gt;"",INDEX('Team Indirect'!$D:$D,MATCH($C394,'Team Indirect'!$A:$A,0)),"")</f>
        <v/>
      </c>
      <c r="Z394" s="3" t="str">
        <f ca="1">IF($C394&lt;&gt;"",INDEX('Team Indirect'!$E:$E,MATCH($C394,'Team Indirect'!$A:$A,0)),"")</f>
        <v/>
      </c>
      <c r="AA394" s="3" t="str">
        <f ca="1">IF($C394&lt;&gt;"",INDEX('Team Indirect'!$F:$F,MATCH($C394,'Team Indirect'!$A:$A,0)),"")</f>
        <v/>
      </c>
      <c r="AB394" s="3" t="str">
        <f t="shared" ca="1" si="6"/>
        <v/>
      </c>
      <c r="AC394" s="3">
        <f ca="1">IF(OR(AllocationUnits="Stories", AllocationUnits="Points"),'Work Indirect'!F394,F394/MAX('Work Indirect'!AB394,1))</f>
        <v>1</v>
      </c>
    </row>
    <row r="395" spans="1:29"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7" t="str">
        <f ca="1">IF(OFFSET('4. Work'!$A$1,ROW(D395)-1,COLUMN(D395)-1)="","",OFFSET('4. Work'!$A$1,ROW(D395)-1,COLUMN(D395)-1))</f>
        <v/>
      </c>
      <c r="E395" s="147"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I395" s="3" t="str">
        <f ca="1">IF(OFFSET('4. Work'!$A$1,ROW(I395)-1,COLUMN(I395)-1)="","",OFFSET('4. Work'!$A$1,ROW(I395)-1,COLUMN(I395)-1))</f>
        <v/>
      </c>
      <c r="T395" s="3" t="str">
        <f ca="1">IF(A395&lt;&gt;"",MAX('Initiative Indirect'!$T:$T)+(ROW(A395)-1),"")</f>
        <v/>
      </c>
      <c r="U395" s="3" t="str">
        <f ca="1">IF(B395&lt;&gt;"",INDEX('Initiative Indirect'!$T:$T,MATCH(B395,'Initiative Indirect'!$A:$A,0)),"")</f>
        <v/>
      </c>
      <c r="V395" s="3" t="str">
        <f ca="1">IF(C395&lt;&gt;"",INDEX('Team Indirect'!$T:$T,MATCH(C395,'Team Indirect'!$A:$A,0)),"")</f>
        <v/>
      </c>
      <c r="W395" s="3"/>
      <c r="X395" s="3"/>
      <c r="Y395" s="3" t="str">
        <f ca="1">IF($C395&lt;&gt;"",INDEX('Team Indirect'!$D:$D,MATCH($C395,'Team Indirect'!$A:$A,0)),"")</f>
        <v/>
      </c>
      <c r="Z395" s="3" t="str">
        <f ca="1">IF($C395&lt;&gt;"",INDEX('Team Indirect'!$E:$E,MATCH($C395,'Team Indirect'!$A:$A,0)),"")</f>
        <v/>
      </c>
      <c r="AA395" s="3" t="str">
        <f ca="1">IF($C395&lt;&gt;"",INDEX('Team Indirect'!$F:$F,MATCH($C395,'Team Indirect'!$A:$A,0)),"")</f>
        <v/>
      </c>
      <c r="AB395" s="3" t="str">
        <f t="shared" ca="1" si="6"/>
        <v/>
      </c>
      <c r="AC395" s="3">
        <f ca="1">IF(OR(AllocationUnits="Stories", AllocationUnits="Points"),'Work Indirect'!F395,F395/MAX('Work Indirect'!AB395,1))</f>
        <v>1</v>
      </c>
    </row>
    <row r="396" spans="1:29"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7" t="str">
        <f ca="1">IF(OFFSET('4. Work'!$A$1,ROW(D396)-1,COLUMN(D396)-1)="","",OFFSET('4. Work'!$A$1,ROW(D396)-1,COLUMN(D396)-1))</f>
        <v/>
      </c>
      <c r="E396" s="147"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I396" s="3" t="str">
        <f ca="1">IF(OFFSET('4. Work'!$A$1,ROW(I396)-1,COLUMN(I396)-1)="","",OFFSET('4. Work'!$A$1,ROW(I396)-1,COLUMN(I396)-1))</f>
        <v/>
      </c>
      <c r="T396" s="3" t="str">
        <f ca="1">IF(A396&lt;&gt;"",MAX('Initiative Indirect'!$T:$T)+(ROW(A396)-1),"")</f>
        <v/>
      </c>
      <c r="U396" s="3" t="str">
        <f ca="1">IF(B396&lt;&gt;"",INDEX('Initiative Indirect'!$T:$T,MATCH(B396,'Initiative Indirect'!$A:$A,0)),"")</f>
        <v/>
      </c>
      <c r="V396" s="3" t="str">
        <f ca="1">IF(C396&lt;&gt;"",INDEX('Team Indirect'!$T:$T,MATCH(C396,'Team Indirect'!$A:$A,0)),"")</f>
        <v/>
      </c>
      <c r="W396" s="3"/>
      <c r="X396" s="3"/>
      <c r="Y396" s="3" t="str">
        <f ca="1">IF($C396&lt;&gt;"",INDEX('Team Indirect'!$D:$D,MATCH($C396,'Team Indirect'!$A:$A,0)),"")</f>
        <v/>
      </c>
      <c r="Z396" s="3" t="str">
        <f ca="1">IF($C396&lt;&gt;"",INDEX('Team Indirect'!$E:$E,MATCH($C396,'Team Indirect'!$A:$A,0)),"")</f>
        <v/>
      </c>
      <c r="AA396" s="3" t="str">
        <f ca="1">IF($C396&lt;&gt;"",INDEX('Team Indirect'!$F:$F,MATCH($C396,'Team Indirect'!$A:$A,0)),"")</f>
        <v/>
      </c>
      <c r="AB396" s="3" t="str">
        <f t="shared" ca="1" si="6"/>
        <v/>
      </c>
      <c r="AC396" s="3">
        <f ca="1">IF(OR(AllocationUnits="Stories", AllocationUnits="Points"),'Work Indirect'!F396,F396/MAX('Work Indirect'!AB396,1))</f>
        <v>1</v>
      </c>
    </row>
    <row r="397" spans="1:29"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7" t="str">
        <f ca="1">IF(OFFSET('4. Work'!$A$1,ROW(D397)-1,COLUMN(D397)-1)="","",OFFSET('4. Work'!$A$1,ROW(D397)-1,COLUMN(D397)-1))</f>
        <v/>
      </c>
      <c r="E397" s="147"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I397" s="3" t="str">
        <f ca="1">IF(OFFSET('4. Work'!$A$1,ROW(I397)-1,COLUMN(I397)-1)="","",OFFSET('4. Work'!$A$1,ROW(I397)-1,COLUMN(I397)-1))</f>
        <v/>
      </c>
      <c r="T397" s="3" t="str">
        <f ca="1">IF(A397&lt;&gt;"",MAX('Initiative Indirect'!$T:$T)+(ROW(A397)-1),"")</f>
        <v/>
      </c>
      <c r="U397" s="3" t="str">
        <f ca="1">IF(B397&lt;&gt;"",INDEX('Initiative Indirect'!$T:$T,MATCH(B397,'Initiative Indirect'!$A:$A,0)),"")</f>
        <v/>
      </c>
      <c r="V397" s="3" t="str">
        <f ca="1">IF(C397&lt;&gt;"",INDEX('Team Indirect'!$T:$T,MATCH(C397,'Team Indirect'!$A:$A,0)),"")</f>
        <v/>
      </c>
      <c r="W397" s="3"/>
      <c r="X397" s="3"/>
      <c r="Y397" s="3" t="str">
        <f ca="1">IF($C397&lt;&gt;"",INDEX('Team Indirect'!$D:$D,MATCH($C397,'Team Indirect'!$A:$A,0)),"")</f>
        <v/>
      </c>
      <c r="Z397" s="3" t="str">
        <f ca="1">IF($C397&lt;&gt;"",INDEX('Team Indirect'!$E:$E,MATCH($C397,'Team Indirect'!$A:$A,0)),"")</f>
        <v/>
      </c>
      <c r="AA397" s="3" t="str">
        <f ca="1">IF($C397&lt;&gt;"",INDEX('Team Indirect'!$F:$F,MATCH($C397,'Team Indirect'!$A:$A,0)),"")</f>
        <v/>
      </c>
      <c r="AB397" s="3" t="str">
        <f t="shared" ca="1" si="6"/>
        <v/>
      </c>
      <c r="AC397" s="3">
        <f ca="1">IF(OR(AllocationUnits="Stories", AllocationUnits="Points"),'Work Indirect'!F397,F397/MAX('Work Indirect'!AB397,1))</f>
        <v>1</v>
      </c>
    </row>
    <row r="398" spans="1:29"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7" t="str">
        <f ca="1">IF(OFFSET('4. Work'!$A$1,ROW(D398)-1,COLUMN(D398)-1)="","",OFFSET('4. Work'!$A$1,ROW(D398)-1,COLUMN(D398)-1))</f>
        <v/>
      </c>
      <c r="E398" s="147"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I398" s="3" t="str">
        <f ca="1">IF(OFFSET('4. Work'!$A$1,ROW(I398)-1,COLUMN(I398)-1)="","",OFFSET('4. Work'!$A$1,ROW(I398)-1,COLUMN(I398)-1))</f>
        <v/>
      </c>
      <c r="T398" s="3" t="str">
        <f ca="1">IF(A398&lt;&gt;"",MAX('Initiative Indirect'!$T:$T)+(ROW(A398)-1),"")</f>
        <v/>
      </c>
      <c r="U398" s="3" t="str">
        <f ca="1">IF(B398&lt;&gt;"",INDEX('Initiative Indirect'!$T:$T,MATCH(B398,'Initiative Indirect'!$A:$A,0)),"")</f>
        <v/>
      </c>
      <c r="V398" s="3" t="str">
        <f ca="1">IF(C398&lt;&gt;"",INDEX('Team Indirect'!$T:$T,MATCH(C398,'Team Indirect'!$A:$A,0)),"")</f>
        <v/>
      </c>
      <c r="W398" s="3"/>
      <c r="X398" s="3"/>
      <c r="Y398" s="3" t="str">
        <f ca="1">IF($C398&lt;&gt;"",INDEX('Team Indirect'!$D:$D,MATCH($C398,'Team Indirect'!$A:$A,0)),"")</f>
        <v/>
      </c>
      <c r="Z398" s="3" t="str">
        <f ca="1">IF($C398&lt;&gt;"",INDEX('Team Indirect'!$E:$E,MATCH($C398,'Team Indirect'!$A:$A,0)),"")</f>
        <v/>
      </c>
      <c r="AA398" s="3" t="str">
        <f ca="1">IF($C398&lt;&gt;"",INDEX('Team Indirect'!$F:$F,MATCH($C398,'Team Indirect'!$A:$A,0)),"")</f>
        <v/>
      </c>
      <c r="AB398" s="3" t="str">
        <f t="shared" ca="1" si="6"/>
        <v/>
      </c>
      <c r="AC398" s="3">
        <f ca="1">IF(OR(AllocationUnits="Stories", AllocationUnits="Points"),'Work Indirect'!F398,F398/MAX('Work Indirect'!AB398,1))</f>
        <v>1</v>
      </c>
    </row>
    <row r="399" spans="1:29"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7" t="str">
        <f ca="1">IF(OFFSET('4. Work'!$A$1,ROW(D399)-1,COLUMN(D399)-1)="","",OFFSET('4. Work'!$A$1,ROW(D399)-1,COLUMN(D399)-1))</f>
        <v/>
      </c>
      <c r="E399" s="147"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I399" s="3" t="str">
        <f ca="1">IF(OFFSET('4. Work'!$A$1,ROW(I399)-1,COLUMN(I399)-1)="","",OFFSET('4. Work'!$A$1,ROW(I399)-1,COLUMN(I399)-1))</f>
        <v/>
      </c>
      <c r="T399" s="3" t="str">
        <f ca="1">IF(A399&lt;&gt;"",MAX('Initiative Indirect'!$T:$T)+(ROW(A399)-1),"")</f>
        <v/>
      </c>
      <c r="U399" s="3" t="str">
        <f ca="1">IF(B399&lt;&gt;"",INDEX('Initiative Indirect'!$T:$T,MATCH(B399,'Initiative Indirect'!$A:$A,0)),"")</f>
        <v/>
      </c>
      <c r="V399" s="3" t="str">
        <f ca="1">IF(C399&lt;&gt;"",INDEX('Team Indirect'!$T:$T,MATCH(C399,'Team Indirect'!$A:$A,0)),"")</f>
        <v/>
      </c>
      <c r="W399" s="3"/>
      <c r="X399" s="3"/>
      <c r="Y399" s="3" t="str">
        <f ca="1">IF($C399&lt;&gt;"",INDEX('Team Indirect'!$D:$D,MATCH($C399,'Team Indirect'!$A:$A,0)),"")</f>
        <v/>
      </c>
      <c r="Z399" s="3" t="str">
        <f ca="1">IF($C399&lt;&gt;"",INDEX('Team Indirect'!$E:$E,MATCH($C399,'Team Indirect'!$A:$A,0)),"")</f>
        <v/>
      </c>
      <c r="AA399" s="3" t="str">
        <f ca="1">IF($C399&lt;&gt;"",INDEX('Team Indirect'!$F:$F,MATCH($C399,'Team Indirect'!$A:$A,0)),"")</f>
        <v/>
      </c>
      <c r="AB399" s="3" t="str">
        <f t="shared" ca="1" si="6"/>
        <v/>
      </c>
      <c r="AC399" s="3">
        <f ca="1">IF(OR(AllocationUnits="Stories", AllocationUnits="Points"),'Work Indirect'!F399,F399/MAX('Work Indirect'!AB399,1))</f>
        <v>1</v>
      </c>
    </row>
    <row r="400" spans="1:29"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7" t="str">
        <f ca="1">IF(OFFSET('4. Work'!$A$1,ROW(D400)-1,COLUMN(D400)-1)="","",OFFSET('4. Work'!$A$1,ROW(D400)-1,COLUMN(D400)-1))</f>
        <v/>
      </c>
      <c r="E400" s="147"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I400" s="3" t="str">
        <f ca="1">IF(OFFSET('4. Work'!$A$1,ROW(I400)-1,COLUMN(I400)-1)="","",OFFSET('4. Work'!$A$1,ROW(I400)-1,COLUMN(I400)-1))</f>
        <v/>
      </c>
      <c r="T400" s="3" t="str">
        <f ca="1">IF(A400&lt;&gt;"",MAX('Initiative Indirect'!$T:$T)+(ROW(A400)-1),"")</f>
        <v/>
      </c>
      <c r="U400" s="3" t="str">
        <f ca="1">IF(B400&lt;&gt;"",INDEX('Initiative Indirect'!$T:$T,MATCH(B400,'Initiative Indirect'!$A:$A,0)),"")</f>
        <v/>
      </c>
      <c r="V400" s="3" t="str">
        <f ca="1">IF(C400&lt;&gt;"",INDEX('Team Indirect'!$T:$T,MATCH(C400,'Team Indirect'!$A:$A,0)),"")</f>
        <v/>
      </c>
      <c r="W400" s="3"/>
      <c r="X400" s="3"/>
      <c r="Y400" s="3" t="str">
        <f ca="1">IF($C400&lt;&gt;"",INDEX('Team Indirect'!$D:$D,MATCH($C400,'Team Indirect'!$A:$A,0)),"")</f>
        <v/>
      </c>
      <c r="Z400" s="3" t="str">
        <f ca="1">IF($C400&lt;&gt;"",INDEX('Team Indirect'!$E:$E,MATCH($C400,'Team Indirect'!$A:$A,0)),"")</f>
        <v/>
      </c>
      <c r="AA400" s="3" t="str">
        <f ca="1">IF($C400&lt;&gt;"",INDEX('Team Indirect'!$F:$F,MATCH($C400,'Team Indirect'!$A:$A,0)),"")</f>
        <v/>
      </c>
      <c r="AB400" s="3" t="str">
        <f t="shared" ca="1" si="6"/>
        <v/>
      </c>
      <c r="AC400" s="3">
        <f ca="1">IF(OR(AllocationUnits="Stories", AllocationUnits="Points"),'Work Indirect'!F400,F400/MAX('Work Indirect'!AB400,1))</f>
        <v>1</v>
      </c>
    </row>
    <row r="401" spans="1:29"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7" t="str">
        <f ca="1">IF(OFFSET('4. Work'!$A$1,ROW(D401)-1,COLUMN(D401)-1)="","",OFFSET('4. Work'!$A$1,ROW(D401)-1,COLUMN(D401)-1))</f>
        <v/>
      </c>
      <c r="E401" s="147"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I401" s="3" t="str">
        <f ca="1">IF(OFFSET('4. Work'!$A$1,ROW(I401)-1,COLUMN(I401)-1)="","",OFFSET('4. Work'!$A$1,ROW(I401)-1,COLUMN(I401)-1))</f>
        <v/>
      </c>
      <c r="T401" s="3" t="str">
        <f ca="1">IF(A401&lt;&gt;"",MAX('Initiative Indirect'!$T:$T)+(ROW(A401)-1),"")</f>
        <v/>
      </c>
      <c r="U401" s="3" t="str">
        <f ca="1">IF(B401&lt;&gt;"",INDEX('Initiative Indirect'!$T:$T,MATCH(B401,'Initiative Indirect'!$A:$A,0)),"")</f>
        <v/>
      </c>
      <c r="V401" s="3" t="str">
        <f ca="1">IF(C401&lt;&gt;"",INDEX('Team Indirect'!$T:$T,MATCH(C401,'Team Indirect'!$A:$A,0)),"")</f>
        <v/>
      </c>
      <c r="W401" s="3"/>
      <c r="X401" s="3"/>
      <c r="Y401" s="3" t="str">
        <f ca="1">IF($C401&lt;&gt;"",INDEX('Team Indirect'!$D:$D,MATCH($C401,'Team Indirect'!$A:$A,0)),"")</f>
        <v/>
      </c>
      <c r="Z401" s="3" t="str">
        <f ca="1">IF($C401&lt;&gt;"",INDEX('Team Indirect'!$E:$E,MATCH($C401,'Team Indirect'!$A:$A,0)),"")</f>
        <v/>
      </c>
      <c r="AA401" s="3" t="str">
        <f ca="1">IF($C401&lt;&gt;"",INDEX('Team Indirect'!$F:$F,MATCH($C401,'Team Indirect'!$A:$A,0)),"")</f>
        <v/>
      </c>
      <c r="AB401" s="3" t="str">
        <f t="shared" ca="1" si="6"/>
        <v/>
      </c>
      <c r="AC401" s="3">
        <f ca="1">IF(OR(AllocationUnits="Stories", AllocationUnits="Points"),'Work Indirect'!F401,F401/MAX('Work Indirect'!AB401,1))</f>
        <v>1</v>
      </c>
    </row>
    <row r="402" spans="1:29"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7" t="str">
        <f ca="1">IF(OFFSET('4. Work'!$A$1,ROW(D402)-1,COLUMN(D402)-1)="","",OFFSET('4. Work'!$A$1,ROW(D402)-1,COLUMN(D402)-1))</f>
        <v/>
      </c>
      <c r="E402" s="147"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I402" s="3" t="str">
        <f ca="1">IF(OFFSET('4. Work'!$A$1,ROW(I402)-1,COLUMN(I402)-1)="","",OFFSET('4. Work'!$A$1,ROW(I402)-1,COLUMN(I402)-1))</f>
        <v/>
      </c>
      <c r="T402" s="3" t="str">
        <f ca="1">IF(A402&lt;&gt;"",MAX('Initiative Indirect'!$T:$T)+(ROW(A402)-1),"")</f>
        <v/>
      </c>
      <c r="U402" s="3" t="str">
        <f ca="1">IF(B402&lt;&gt;"",INDEX('Initiative Indirect'!$T:$T,MATCH(B402,'Initiative Indirect'!$A:$A,0)),"")</f>
        <v/>
      </c>
      <c r="V402" s="3" t="str">
        <f ca="1">IF(C402&lt;&gt;"",INDEX('Team Indirect'!$T:$T,MATCH(C402,'Team Indirect'!$A:$A,0)),"")</f>
        <v/>
      </c>
      <c r="W402" s="3"/>
      <c r="X402" s="3"/>
      <c r="Y402" s="3" t="str">
        <f ca="1">IF($C402&lt;&gt;"",INDEX('Team Indirect'!$D:$D,MATCH($C402,'Team Indirect'!$A:$A,0)),"")</f>
        <v/>
      </c>
      <c r="Z402" s="3" t="str">
        <f ca="1">IF($C402&lt;&gt;"",INDEX('Team Indirect'!$E:$E,MATCH($C402,'Team Indirect'!$A:$A,0)),"")</f>
        <v/>
      </c>
      <c r="AA402" s="3" t="str">
        <f ca="1">IF($C402&lt;&gt;"",INDEX('Team Indirect'!$F:$F,MATCH($C402,'Team Indirect'!$A:$A,0)),"")</f>
        <v/>
      </c>
      <c r="AB402" s="3" t="str">
        <f t="shared" ca="1" si="6"/>
        <v/>
      </c>
      <c r="AC402" s="3">
        <f ca="1">IF(OR(AllocationUnits="Stories", AllocationUnits="Points"),'Work Indirect'!F402,F402/MAX('Work Indirect'!AB402,1))</f>
        <v>1</v>
      </c>
    </row>
    <row r="403" spans="1:29"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7" t="str">
        <f ca="1">IF(OFFSET('4. Work'!$A$1,ROW(D403)-1,COLUMN(D403)-1)="","",OFFSET('4. Work'!$A$1,ROW(D403)-1,COLUMN(D403)-1))</f>
        <v/>
      </c>
      <c r="E403" s="147"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I403" s="3" t="str">
        <f ca="1">IF(OFFSET('4. Work'!$A$1,ROW(I403)-1,COLUMN(I403)-1)="","",OFFSET('4. Work'!$A$1,ROW(I403)-1,COLUMN(I403)-1))</f>
        <v/>
      </c>
      <c r="T403" s="3" t="str">
        <f ca="1">IF(A403&lt;&gt;"",MAX('Initiative Indirect'!$T:$T)+(ROW(A403)-1),"")</f>
        <v/>
      </c>
      <c r="U403" s="3" t="str">
        <f ca="1">IF(B403&lt;&gt;"",INDEX('Initiative Indirect'!$T:$T,MATCH(B403,'Initiative Indirect'!$A:$A,0)),"")</f>
        <v/>
      </c>
      <c r="V403" s="3" t="str">
        <f ca="1">IF(C403&lt;&gt;"",INDEX('Team Indirect'!$T:$T,MATCH(C403,'Team Indirect'!$A:$A,0)),"")</f>
        <v/>
      </c>
      <c r="W403" s="3"/>
      <c r="X403" s="3"/>
      <c r="Y403" s="3" t="str">
        <f ca="1">IF($C403&lt;&gt;"",INDEX('Team Indirect'!$D:$D,MATCH($C403,'Team Indirect'!$A:$A,0)),"")</f>
        <v/>
      </c>
      <c r="Z403" s="3" t="str">
        <f ca="1">IF($C403&lt;&gt;"",INDEX('Team Indirect'!$E:$E,MATCH($C403,'Team Indirect'!$A:$A,0)),"")</f>
        <v/>
      </c>
      <c r="AA403" s="3" t="str">
        <f ca="1">IF($C403&lt;&gt;"",INDEX('Team Indirect'!$F:$F,MATCH($C403,'Team Indirect'!$A:$A,0)),"")</f>
        <v/>
      </c>
      <c r="AB403" s="3" t="str">
        <f t="shared" ca="1" si="6"/>
        <v/>
      </c>
      <c r="AC403" s="3">
        <f ca="1">IF(OR(AllocationUnits="Stories", AllocationUnits="Points"),'Work Indirect'!F403,F403/MAX('Work Indirect'!AB403,1))</f>
        <v>1</v>
      </c>
    </row>
    <row r="404" spans="1:29"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7" t="str">
        <f ca="1">IF(OFFSET('4. Work'!$A$1,ROW(D404)-1,COLUMN(D404)-1)="","",OFFSET('4. Work'!$A$1,ROW(D404)-1,COLUMN(D404)-1))</f>
        <v/>
      </c>
      <c r="E404" s="147"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I404" s="3" t="str">
        <f ca="1">IF(OFFSET('4. Work'!$A$1,ROW(I404)-1,COLUMN(I404)-1)="","",OFFSET('4. Work'!$A$1,ROW(I404)-1,COLUMN(I404)-1))</f>
        <v/>
      </c>
      <c r="T404" s="3" t="str">
        <f ca="1">IF(A404&lt;&gt;"",MAX('Initiative Indirect'!$T:$T)+(ROW(A404)-1),"")</f>
        <v/>
      </c>
      <c r="U404" s="3" t="str">
        <f ca="1">IF(B404&lt;&gt;"",INDEX('Initiative Indirect'!$T:$T,MATCH(B404,'Initiative Indirect'!$A:$A,0)),"")</f>
        <v/>
      </c>
      <c r="V404" s="3" t="str">
        <f ca="1">IF(C404&lt;&gt;"",INDEX('Team Indirect'!$T:$T,MATCH(C404,'Team Indirect'!$A:$A,0)),"")</f>
        <v/>
      </c>
      <c r="W404" s="3"/>
      <c r="X404" s="3"/>
      <c r="Y404" s="3" t="str">
        <f ca="1">IF($C404&lt;&gt;"",INDEX('Team Indirect'!$D:$D,MATCH($C404,'Team Indirect'!$A:$A,0)),"")</f>
        <v/>
      </c>
      <c r="Z404" s="3" t="str">
        <f ca="1">IF($C404&lt;&gt;"",INDEX('Team Indirect'!$E:$E,MATCH($C404,'Team Indirect'!$A:$A,0)),"")</f>
        <v/>
      </c>
      <c r="AA404" s="3" t="str">
        <f ca="1">IF($C404&lt;&gt;"",INDEX('Team Indirect'!$F:$F,MATCH($C404,'Team Indirect'!$A:$A,0)),"")</f>
        <v/>
      </c>
      <c r="AB404" s="3" t="str">
        <f t="shared" ca="1" si="6"/>
        <v/>
      </c>
      <c r="AC404" s="3">
        <f ca="1">IF(OR(AllocationUnits="Stories", AllocationUnits="Points"),'Work Indirect'!F404,F404/MAX('Work Indirect'!AB404,1))</f>
        <v>1</v>
      </c>
    </row>
    <row r="405" spans="1:29"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7" t="str">
        <f ca="1">IF(OFFSET('4. Work'!$A$1,ROW(D405)-1,COLUMN(D405)-1)="","",OFFSET('4. Work'!$A$1,ROW(D405)-1,COLUMN(D405)-1))</f>
        <v/>
      </c>
      <c r="E405" s="147"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I405" s="3" t="str">
        <f ca="1">IF(OFFSET('4. Work'!$A$1,ROW(I405)-1,COLUMN(I405)-1)="","",OFFSET('4. Work'!$A$1,ROW(I405)-1,COLUMN(I405)-1))</f>
        <v/>
      </c>
      <c r="T405" s="3" t="str">
        <f ca="1">IF(A405&lt;&gt;"",MAX('Initiative Indirect'!$T:$T)+(ROW(A405)-1),"")</f>
        <v/>
      </c>
      <c r="U405" s="3" t="str">
        <f ca="1">IF(B405&lt;&gt;"",INDEX('Initiative Indirect'!$T:$T,MATCH(B405,'Initiative Indirect'!$A:$A,0)),"")</f>
        <v/>
      </c>
      <c r="V405" s="3" t="str">
        <f ca="1">IF(C405&lt;&gt;"",INDEX('Team Indirect'!$T:$T,MATCH(C405,'Team Indirect'!$A:$A,0)),"")</f>
        <v/>
      </c>
      <c r="W405" s="3"/>
      <c r="X405" s="3"/>
      <c r="Y405" s="3" t="str">
        <f ca="1">IF($C405&lt;&gt;"",INDEX('Team Indirect'!$D:$D,MATCH($C405,'Team Indirect'!$A:$A,0)),"")</f>
        <v/>
      </c>
      <c r="Z405" s="3" t="str">
        <f ca="1">IF($C405&lt;&gt;"",INDEX('Team Indirect'!$E:$E,MATCH($C405,'Team Indirect'!$A:$A,0)),"")</f>
        <v/>
      </c>
      <c r="AA405" s="3" t="str">
        <f ca="1">IF($C405&lt;&gt;"",INDEX('Team Indirect'!$F:$F,MATCH($C405,'Team Indirect'!$A:$A,0)),"")</f>
        <v/>
      </c>
      <c r="AB405" s="3" t="str">
        <f t="shared" ca="1" si="6"/>
        <v/>
      </c>
      <c r="AC405" s="3">
        <f ca="1">IF(OR(AllocationUnits="Stories", AllocationUnits="Points"),'Work Indirect'!F405,F405/MAX('Work Indirect'!AB405,1))</f>
        <v>1</v>
      </c>
    </row>
    <row r="406" spans="1:29"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7" t="str">
        <f ca="1">IF(OFFSET('4. Work'!$A$1,ROW(D406)-1,COLUMN(D406)-1)="","",OFFSET('4. Work'!$A$1,ROW(D406)-1,COLUMN(D406)-1))</f>
        <v/>
      </c>
      <c r="E406" s="147"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I406" s="3" t="str">
        <f ca="1">IF(OFFSET('4. Work'!$A$1,ROW(I406)-1,COLUMN(I406)-1)="","",OFFSET('4. Work'!$A$1,ROW(I406)-1,COLUMN(I406)-1))</f>
        <v/>
      </c>
      <c r="T406" s="3" t="str">
        <f ca="1">IF(A406&lt;&gt;"",MAX('Initiative Indirect'!$T:$T)+(ROW(A406)-1),"")</f>
        <v/>
      </c>
      <c r="U406" s="3" t="str">
        <f ca="1">IF(B406&lt;&gt;"",INDEX('Initiative Indirect'!$T:$T,MATCH(B406,'Initiative Indirect'!$A:$A,0)),"")</f>
        <v/>
      </c>
      <c r="V406" s="3" t="str">
        <f ca="1">IF(C406&lt;&gt;"",INDEX('Team Indirect'!$T:$T,MATCH(C406,'Team Indirect'!$A:$A,0)),"")</f>
        <v/>
      </c>
      <c r="W406" s="3"/>
      <c r="X406" s="3"/>
      <c r="Y406" s="3" t="str">
        <f ca="1">IF($C406&lt;&gt;"",INDEX('Team Indirect'!$D:$D,MATCH($C406,'Team Indirect'!$A:$A,0)),"")</f>
        <v/>
      </c>
      <c r="Z406" s="3" t="str">
        <f ca="1">IF($C406&lt;&gt;"",INDEX('Team Indirect'!$E:$E,MATCH($C406,'Team Indirect'!$A:$A,0)),"")</f>
        <v/>
      </c>
      <c r="AA406" s="3" t="str">
        <f ca="1">IF($C406&lt;&gt;"",INDEX('Team Indirect'!$F:$F,MATCH($C406,'Team Indirect'!$A:$A,0)),"")</f>
        <v/>
      </c>
      <c r="AB406" s="3" t="str">
        <f t="shared" ca="1" si="6"/>
        <v/>
      </c>
      <c r="AC406" s="3">
        <f ca="1">IF(OR(AllocationUnits="Stories", AllocationUnits="Points"),'Work Indirect'!F406,F406/MAX('Work Indirect'!AB406,1))</f>
        <v>1</v>
      </c>
    </row>
    <row r="407" spans="1:29"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7" t="str">
        <f ca="1">IF(OFFSET('4. Work'!$A$1,ROW(D407)-1,COLUMN(D407)-1)="","",OFFSET('4. Work'!$A$1,ROW(D407)-1,COLUMN(D407)-1))</f>
        <v/>
      </c>
      <c r="E407" s="147"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I407" s="3" t="str">
        <f ca="1">IF(OFFSET('4. Work'!$A$1,ROW(I407)-1,COLUMN(I407)-1)="","",OFFSET('4. Work'!$A$1,ROW(I407)-1,COLUMN(I407)-1))</f>
        <v/>
      </c>
      <c r="T407" s="3" t="str">
        <f ca="1">IF(A407&lt;&gt;"",MAX('Initiative Indirect'!$T:$T)+(ROW(A407)-1),"")</f>
        <v/>
      </c>
      <c r="U407" s="3" t="str">
        <f ca="1">IF(B407&lt;&gt;"",INDEX('Initiative Indirect'!$T:$T,MATCH(B407,'Initiative Indirect'!$A:$A,0)),"")</f>
        <v/>
      </c>
      <c r="V407" s="3" t="str">
        <f ca="1">IF(C407&lt;&gt;"",INDEX('Team Indirect'!$T:$T,MATCH(C407,'Team Indirect'!$A:$A,0)),"")</f>
        <v/>
      </c>
      <c r="W407" s="3"/>
      <c r="X407" s="3"/>
      <c r="Y407" s="3" t="str">
        <f ca="1">IF($C407&lt;&gt;"",INDEX('Team Indirect'!$D:$D,MATCH($C407,'Team Indirect'!$A:$A,0)),"")</f>
        <v/>
      </c>
      <c r="Z407" s="3" t="str">
        <f ca="1">IF($C407&lt;&gt;"",INDEX('Team Indirect'!$E:$E,MATCH($C407,'Team Indirect'!$A:$A,0)),"")</f>
        <v/>
      </c>
      <c r="AA407" s="3" t="str">
        <f ca="1">IF($C407&lt;&gt;"",INDEX('Team Indirect'!$F:$F,MATCH($C407,'Team Indirect'!$A:$A,0)),"")</f>
        <v/>
      </c>
      <c r="AB407" s="3" t="str">
        <f t="shared" ca="1" si="6"/>
        <v/>
      </c>
      <c r="AC407" s="3">
        <f ca="1">IF(OR(AllocationUnits="Stories", AllocationUnits="Points"),'Work Indirect'!F407,F407/MAX('Work Indirect'!AB407,1))</f>
        <v>1</v>
      </c>
    </row>
    <row r="408" spans="1:29"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7" t="str">
        <f ca="1">IF(OFFSET('4. Work'!$A$1,ROW(D408)-1,COLUMN(D408)-1)="","",OFFSET('4. Work'!$A$1,ROW(D408)-1,COLUMN(D408)-1))</f>
        <v/>
      </c>
      <c r="E408" s="147"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I408" s="3" t="str">
        <f ca="1">IF(OFFSET('4. Work'!$A$1,ROW(I408)-1,COLUMN(I408)-1)="","",OFFSET('4. Work'!$A$1,ROW(I408)-1,COLUMN(I408)-1))</f>
        <v/>
      </c>
      <c r="T408" s="3" t="str">
        <f ca="1">IF(A408&lt;&gt;"",MAX('Initiative Indirect'!$T:$T)+(ROW(A408)-1),"")</f>
        <v/>
      </c>
      <c r="U408" s="3" t="str">
        <f ca="1">IF(B408&lt;&gt;"",INDEX('Initiative Indirect'!$T:$T,MATCH(B408,'Initiative Indirect'!$A:$A,0)),"")</f>
        <v/>
      </c>
      <c r="V408" s="3" t="str">
        <f ca="1">IF(C408&lt;&gt;"",INDEX('Team Indirect'!$T:$T,MATCH(C408,'Team Indirect'!$A:$A,0)),"")</f>
        <v/>
      </c>
      <c r="W408" s="3"/>
      <c r="X408" s="3"/>
      <c r="Y408" s="3" t="str">
        <f ca="1">IF($C408&lt;&gt;"",INDEX('Team Indirect'!$D:$D,MATCH($C408,'Team Indirect'!$A:$A,0)),"")</f>
        <v/>
      </c>
      <c r="Z408" s="3" t="str">
        <f ca="1">IF($C408&lt;&gt;"",INDEX('Team Indirect'!$E:$E,MATCH($C408,'Team Indirect'!$A:$A,0)),"")</f>
        <v/>
      </c>
      <c r="AA408" s="3" t="str">
        <f ca="1">IF($C408&lt;&gt;"",INDEX('Team Indirect'!$F:$F,MATCH($C408,'Team Indirect'!$A:$A,0)),"")</f>
        <v/>
      </c>
      <c r="AB408" s="3" t="str">
        <f t="shared" ca="1" si="6"/>
        <v/>
      </c>
      <c r="AC408" s="3">
        <f ca="1">IF(OR(AllocationUnits="Stories", AllocationUnits="Points"),'Work Indirect'!F408,F408/MAX('Work Indirect'!AB408,1))</f>
        <v>1</v>
      </c>
    </row>
    <row r="409" spans="1:29"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7" t="str">
        <f ca="1">IF(OFFSET('4. Work'!$A$1,ROW(D409)-1,COLUMN(D409)-1)="","",OFFSET('4. Work'!$A$1,ROW(D409)-1,COLUMN(D409)-1))</f>
        <v/>
      </c>
      <c r="E409" s="147"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I409" s="3" t="str">
        <f ca="1">IF(OFFSET('4. Work'!$A$1,ROW(I409)-1,COLUMN(I409)-1)="","",OFFSET('4. Work'!$A$1,ROW(I409)-1,COLUMN(I409)-1))</f>
        <v/>
      </c>
      <c r="T409" s="3" t="str">
        <f ca="1">IF(A409&lt;&gt;"",MAX('Initiative Indirect'!$T:$T)+(ROW(A409)-1),"")</f>
        <v/>
      </c>
      <c r="U409" s="3" t="str">
        <f ca="1">IF(B409&lt;&gt;"",INDEX('Initiative Indirect'!$T:$T,MATCH(B409,'Initiative Indirect'!$A:$A,0)),"")</f>
        <v/>
      </c>
      <c r="V409" s="3" t="str">
        <f ca="1">IF(C409&lt;&gt;"",INDEX('Team Indirect'!$T:$T,MATCH(C409,'Team Indirect'!$A:$A,0)),"")</f>
        <v/>
      </c>
      <c r="W409" s="3"/>
      <c r="X409" s="3"/>
      <c r="Y409" s="3" t="str">
        <f ca="1">IF($C409&lt;&gt;"",INDEX('Team Indirect'!$D:$D,MATCH($C409,'Team Indirect'!$A:$A,0)),"")</f>
        <v/>
      </c>
      <c r="Z409" s="3" t="str">
        <f ca="1">IF($C409&lt;&gt;"",INDEX('Team Indirect'!$E:$E,MATCH($C409,'Team Indirect'!$A:$A,0)),"")</f>
        <v/>
      </c>
      <c r="AA409" s="3" t="str">
        <f ca="1">IF($C409&lt;&gt;"",INDEX('Team Indirect'!$F:$F,MATCH($C409,'Team Indirect'!$A:$A,0)),"")</f>
        <v/>
      </c>
      <c r="AB409" s="3" t="str">
        <f t="shared" ca="1" si="6"/>
        <v/>
      </c>
      <c r="AC409" s="3">
        <f ca="1">IF(OR(AllocationUnits="Stories", AllocationUnits="Points"),'Work Indirect'!F409,F409/MAX('Work Indirect'!AB409,1))</f>
        <v>1</v>
      </c>
    </row>
    <row r="410" spans="1:29"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7" t="str">
        <f ca="1">IF(OFFSET('4. Work'!$A$1,ROW(D410)-1,COLUMN(D410)-1)="","",OFFSET('4. Work'!$A$1,ROW(D410)-1,COLUMN(D410)-1))</f>
        <v/>
      </c>
      <c r="E410" s="147"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I410" s="3" t="str">
        <f ca="1">IF(OFFSET('4. Work'!$A$1,ROW(I410)-1,COLUMN(I410)-1)="","",OFFSET('4. Work'!$A$1,ROW(I410)-1,COLUMN(I410)-1))</f>
        <v/>
      </c>
      <c r="T410" s="3" t="str">
        <f ca="1">IF(A410&lt;&gt;"",MAX('Initiative Indirect'!$T:$T)+(ROW(A410)-1),"")</f>
        <v/>
      </c>
      <c r="U410" s="3" t="str">
        <f ca="1">IF(B410&lt;&gt;"",INDEX('Initiative Indirect'!$T:$T,MATCH(B410,'Initiative Indirect'!$A:$A,0)),"")</f>
        <v/>
      </c>
      <c r="V410" s="3" t="str">
        <f ca="1">IF(C410&lt;&gt;"",INDEX('Team Indirect'!$T:$T,MATCH(C410,'Team Indirect'!$A:$A,0)),"")</f>
        <v/>
      </c>
      <c r="W410" s="3"/>
      <c r="X410" s="3"/>
      <c r="Y410" s="3" t="str">
        <f ca="1">IF($C410&lt;&gt;"",INDEX('Team Indirect'!$D:$D,MATCH($C410,'Team Indirect'!$A:$A,0)),"")</f>
        <v/>
      </c>
      <c r="Z410" s="3" t="str">
        <f ca="1">IF($C410&lt;&gt;"",INDEX('Team Indirect'!$E:$E,MATCH($C410,'Team Indirect'!$A:$A,0)),"")</f>
        <v/>
      </c>
      <c r="AA410" s="3" t="str">
        <f ca="1">IF($C410&lt;&gt;"",INDEX('Team Indirect'!$F:$F,MATCH($C410,'Team Indirect'!$A:$A,0)),"")</f>
        <v/>
      </c>
      <c r="AB410" s="3" t="str">
        <f t="shared" ca="1" si="6"/>
        <v/>
      </c>
      <c r="AC410" s="3">
        <f ca="1">IF(OR(AllocationUnits="Stories", AllocationUnits="Points"),'Work Indirect'!F410,F410/MAX('Work Indirect'!AB410,1))</f>
        <v>1</v>
      </c>
    </row>
    <row r="411" spans="1:29"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7" t="str">
        <f ca="1">IF(OFFSET('4. Work'!$A$1,ROW(D411)-1,COLUMN(D411)-1)="","",OFFSET('4. Work'!$A$1,ROW(D411)-1,COLUMN(D411)-1))</f>
        <v/>
      </c>
      <c r="E411" s="147"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I411" s="3" t="str">
        <f ca="1">IF(OFFSET('4. Work'!$A$1,ROW(I411)-1,COLUMN(I411)-1)="","",OFFSET('4. Work'!$A$1,ROW(I411)-1,COLUMN(I411)-1))</f>
        <v/>
      </c>
      <c r="T411" s="3" t="str">
        <f ca="1">IF(A411&lt;&gt;"",MAX('Initiative Indirect'!$T:$T)+(ROW(A411)-1),"")</f>
        <v/>
      </c>
      <c r="U411" s="3" t="str">
        <f ca="1">IF(B411&lt;&gt;"",INDEX('Initiative Indirect'!$T:$T,MATCH(B411,'Initiative Indirect'!$A:$A,0)),"")</f>
        <v/>
      </c>
      <c r="V411" s="3" t="str">
        <f ca="1">IF(C411&lt;&gt;"",INDEX('Team Indirect'!$T:$T,MATCH(C411,'Team Indirect'!$A:$A,0)),"")</f>
        <v/>
      </c>
      <c r="W411" s="3"/>
      <c r="X411" s="3"/>
      <c r="Y411" s="3" t="str">
        <f ca="1">IF($C411&lt;&gt;"",INDEX('Team Indirect'!$D:$D,MATCH($C411,'Team Indirect'!$A:$A,0)),"")</f>
        <v/>
      </c>
      <c r="Z411" s="3" t="str">
        <f ca="1">IF($C411&lt;&gt;"",INDEX('Team Indirect'!$E:$E,MATCH($C411,'Team Indirect'!$A:$A,0)),"")</f>
        <v/>
      </c>
      <c r="AA411" s="3" t="str">
        <f ca="1">IF($C411&lt;&gt;"",INDEX('Team Indirect'!$F:$F,MATCH($C411,'Team Indirect'!$A:$A,0)),"")</f>
        <v/>
      </c>
      <c r="AB411" s="3" t="str">
        <f t="shared" ca="1" si="6"/>
        <v/>
      </c>
      <c r="AC411" s="3">
        <f ca="1">IF(OR(AllocationUnits="Stories", AllocationUnits="Points"),'Work Indirect'!F411,F411/MAX('Work Indirect'!AB411,1))</f>
        <v>1</v>
      </c>
    </row>
    <row r="412" spans="1:29"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7" t="str">
        <f ca="1">IF(OFFSET('4. Work'!$A$1,ROW(D412)-1,COLUMN(D412)-1)="","",OFFSET('4. Work'!$A$1,ROW(D412)-1,COLUMN(D412)-1))</f>
        <v/>
      </c>
      <c r="E412" s="147"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I412" s="3" t="str">
        <f ca="1">IF(OFFSET('4. Work'!$A$1,ROW(I412)-1,COLUMN(I412)-1)="","",OFFSET('4. Work'!$A$1,ROW(I412)-1,COLUMN(I412)-1))</f>
        <v/>
      </c>
      <c r="T412" s="3" t="str">
        <f ca="1">IF(A412&lt;&gt;"",MAX('Initiative Indirect'!$T:$T)+(ROW(A412)-1),"")</f>
        <v/>
      </c>
      <c r="U412" s="3" t="str">
        <f ca="1">IF(B412&lt;&gt;"",INDEX('Initiative Indirect'!$T:$T,MATCH(B412,'Initiative Indirect'!$A:$A,0)),"")</f>
        <v/>
      </c>
      <c r="V412" s="3" t="str">
        <f ca="1">IF(C412&lt;&gt;"",INDEX('Team Indirect'!$T:$T,MATCH(C412,'Team Indirect'!$A:$A,0)),"")</f>
        <v/>
      </c>
      <c r="W412" s="3"/>
      <c r="X412" s="3"/>
      <c r="Y412" s="3" t="str">
        <f ca="1">IF($C412&lt;&gt;"",INDEX('Team Indirect'!$D:$D,MATCH($C412,'Team Indirect'!$A:$A,0)),"")</f>
        <v/>
      </c>
      <c r="Z412" s="3" t="str">
        <f ca="1">IF($C412&lt;&gt;"",INDEX('Team Indirect'!$E:$E,MATCH($C412,'Team Indirect'!$A:$A,0)),"")</f>
        <v/>
      </c>
      <c r="AA412" s="3" t="str">
        <f ca="1">IF($C412&lt;&gt;"",INDEX('Team Indirect'!$F:$F,MATCH($C412,'Team Indirect'!$A:$A,0)),"")</f>
        <v/>
      </c>
      <c r="AB412" s="3" t="str">
        <f t="shared" ca="1" si="6"/>
        <v/>
      </c>
      <c r="AC412" s="3">
        <f ca="1">IF(OR(AllocationUnits="Stories", AllocationUnits="Points"),'Work Indirect'!F412,F412/MAX('Work Indirect'!AB412,1))</f>
        <v>1</v>
      </c>
    </row>
    <row r="413" spans="1:29"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7" t="str">
        <f ca="1">IF(OFFSET('4. Work'!$A$1,ROW(D413)-1,COLUMN(D413)-1)="","",OFFSET('4. Work'!$A$1,ROW(D413)-1,COLUMN(D413)-1))</f>
        <v/>
      </c>
      <c r="E413" s="147"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I413" s="3" t="str">
        <f ca="1">IF(OFFSET('4. Work'!$A$1,ROW(I413)-1,COLUMN(I413)-1)="","",OFFSET('4. Work'!$A$1,ROW(I413)-1,COLUMN(I413)-1))</f>
        <v/>
      </c>
      <c r="T413" s="3" t="str">
        <f ca="1">IF(A413&lt;&gt;"",MAX('Initiative Indirect'!$T:$T)+(ROW(A413)-1),"")</f>
        <v/>
      </c>
      <c r="U413" s="3" t="str">
        <f ca="1">IF(B413&lt;&gt;"",INDEX('Initiative Indirect'!$T:$T,MATCH(B413,'Initiative Indirect'!$A:$A,0)),"")</f>
        <v/>
      </c>
      <c r="V413" s="3" t="str">
        <f ca="1">IF(C413&lt;&gt;"",INDEX('Team Indirect'!$T:$T,MATCH(C413,'Team Indirect'!$A:$A,0)),"")</f>
        <v/>
      </c>
      <c r="W413" s="3"/>
      <c r="X413" s="3"/>
      <c r="Y413" s="3" t="str">
        <f ca="1">IF($C413&lt;&gt;"",INDEX('Team Indirect'!$D:$D,MATCH($C413,'Team Indirect'!$A:$A,0)),"")</f>
        <v/>
      </c>
      <c r="Z413" s="3" t="str">
        <f ca="1">IF($C413&lt;&gt;"",INDEX('Team Indirect'!$E:$E,MATCH($C413,'Team Indirect'!$A:$A,0)),"")</f>
        <v/>
      </c>
      <c r="AA413" s="3" t="str">
        <f ca="1">IF($C413&lt;&gt;"",INDEX('Team Indirect'!$F:$F,MATCH($C413,'Team Indirect'!$A:$A,0)),"")</f>
        <v/>
      </c>
      <c r="AB413" s="3" t="str">
        <f t="shared" ca="1" si="6"/>
        <v/>
      </c>
      <c r="AC413" s="3">
        <f ca="1">IF(OR(AllocationUnits="Stories", AllocationUnits="Points"),'Work Indirect'!F413,F413/MAX('Work Indirect'!AB413,1))</f>
        <v>1</v>
      </c>
    </row>
    <row r="414" spans="1:29"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7" t="str">
        <f ca="1">IF(OFFSET('4. Work'!$A$1,ROW(D414)-1,COLUMN(D414)-1)="","",OFFSET('4. Work'!$A$1,ROW(D414)-1,COLUMN(D414)-1))</f>
        <v/>
      </c>
      <c r="E414" s="147"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I414" s="3" t="str">
        <f ca="1">IF(OFFSET('4. Work'!$A$1,ROW(I414)-1,COLUMN(I414)-1)="","",OFFSET('4. Work'!$A$1,ROW(I414)-1,COLUMN(I414)-1))</f>
        <v/>
      </c>
      <c r="T414" s="3" t="str">
        <f ca="1">IF(A414&lt;&gt;"",MAX('Initiative Indirect'!$T:$T)+(ROW(A414)-1),"")</f>
        <v/>
      </c>
      <c r="U414" s="3" t="str">
        <f ca="1">IF(B414&lt;&gt;"",INDEX('Initiative Indirect'!$T:$T,MATCH(B414,'Initiative Indirect'!$A:$A,0)),"")</f>
        <v/>
      </c>
      <c r="V414" s="3" t="str">
        <f ca="1">IF(C414&lt;&gt;"",INDEX('Team Indirect'!$T:$T,MATCH(C414,'Team Indirect'!$A:$A,0)),"")</f>
        <v/>
      </c>
      <c r="W414" s="3"/>
      <c r="X414" s="3"/>
      <c r="Y414" s="3" t="str">
        <f ca="1">IF($C414&lt;&gt;"",INDEX('Team Indirect'!$D:$D,MATCH($C414,'Team Indirect'!$A:$A,0)),"")</f>
        <v/>
      </c>
      <c r="Z414" s="3" t="str">
        <f ca="1">IF($C414&lt;&gt;"",INDEX('Team Indirect'!$E:$E,MATCH($C414,'Team Indirect'!$A:$A,0)),"")</f>
        <v/>
      </c>
      <c r="AA414" s="3" t="str">
        <f ca="1">IF($C414&lt;&gt;"",INDEX('Team Indirect'!$F:$F,MATCH($C414,'Team Indirect'!$A:$A,0)),"")</f>
        <v/>
      </c>
      <c r="AB414" s="3" t="str">
        <f t="shared" ca="1" si="6"/>
        <v/>
      </c>
      <c r="AC414" s="3">
        <f ca="1">IF(OR(AllocationUnits="Stories", AllocationUnits="Points"),'Work Indirect'!F414,F414/MAX('Work Indirect'!AB414,1))</f>
        <v>1</v>
      </c>
    </row>
    <row r="415" spans="1:29"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7" t="str">
        <f ca="1">IF(OFFSET('4. Work'!$A$1,ROW(D415)-1,COLUMN(D415)-1)="","",OFFSET('4. Work'!$A$1,ROW(D415)-1,COLUMN(D415)-1))</f>
        <v/>
      </c>
      <c r="E415" s="147"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I415" s="3" t="str">
        <f ca="1">IF(OFFSET('4. Work'!$A$1,ROW(I415)-1,COLUMN(I415)-1)="","",OFFSET('4. Work'!$A$1,ROW(I415)-1,COLUMN(I415)-1))</f>
        <v/>
      </c>
      <c r="T415" s="3" t="str">
        <f ca="1">IF(A415&lt;&gt;"",MAX('Initiative Indirect'!$T:$T)+(ROW(A415)-1),"")</f>
        <v/>
      </c>
      <c r="U415" s="3" t="str">
        <f ca="1">IF(B415&lt;&gt;"",INDEX('Initiative Indirect'!$T:$T,MATCH(B415,'Initiative Indirect'!$A:$A,0)),"")</f>
        <v/>
      </c>
      <c r="V415" s="3" t="str">
        <f ca="1">IF(C415&lt;&gt;"",INDEX('Team Indirect'!$T:$T,MATCH(C415,'Team Indirect'!$A:$A,0)),"")</f>
        <v/>
      </c>
      <c r="W415" s="3"/>
      <c r="X415" s="3"/>
      <c r="Y415" s="3" t="str">
        <f ca="1">IF($C415&lt;&gt;"",INDEX('Team Indirect'!$D:$D,MATCH($C415,'Team Indirect'!$A:$A,0)),"")</f>
        <v/>
      </c>
      <c r="Z415" s="3" t="str">
        <f ca="1">IF($C415&lt;&gt;"",INDEX('Team Indirect'!$E:$E,MATCH($C415,'Team Indirect'!$A:$A,0)),"")</f>
        <v/>
      </c>
      <c r="AA415" s="3" t="str">
        <f ca="1">IF($C415&lt;&gt;"",INDEX('Team Indirect'!$F:$F,MATCH($C415,'Team Indirect'!$A:$A,0)),"")</f>
        <v/>
      </c>
      <c r="AB415" s="3" t="str">
        <f t="shared" ca="1" si="6"/>
        <v/>
      </c>
      <c r="AC415" s="3">
        <f ca="1">IF(OR(AllocationUnits="Stories", AllocationUnits="Points"),'Work Indirect'!F415,F415/MAX('Work Indirect'!AB415,1))</f>
        <v>1</v>
      </c>
    </row>
    <row r="416" spans="1:29"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7" t="str">
        <f ca="1">IF(OFFSET('4. Work'!$A$1,ROW(D416)-1,COLUMN(D416)-1)="","",OFFSET('4. Work'!$A$1,ROW(D416)-1,COLUMN(D416)-1))</f>
        <v/>
      </c>
      <c r="E416" s="147"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I416" s="3" t="str">
        <f ca="1">IF(OFFSET('4. Work'!$A$1,ROW(I416)-1,COLUMN(I416)-1)="","",OFFSET('4. Work'!$A$1,ROW(I416)-1,COLUMN(I416)-1))</f>
        <v/>
      </c>
      <c r="T416" s="3" t="str">
        <f ca="1">IF(A416&lt;&gt;"",MAX('Initiative Indirect'!$T:$T)+(ROW(A416)-1),"")</f>
        <v/>
      </c>
      <c r="U416" s="3" t="str">
        <f ca="1">IF(B416&lt;&gt;"",INDEX('Initiative Indirect'!$T:$T,MATCH(B416,'Initiative Indirect'!$A:$A,0)),"")</f>
        <v/>
      </c>
      <c r="V416" s="3" t="str">
        <f ca="1">IF(C416&lt;&gt;"",INDEX('Team Indirect'!$T:$T,MATCH(C416,'Team Indirect'!$A:$A,0)),"")</f>
        <v/>
      </c>
      <c r="W416" s="3"/>
      <c r="X416" s="3"/>
      <c r="Y416" s="3" t="str">
        <f ca="1">IF($C416&lt;&gt;"",INDEX('Team Indirect'!$D:$D,MATCH($C416,'Team Indirect'!$A:$A,0)),"")</f>
        <v/>
      </c>
      <c r="Z416" s="3" t="str">
        <f ca="1">IF($C416&lt;&gt;"",INDEX('Team Indirect'!$E:$E,MATCH($C416,'Team Indirect'!$A:$A,0)),"")</f>
        <v/>
      </c>
      <c r="AA416" s="3" t="str">
        <f ca="1">IF($C416&lt;&gt;"",INDEX('Team Indirect'!$F:$F,MATCH($C416,'Team Indirect'!$A:$A,0)),"")</f>
        <v/>
      </c>
      <c r="AB416" s="3" t="str">
        <f t="shared" ca="1" si="6"/>
        <v/>
      </c>
      <c r="AC416" s="3">
        <f ca="1">IF(OR(AllocationUnits="Stories", AllocationUnits="Points"),'Work Indirect'!F416,F416/MAX('Work Indirect'!AB416,1))</f>
        <v>1</v>
      </c>
    </row>
    <row r="417" spans="1:29"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7" t="str">
        <f ca="1">IF(OFFSET('4. Work'!$A$1,ROW(D417)-1,COLUMN(D417)-1)="","",OFFSET('4. Work'!$A$1,ROW(D417)-1,COLUMN(D417)-1))</f>
        <v/>
      </c>
      <c r="E417" s="147"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I417" s="3" t="str">
        <f ca="1">IF(OFFSET('4. Work'!$A$1,ROW(I417)-1,COLUMN(I417)-1)="","",OFFSET('4. Work'!$A$1,ROW(I417)-1,COLUMN(I417)-1))</f>
        <v/>
      </c>
      <c r="T417" s="3" t="str">
        <f ca="1">IF(A417&lt;&gt;"",MAX('Initiative Indirect'!$T:$T)+(ROW(A417)-1),"")</f>
        <v/>
      </c>
      <c r="U417" s="3" t="str">
        <f ca="1">IF(B417&lt;&gt;"",INDEX('Initiative Indirect'!$T:$T,MATCH(B417,'Initiative Indirect'!$A:$A,0)),"")</f>
        <v/>
      </c>
      <c r="V417" s="3" t="str">
        <f ca="1">IF(C417&lt;&gt;"",INDEX('Team Indirect'!$T:$T,MATCH(C417,'Team Indirect'!$A:$A,0)),"")</f>
        <v/>
      </c>
      <c r="W417" s="3"/>
      <c r="X417" s="3"/>
      <c r="Y417" s="3" t="str">
        <f ca="1">IF($C417&lt;&gt;"",INDEX('Team Indirect'!$D:$D,MATCH($C417,'Team Indirect'!$A:$A,0)),"")</f>
        <v/>
      </c>
      <c r="Z417" s="3" t="str">
        <f ca="1">IF($C417&lt;&gt;"",INDEX('Team Indirect'!$E:$E,MATCH($C417,'Team Indirect'!$A:$A,0)),"")</f>
        <v/>
      </c>
      <c r="AA417" s="3" t="str">
        <f ca="1">IF($C417&lt;&gt;"",INDEX('Team Indirect'!$F:$F,MATCH($C417,'Team Indirect'!$A:$A,0)),"")</f>
        <v/>
      </c>
      <c r="AB417" s="3" t="str">
        <f t="shared" ca="1" si="6"/>
        <v/>
      </c>
      <c r="AC417" s="3">
        <f ca="1">IF(OR(AllocationUnits="Stories", AllocationUnits="Points"),'Work Indirect'!F417,F417/MAX('Work Indirect'!AB417,1))</f>
        <v>1</v>
      </c>
    </row>
    <row r="418" spans="1:29"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7" t="str">
        <f ca="1">IF(OFFSET('4. Work'!$A$1,ROW(D418)-1,COLUMN(D418)-1)="","",OFFSET('4. Work'!$A$1,ROW(D418)-1,COLUMN(D418)-1))</f>
        <v/>
      </c>
      <c r="E418" s="147"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I418" s="3" t="str">
        <f ca="1">IF(OFFSET('4. Work'!$A$1,ROW(I418)-1,COLUMN(I418)-1)="","",OFFSET('4. Work'!$A$1,ROW(I418)-1,COLUMN(I418)-1))</f>
        <v/>
      </c>
      <c r="T418" s="3" t="str">
        <f ca="1">IF(A418&lt;&gt;"",MAX('Initiative Indirect'!$T:$T)+(ROW(A418)-1),"")</f>
        <v/>
      </c>
      <c r="U418" s="3" t="str">
        <f ca="1">IF(B418&lt;&gt;"",INDEX('Initiative Indirect'!$T:$T,MATCH(B418,'Initiative Indirect'!$A:$A,0)),"")</f>
        <v/>
      </c>
      <c r="V418" s="3" t="str">
        <f ca="1">IF(C418&lt;&gt;"",INDEX('Team Indirect'!$T:$T,MATCH(C418,'Team Indirect'!$A:$A,0)),"")</f>
        <v/>
      </c>
      <c r="W418" s="3"/>
      <c r="X418" s="3"/>
      <c r="Y418" s="3" t="str">
        <f ca="1">IF($C418&lt;&gt;"",INDEX('Team Indirect'!$D:$D,MATCH($C418,'Team Indirect'!$A:$A,0)),"")</f>
        <v/>
      </c>
      <c r="Z418" s="3" t="str">
        <f ca="1">IF($C418&lt;&gt;"",INDEX('Team Indirect'!$E:$E,MATCH($C418,'Team Indirect'!$A:$A,0)),"")</f>
        <v/>
      </c>
      <c r="AA418" s="3" t="str">
        <f ca="1">IF($C418&lt;&gt;"",INDEX('Team Indirect'!$F:$F,MATCH($C418,'Team Indirect'!$A:$A,0)),"")</f>
        <v/>
      </c>
      <c r="AB418" s="3" t="str">
        <f t="shared" ca="1" si="6"/>
        <v/>
      </c>
      <c r="AC418" s="3">
        <f ca="1">IF(OR(AllocationUnits="Stories", AllocationUnits="Points"),'Work Indirect'!F418,F418/MAX('Work Indirect'!AB418,1))</f>
        <v>1</v>
      </c>
    </row>
    <row r="419" spans="1:29"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7" t="str">
        <f ca="1">IF(OFFSET('4. Work'!$A$1,ROW(D419)-1,COLUMN(D419)-1)="","",OFFSET('4. Work'!$A$1,ROW(D419)-1,COLUMN(D419)-1))</f>
        <v/>
      </c>
      <c r="E419" s="147"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I419" s="3" t="str">
        <f ca="1">IF(OFFSET('4. Work'!$A$1,ROW(I419)-1,COLUMN(I419)-1)="","",OFFSET('4. Work'!$A$1,ROW(I419)-1,COLUMN(I419)-1))</f>
        <v/>
      </c>
      <c r="T419" s="3" t="str">
        <f ca="1">IF(A419&lt;&gt;"",MAX('Initiative Indirect'!$T:$T)+(ROW(A419)-1),"")</f>
        <v/>
      </c>
      <c r="U419" s="3" t="str">
        <f ca="1">IF(B419&lt;&gt;"",INDEX('Initiative Indirect'!$T:$T,MATCH(B419,'Initiative Indirect'!$A:$A,0)),"")</f>
        <v/>
      </c>
      <c r="V419" s="3" t="str">
        <f ca="1">IF(C419&lt;&gt;"",INDEX('Team Indirect'!$T:$T,MATCH(C419,'Team Indirect'!$A:$A,0)),"")</f>
        <v/>
      </c>
      <c r="W419" s="3"/>
      <c r="X419" s="3"/>
      <c r="Y419" s="3" t="str">
        <f ca="1">IF($C419&lt;&gt;"",INDEX('Team Indirect'!$D:$D,MATCH($C419,'Team Indirect'!$A:$A,0)),"")</f>
        <v/>
      </c>
      <c r="Z419" s="3" t="str">
        <f ca="1">IF($C419&lt;&gt;"",INDEX('Team Indirect'!$E:$E,MATCH($C419,'Team Indirect'!$A:$A,0)),"")</f>
        <v/>
      </c>
      <c r="AA419" s="3" t="str">
        <f ca="1">IF($C419&lt;&gt;"",INDEX('Team Indirect'!$F:$F,MATCH($C419,'Team Indirect'!$A:$A,0)),"")</f>
        <v/>
      </c>
      <c r="AB419" s="3" t="str">
        <f t="shared" ca="1" si="6"/>
        <v/>
      </c>
      <c r="AC419" s="3">
        <f ca="1">IF(OR(AllocationUnits="Stories", AllocationUnits="Points"),'Work Indirect'!F419,F419/MAX('Work Indirect'!AB419,1))</f>
        <v>1</v>
      </c>
    </row>
    <row r="420" spans="1:29"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7" t="str">
        <f ca="1">IF(OFFSET('4. Work'!$A$1,ROW(D420)-1,COLUMN(D420)-1)="","",OFFSET('4. Work'!$A$1,ROW(D420)-1,COLUMN(D420)-1))</f>
        <v/>
      </c>
      <c r="E420" s="147"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I420" s="3" t="str">
        <f ca="1">IF(OFFSET('4. Work'!$A$1,ROW(I420)-1,COLUMN(I420)-1)="","",OFFSET('4. Work'!$A$1,ROW(I420)-1,COLUMN(I420)-1))</f>
        <v/>
      </c>
      <c r="T420" s="3" t="str">
        <f ca="1">IF(A420&lt;&gt;"",MAX('Initiative Indirect'!$T:$T)+(ROW(A420)-1),"")</f>
        <v/>
      </c>
      <c r="U420" s="3" t="str">
        <f ca="1">IF(B420&lt;&gt;"",INDEX('Initiative Indirect'!$T:$T,MATCH(B420,'Initiative Indirect'!$A:$A,0)),"")</f>
        <v/>
      </c>
      <c r="V420" s="3" t="str">
        <f ca="1">IF(C420&lt;&gt;"",INDEX('Team Indirect'!$T:$T,MATCH(C420,'Team Indirect'!$A:$A,0)),"")</f>
        <v/>
      </c>
      <c r="W420" s="3"/>
      <c r="X420" s="3"/>
      <c r="Y420" s="3" t="str">
        <f ca="1">IF($C420&lt;&gt;"",INDEX('Team Indirect'!$D:$D,MATCH($C420,'Team Indirect'!$A:$A,0)),"")</f>
        <v/>
      </c>
      <c r="Z420" s="3" t="str">
        <f ca="1">IF($C420&lt;&gt;"",INDEX('Team Indirect'!$E:$E,MATCH($C420,'Team Indirect'!$A:$A,0)),"")</f>
        <v/>
      </c>
      <c r="AA420" s="3" t="str">
        <f ca="1">IF($C420&lt;&gt;"",INDEX('Team Indirect'!$F:$F,MATCH($C420,'Team Indirect'!$A:$A,0)),"")</f>
        <v/>
      </c>
      <c r="AB420" s="3" t="str">
        <f t="shared" ca="1" si="6"/>
        <v/>
      </c>
      <c r="AC420" s="3">
        <f ca="1">IF(OR(AllocationUnits="Stories", AllocationUnits="Points"),'Work Indirect'!F420,F420/MAX('Work Indirect'!AB420,1))</f>
        <v>1</v>
      </c>
    </row>
    <row r="421" spans="1:29"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7" t="str">
        <f ca="1">IF(OFFSET('4. Work'!$A$1,ROW(D421)-1,COLUMN(D421)-1)="","",OFFSET('4. Work'!$A$1,ROW(D421)-1,COLUMN(D421)-1))</f>
        <v/>
      </c>
      <c r="E421" s="147"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I421" s="3" t="str">
        <f ca="1">IF(OFFSET('4. Work'!$A$1,ROW(I421)-1,COLUMN(I421)-1)="","",OFFSET('4. Work'!$A$1,ROW(I421)-1,COLUMN(I421)-1))</f>
        <v/>
      </c>
      <c r="T421" s="3" t="str">
        <f ca="1">IF(A421&lt;&gt;"",MAX('Initiative Indirect'!$T:$T)+(ROW(A421)-1),"")</f>
        <v/>
      </c>
      <c r="U421" s="3" t="str">
        <f ca="1">IF(B421&lt;&gt;"",INDEX('Initiative Indirect'!$T:$T,MATCH(B421,'Initiative Indirect'!$A:$A,0)),"")</f>
        <v/>
      </c>
      <c r="V421" s="3" t="str">
        <f ca="1">IF(C421&lt;&gt;"",INDEX('Team Indirect'!$T:$T,MATCH(C421,'Team Indirect'!$A:$A,0)),"")</f>
        <v/>
      </c>
      <c r="W421" s="3"/>
      <c r="X421" s="3"/>
      <c r="Y421" s="3" t="str">
        <f ca="1">IF($C421&lt;&gt;"",INDEX('Team Indirect'!$D:$D,MATCH($C421,'Team Indirect'!$A:$A,0)),"")</f>
        <v/>
      </c>
      <c r="Z421" s="3" t="str">
        <f ca="1">IF($C421&lt;&gt;"",INDEX('Team Indirect'!$E:$E,MATCH($C421,'Team Indirect'!$A:$A,0)),"")</f>
        <v/>
      </c>
      <c r="AA421" s="3" t="str">
        <f ca="1">IF($C421&lt;&gt;"",INDEX('Team Indirect'!$F:$F,MATCH($C421,'Team Indirect'!$A:$A,0)),"")</f>
        <v/>
      </c>
      <c r="AB421" s="3" t="str">
        <f t="shared" ca="1" si="6"/>
        <v/>
      </c>
      <c r="AC421" s="3">
        <f ca="1">IF(OR(AllocationUnits="Stories", AllocationUnits="Points"),'Work Indirect'!F421,F421/MAX('Work Indirect'!AB421,1))</f>
        <v>1</v>
      </c>
    </row>
    <row r="422" spans="1:29"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7" t="str">
        <f ca="1">IF(OFFSET('4. Work'!$A$1,ROW(D422)-1,COLUMN(D422)-1)="","",OFFSET('4. Work'!$A$1,ROW(D422)-1,COLUMN(D422)-1))</f>
        <v/>
      </c>
      <c r="E422" s="147"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I422" s="3" t="str">
        <f ca="1">IF(OFFSET('4. Work'!$A$1,ROW(I422)-1,COLUMN(I422)-1)="","",OFFSET('4. Work'!$A$1,ROW(I422)-1,COLUMN(I422)-1))</f>
        <v/>
      </c>
      <c r="T422" s="3" t="str">
        <f ca="1">IF(A422&lt;&gt;"",MAX('Initiative Indirect'!$T:$T)+(ROW(A422)-1),"")</f>
        <v/>
      </c>
      <c r="U422" s="3" t="str">
        <f ca="1">IF(B422&lt;&gt;"",INDEX('Initiative Indirect'!$T:$T,MATCH(B422,'Initiative Indirect'!$A:$A,0)),"")</f>
        <v/>
      </c>
      <c r="V422" s="3" t="str">
        <f ca="1">IF(C422&lt;&gt;"",INDEX('Team Indirect'!$T:$T,MATCH(C422,'Team Indirect'!$A:$A,0)),"")</f>
        <v/>
      </c>
      <c r="W422" s="3"/>
      <c r="X422" s="3"/>
      <c r="Y422" s="3" t="str">
        <f ca="1">IF($C422&lt;&gt;"",INDEX('Team Indirect'!$D:$D,MATCH($C422,'Team Indirect'!$A:$A,0)),"")</f>
        <v/>
      </c>
      <c r="Z422" s="3" t="str">
        <f ca="1">IF($C422&lt;&gt;"",INDEX('Team Indirect'!$E:$E,MATCH($C422,'Team Indirect'!$A:$A,0)),"")</f>
        <v/>
      </c>
      <c r="AA422" s="3" t="str">
        <f ca="1">IF($C422&lt;&gt;"",INDEX('Team Indirect'!$F:$F,MATCH($C422,'Team Indirect'!$A:$A,0)),"")</f>
        <v/>
      </c>
      <c r="AB422" s="3" t="str">
        <f t="shared" ca="1" si="6"/>
        <v/>
      </c>
      <c r="AC422" s="3">
        <f ca="1">IF(OR(AllocationUnits="Stories", AllocationUnits="Points"),'Work Indirect'!F422,F422/MAX('Work Indirect'!AB422,1))</f>
        <v>1</v>
      </c>
    </row>
    <row r="423" spans="1:29"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7" t="str">
        <f ca="1">IF(OFFSET('4. Work'!$A$1,ROW(D423)-1,COLUMN(D423)-1)="","",OFFSET('4. Work'!$A$1,ROW(D423)-1,COLUMN(D423)-1))</f>
        <v/>
      </c>
      <c r="E423" s="147"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I423" s="3" t="str">
        <f ca="1">IF(OFFSET('4. Work'!$A$1,ROW(I423)-1,COLUMN(I423)-1)="","",OFFSET('4. Work'!$A$1,ROW(I423)-1,COLUMN(I423)-1))</f>
        <v/>
      </c>
      <c r="T423" s="3" t="str">
        <f ca="1">IF(A423&lt;&gt;"",MAX('Initiative Indirect'!$T:$T)+(ROW(A423)-1),"")</f>
        <v/>
      </c>
      <c r="U423" s="3" t="str">
        <f ca="1">IF(B423&lt;&gt;"",INDEX('Initiative Indirect'!$T:$T,MATCH(B423,'Initiative Indirect'!$A:$A,0)),"")</f>
        <v/>
      </c>
      <c r="V423" s="3" t="str">
        <f ca="1">IF(C423&lt;&gt;"",INDEX('Team Indirect'!$T:$T,MATCH(C423,'Team Indirect'!$A:$A,0)),"")</f>
        <v/>
      </c>
      <c r="W423" s="3"/>
      <c r="X423" s="3"/>
      <c r="Y423" s="3" t="str">
        <f ca="1">IF($C423&lt;&gt;"",INDEX('Team Indirect'!$D:$D,MATCH($C423,'Team Indirect'!$A:$A,0)),"")</f>
        <v/>
      </c>
      <c r="Z423" s="3" t="str">
        <f ca="1">IF($C423&lt;&gt;"",INDEX('Team Indirect'!$E:$E,MATCH($C423,'Team Indirect'!$A:$A,0)),"")</f>
        <v/>
      </c>
      <c r="AA423" s="3" t="str">
        <f ca="1">IF($C423&lt;&gt;"",INDEX('Team Indirect'!$F:$F,MATCH($C423,'Team Indirect'!$A:$A,0)),"")</f>
        <v/>
      </c>
      <c r="AB423" s="3" t="str">
        <f t="shared" ca="1" si="6"/>
        <v/>
      </c>
      <c r="AC423" s="3">
        <f ca="1">IF(OR(AllocationUnits="Stories", AllocationUnits="Points"),'Work Indirect'!F423,F423/MAX('Work Indirect'!AB423,1))</f>
        <v>1</v>
      </c>
    </row>
    <row r="424" spans="1:29"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7" t="str">
        <f ca="1">IF(OFFSET('4. Work'!$A$1,ROW(D424)-1,COLUMN(D424)-1)="","",OFFSET('4. Work'!$A$1,ROW(D424)-1,COLUMN(D424)-1))</f>
        <v/>
      </c>
      <c r="E424" s="147"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I424" s="3" t="str">
        <f ca="1">IF(OFFSET('4. Work'!$A$1,ROW(I424)-1,COLUMN(I424)-1)="","",OFFSET('4. Work'!$A$1,ROW(I424)-1,COLUMN(I424)-1))</f>
        <v/>
      </c>
      <c r="T424" s="3" t="str">
        <f ca="1">IF(A424&lt;&gt;"",MAX('Initiative Indirect'!$T:$T)+(ROW(A424)-1),"")</f>
        <v/>
      </c>
      <c r="U424" s="3" t="str">
        <f ca="1">IF(B424&lt;&gt;"",INDEX('Initiative Indirect'!$T:$T,MATCH(B424,'Initiative Indirect'!$A:$A,0)),"")</f>
        <v/>
      </c>
      <c r="V424" s="3" t="str">
        <f ca="1">IF(C424&lt;&gt;"",INDEX('Team Indirect'!$T:$T,MATCH(C424,'Team Indirect'!$A:$A,0)),"")</f>
        <v/>
      </c>
      <c r="W424" s="3"/>
      <c r="X424" s="3"/>
      <c r="Y424" s="3" t="str">
        <f ca="1">IF($C424&lt;&gt;"",INDEX('Team Indirect'!$D:$D,MATCH($C424,'Team Indirect'!$A:$A,0)),"")</f>
        <v/>
      </c>
      <c r="Z424" s="3" t="str">
        <f ca="1">IF($C424&lt;&gt;"",INDEX('Team Indirect'!$E:$E,MATCH($C424,'Team Indirect'!$A:$A,0)),"")</f>
        <v/>
      </c>
      <c r="AA424" s="3" t="str">
        <f ca="1">IF($C424&lt;&gt;"",INDEX('Team Indirect'!$F:$F,MATCH($C424,'Team Indirect'!$A:$A,0)),"")</f>
        <v/>
      </c>
      <c r="AB424" s="3" t="str">
        <f t="shared" ca="1" si="6"/>
        <v/>
      </c>
      <c r="AC424" s="3">
        <f ca="1">IF(OR(AllocationUnits="Stories", AllocationUnits="Points"),'Work Indirect'!F424,F424/MAX('Work Indirect'!AB424,1))</f>
        <v>1</v>
      </c>
    </row>
    <row r="425" spans="1:29"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7" t="str">
        <f ca="1">IF(OFFSET('4. Work'!$A$1,ROW(D425)-1,COLUMN(D425)-1)="","",OFFSET('4. Work'!$A$1,ROW(D425)-1,COLUMN(D425)-1))</f>
        <v/>
      </c>
      <c r="E425" s="147"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I425" s="3" t="str">
        <f ca="1">IF(OFFSET('4. Work'!$A$1,ROW(I425)-1,COLUMN(I425)-1)="","",OFFSET('4. Work'!$A$1,ROW(I425)-1,COLUMN(I425)-1))</f>
        <v/>
      </c>
      <c r="T425" s="3" t="str">
        <f ca="1">IF(A425&lt;&gt;"",MAX('Initiative Indirect'!$T:$T)+(ROW(A425)-1),"")</f>
        <v/>
      </c>
      <c r="U425" s="3" t="str">
        <f ca="1">IF(B425&lt;&gt;"",INDEX('Initiative Indirect'!$T:$T,MATCH(B425,'Initiative Indirect'!$A:$A,0)),"")</f>
        <v/>
      </c>
      <c r="V425" s="3" t="str">
        <f ca="1">IF(C425&lt;&gt;"",INDEX('Team Indirect'!$T:$T,MATCH(C425,'Team Indirect'!$A:$A,0)),"")</f>
        <v/>
      </c>
      <c r="W425" s="3"/>
      <c r="X425" s="3"/>
      <c r="Y425" s="3" t="str">
        <f ca="1">IF($C425&lt;&gt;"",INDEX('Team Indirect'!$D:$D,MATCH($C425,'Team Indirect'!$A:$A,0)),"")</f>
        <v/>
      </c>
      <c r="Z425" s="3" t="str">
        <f ca="1">IF($C425&lt;&gt;"",INDEX('Team Indirect'!$E:$E,MATCH($C425,'Team Indirect'!$A:$A,0)),"")</f>
        <v/>
      </c>
      <c r="AA425" s="3" t="str">
        <f ca="1">IF($C425&lt;&gt;"",INDEX('Team Indirect'!$F:$F,MATCH($C425,'Team Indirect'!$A:$A,0)),"")</f>
        <v/>
      </c>
      <c r="AB425" s="3" t="str">
        <f t="shared" ca="1" si="6"/>
        <v/>
      </c>
      <c r="AC425" s="3">
        <f ca="1">IF(OR(AllocationUnits="Stories", AllocationUnits="Points"),'Work Indirect'!F425,F425/MAX('Work Indirect'!AB425,1))</f>
        <v>1</v>
      </c>
    </row>
    <row r="426" spans="1:29"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7" t="str">
        <f ca="1">IF(OFFSET('4. Work'!$A$1,ROW(D426)-1,COLUMN(D426)-1)="","",OFFSET('4. Work'!$A$1,ROW(D426)-1,COLUMN(D426)-1))</f>
        <v/>
      </c>
      <c r="E426" s="147"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I426" s="3" t="str">
        <f ca="1">IF(OFFSET('4. Work'!$A$1,ROW(I426)-1,COLUMN(I426)-1)="","",OFFSET('4. Work'!$A$1,ROW(I426)-1,COLUMN(I426)-1))</f>
        <v/>
      </c>
      <c r="T426" s="3" t="str">
        <f ca="1">IF(A426&lt;&gt;"",MAX('Initiative Indirect'!$T:$T)+(ROW(A426)-1),"")</f>
        <v/>
      </c>
      <c r="U426" s="3" t="str">
        <f ca="1">IF(B426&lt;&gt;"",INDEX('Initiative Indirect'!$T:$T,MATCH(B426,'Initiative Indirect'!$A:$A,0)),"")</f>
        <v/>
      </c>
      <c r="V426" s="3" t="str">
        <f ca="1">IF(C426&lt;&gt;"",INDEX('Team Indirect'!$T:$T,MATCH(C426,'Team Indirect'!$A:$A,0)),"")</f>
        <v/>
      </c>
      <c r="W426" s="3"/>
      <c r="X426" s="3"/>
      <c r="Y426" s="3" t="str">
        <f ca="1">IF($C426&lt;&gt;"",INDEX('Team Indirect'!$D:$D,MATCH($C426,'Team Indirect'!$A:$A,0)),"")</f>
        <v/>
      </c>
      <c r="Z426" s="3" t="str">
        <f ca="1">IF($C426&lt;&gt;"",INDEX('Team Indirect'!$E:$E,MATCH($C426,'Team Indirect'!$A:$A,0)),"")</f>
        <v/>
      </c>
      <c r="AA426" s="3" t="str">
        <f ca="1">IF($C426&lt;&gt;"",INDEX('Team Indirect'!$F:$F,MATCH($C426,'Team Indirect'!$A:$A,0)),"")</f>
        <v/>
      </c>
      <c r="AB426" s="3" t="str">
        <f t="shared" ca="1" si="6"/>
        <v/>
      </c>
      <c r="AC426" s="3">
        <f ca="1">IF(OR(AllocationUnits="Stories", AllocationUnits="Points"),'Work Indirect'!F426,F426/MAX('Work Indirect'!AB426,1))</f>
        <v>1</v>
      </c>
    </row>
    <row r="427" spans="1:29"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7" t="str">
        <f ca="1">IF(OFFSET('4. Work'!$A$1,ROW(D427)-1,COLUMN(D427)-1)="","",OFFSET('4. Work'!$A$1,ROW(D427)-1,COLUMN(D427)-1))</f>
        <v/>
      </c>
      <c r="E427" s="147"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I427" s="3" t="str">
        <f ca="1">IF(OFFSET('4. Work'!$A$1,ROW(I427)-1,COLUMN(I427)-1)="","",OFFSET('4. Work'!$A$1,ROW(I427)-1,COLUMN(I427)-1))</f>
        <v/>
      </c>
      <c r="T427" s="3" t="str">
        <f ca="1">IF(A427&lt;&gt;"",MAX('Initiative Indirect'!$T:$T)+(ROW(A427)-1),"")</f>
        <v/>
      </c>
      <c r="U427" s="3" t="str">
        <f ca="1">IF(B427&lt;&gt;"",INDEX('Initiative Indirect'!$T:$T,MATCH(B427,'Initiative Indirect'!$A:$A,0)),"")</f>
        <v/>
      </c>
      <c r="V427" s="3" t="str">
        <f ca="1">IF(C427&lt;&gt;"",INDEX('Team Indirect'!$T:$T,MATCH(C427,'Team Indirect'!$A:$A,0)),"")</f>
        <v/>
      </c>
      <c r="W427" s="3"/>
      <c r="X427" s="3"/>
      <c r="Y427" s="3" t="str">
        <f ca="1">IF($C427&lt;&gt;"",INDEX('Team Indirect'!$D:$D,MATCH($C427,'Team Indirect'!$A:$A,0)),"")</f>
        <v/>
      </c>
      <c r="Z427" s="3" t="str">
        <f ca="1">IF($C427&lt;&gt;"",INDEX('Team Indirect'!$E:$E,MATCH($C427,'Team Indirect'!$A:$A,0)),"")</f>
        <v/>
      </c>
      <c r="AA427" s="3" t="str">
        <f ca="1">IF($C427&lt;&gt;"",INDEX('Team Indirect'!$F:$F,MATCH($C427,'Team Indirect'!$A:$A,0)),"")</f>
        <v/>
      </c>
      <c r="AB427" s="3" t="str">
        <f t="shared" ca="1" si="6"/>
        <v/>
      </c>
      <c r="AC427" s="3">
        <f ca="1">IF(OR(AllocationUnits="Stories", AllocationUnits="Points"),'Work Indirect'!F427,F427/MAX('Work Indirect'!AB427,1))</f>
        <v>1</v>
      </c>
    </row>
    <row r="428" spans="1:29"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7" t="str">
        <f ca="1">IF(OFFSET('4. Work'!$A$1,ROW(D428)-1,COLUMN(D428)-1)="","",OFFSET('4. Work'!$A$1,ROW(D428)-1,COLUMN(D428)-1))</f>
        <v/>
      </c>
      <c r="E428" s="147"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I428" s="3" t="str">
        <f ca="1">IF(OFFSET('4. Work'!$A$1,ROW(I428)-1,COLUMN(I428)-1)="","",OFFSET('4. Work'!$A$1,ROW(I428)-1,COLUMN(I428)-1))</f>
        <v/>
      </c>
      <c r="T428" s="3" t="str">
        <f ca="1">IF(A428&lt;&gt;"",MAX('Initiative Indirect'!$T:$T)+(ROW(A428)-1),"")</f>
        <v/>
      </c>
      <c r="U428" s="3" t="str">
        <f ca="1">IF(B428&lt;&gt;"",INDEX('Initiative Indirect'!$T:$T,MATCH(B428,'Initiative Indirect'!$A:$A,0)),"")</f>
        <v/>
      </c>
      <c r="V428" s="3" t="str">
        <f ca="1">IF(C428&lt;&gt;"",INDEX('Team Indirect'!$T:$T,MATCH(C428,'Team Indirect'!$A:$A,0)),"")</f>
        <v/>
      </c>
      <c r="W428" s="3"/>
      <c r="X428" s="3"/>
      <c r="Y428" s="3" t="str">
        <f ca="1">IF($C428&lt;&gt;"",INDEX('Team Indirect'!$D:$D,MATCH($C428,'Team Indirect'!$A:$A,0)),"")</f>
        <v/>
      </c>
      <c r="Z428" s="3" t="str">
        <f ca="1">IF($C428&lt;&gt;"",INDEX('Team Indirect'!$E:$E,MATCH($C428,'Team Indirect'!$A:$A,0)),"")</f>
        <v/>
      </c>
      <c r="AA428" s="3" t="str">
        <f ca="1">IF($C428&lt;&gt;"",INDEX('Team Indirect'!$F:$F,MATCH($C428,'Team Indirect'!$A:$A,0)),"")</f>
        <v/>
      </c>
      <c r="AB428" s="3" t="str">
        <f t="shared" ca="1" si="6"/>
        <v/>
      </c>
      <c r="AC428" s="3">
        <f ca="1">IF(OR(AllocationUnits="Stories", AllocationUnits="Points"),'Work Indirect'!F428,F428/MAX('Work Indirect'!AB428,1))</f>
        <v>1</v>
      </c>
    </row>
    <row r="429" spans="1:29"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7" t="str">
        <f ca="1">IF(OFFSET('4. Work'!$A$1,ROW(D429)-1,COLUMN(D429)-1)="","",OFFSET('4. Work'!$A$1,ROW(D429)-1,COLUMN(D429)-1))</f>
        <v/>
      </c>
      <c r="E429" s="147"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I429" s="3" t="str">
        <f ca="1">IF(OFFSET('4. Work'!$A$1,ROW(I429)-1,COLUMN(I429)-1)="","",OFFSET('4. Work'!$A$1,ROW(I429)-1,COLUMN(I429)-1))</f>
        <v/>
      </c>
      <c r="T429" s="3" t="str">
        <f ca="1">IF(A429&lt;&gt;"",MAX('Initiative Indirect'!$T:$T)+(ROW(A429)-1),"")</f>
        <v/>
      </c>
      <c r="U429" s="3" t="str">
        <f ca="1">IF(B429&lt;&gt;"",INDEX('Initiative Indirect'!$T:$T,MATCH(B429,'Initiative Indirect'!$A:$A,0)),"")</f>
        <v/>
      </c>
      <c r="V429" s="3" t="str">
        <f ca="1">IF(C429&lt;&gt;"",INDEX('Team Indirect'!$T:$T,MATCH(C429,'Team Indirect'!$A:$A,0)),"")</f>
        <v/>
      </c>
      <c r="W429" s="3"/>
      <c r="X429" s="3"/>
      <c r="Y429" s="3" t="str">
        <f ca="1">IF($C429&lt;&gt;"",INDEX('Team Indirect'!$D:$D,MATCH($C429,'Team Indirect'!$A:$A,0)),"")</f>
        <v/>
      </c>
      <c r="Z429" s="3" t="str">
        <f ca="1">IF($C429&lt;&gt;"",INDEX('Team Indirect'!$E:$E,MATCH($C429,'Team Indirect'!$A:$A,0)),"")</f>
        <v/>
      </c>
      <c r="AA429" s="3" t="str">
        <f ca="1">IF($C429&lt;&gt;"",INDEX('Team Indirect'!$F:$F,MATCH($C429,'Team Indirect'!$A:$A,0)),"")</f>
        <v/>
      </c>
      <c r="AB429" s="3" t="str">
        <f t="shared" ca="1" si="6"/>
        <v/>
      </c>
      <c r="AC429" s="3">
        <f ca="1">IF(OR(AllocationUnits="Stories", AllocationUnits="Points"),'Work Indirect'!F429,F429/MAX('Work Indirect'!AB429,1))</f>
        <v>1</v>
      </c>
    </row>
    <row r="430" spans="1:29"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7" t="str">
        <f ca="1">IF(OFFSET('4. Work'!$A$1,ROW(D430)-1,COLUMN(D430)-1)="","",OFFSET('4. Work'!$A$1,ROW(D430)-1,COLUMN(D430)-1))</f>
        <v/>
      </c>
      <c r="E430" s="147"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I430" s="3" t="str">
        <f ca="1">IF(OFFSET('4. Work'!$A$1,ROW(I430)-1,COLUMN(I430)-1)="","",OFFSET('4. Work'!$A$1,ROW(I430)-1,COLUMN(I430)-1))</f>
        <v/>
      </c>
      <c r="T430" s="3" t="str">
        <f ca="1">IF(A430&lt;&gt;"",MAX('Initiative Indirect'!$T:$T)+(ROW(A430)-1),"")</f>
        <v/>
      </c>
      <c r="U430" s="3" t="str">
        <f ca="1">IF(B430&lt;&gt;"",INDEX('Initiative Indirect'!$T:$T,MATCH(B430,'Initiative Indirect'!$A:$A,0)),"")</f>
        <v/>
      </c>
      <c r="V430" s="3" t="str">
        <f ca="1">IF(C430&lt;&gt;"",INDEX('Team Indirect'!$T:$T,MATCH(C430,'Team Indirect'!$A:$A,0)),"")</f>
        <v/>
      </c>
      <c r="W430" s="3"/>
      <c r="X430" s="3"/>
      <c r="Y430" s="3" t="str">
        <f ca="1">IF($C430&lt;&gt;"",INDEX('Team Indirect'!$D:$D,MATCH($C430,'Team Indirect'!$A:$A,0)),"")</f>
        <v/>
      </c>
      <c r="Z430" s="3" t="str">
        <f ca="1">IF($C430&lt;&gt;"",INDEX('Team Indirect'!$E:$E,MATCH($C430,'Team Indirect'!$A:$A,0)),"")</f>
        <v/>
      </c>
      <c r="AA430" s="3" t="str">
        <f ca="1">IF($C430&lt;&gt;"",INDEX('Team Indirect'!$F:$F,MATCH($C430,'Team Indirect'!$A:$A,0)),"")</f>
        <v/>
      </c>
      <c r="AB430" s="3" t="str">
        <f t="shared" ca="1" si="6"/>
        <v/>
      </c>
      <c r="AC430" s="3">
        <f ca="1">IF(OR(AllocationUnits="Stories", AllocationUnits="Points"),'Work Indirect'!F430,F430/MAX('Work Indirect'!AB430,1))</f>
        <v>1</v>
      </c>
    </row>
    <row r="431" spans="1:29"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7" t="str">
        <f ca="1">IF(OFFSET('4. Work'!$A$1,ROW(D431)-1,COLUMN(D431)-1)="","",OFFSET('4. Work'!$A$1,ROW(D431)-1,COLUMN(D431)-1))</f>
        <v/>
      </c>
      <c r="E431" s="147"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I431" s="3" t="str">
        <f ca="1">IF(OFFSET('4. Work'!$A$1,ROW(I431)-1,COLUMN(I431)-1)="","",OFFSET('4. Work'!$A$1,ROW(I431)-1,COLUMN(I431)-1))</f>
        <v/>
      </c>
      <c r="T431" s="3" t="str">
        <f ca="1">IF(A431&lt;&gt;"",MAX('Initiative Indirect'!$T:$T)+(ROW(A431)-1),"")</f>
        <v/>
      </c>
      <c r="U431" s="3" t="str">
        <f ca="1">IF(B431&lt;&gt;"",INDEX('Initiative Indirect'!$T:$T,MATCH(B431,'Initiative Indirect'!$A:$A,0)),"")</f>
        <v/>
      </c>
      <c r="V431" s="3" t="str">
        <f ca="1">IF(C431&lt;&gt;"",INDEX('Team Indirect'!$T:$T,MATCH(C431,'Team Indirect'!$A:$A,0)),"")</f>
        <v/>
      </c>
      <c r="W431" s="3"/>
      <c r="X431" s="3"/>
      <c r="Y431" s="3" t="str">
        <f ca="1">IF($C431&lt;&gt;"",INDEX('Team Indirect'!$D:$D,MATCH($C431,'Team Indirect'!$A:$A,0)),"")</f>
        <v/>
      </c>
      <c r="Z431" s="3" t="str">
        <f ca="1">IF($C431&lt;&gt;"",INDEX('Team Indirect'!$E:$E,MATCH($C431,'Team Indirect'!$A:$A,0)),"")</f>
        <v/>
      </c>
      <c r="AA431" s="3" t="str">
        <f ca="1">IF($C431&lt;&gt;"",INDEX('Team Indirect'!$F:$F,MATCH($C431,'Team Indirect'!$A:$A,0)),"")</f>
        <v/>
      </c>
      <c r="AB431" s="3" t="str">
        <f t="shared" ca="1" si="6"/>
        <v/>
      </c>
      <c r="AC431" s="3">
        <f ca="1">IF(OR(AllocationUnits="Stories", AllocationUnits="Points"),'Work Indirect'!F431,F431/MAX('Work Indirect'!AB431,1))</f>
        <v>1</v>
      </c>
    </row>
    <row r="432" spans="1:29"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7" t="str">
        <f ca="1">IF(OFFSET('4. Work'!$A$1,ROW(D432)-1,COLUMN(D432)-1)="","",OFFSET('4. Work'!$A$1,ROW(D432)-1,COLUMN(D432)-1))</f>
        <v/>
      </c>
      <c r="E432" s="147"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I432" s="3" t="str">
        <f ca="1">IF(OFFSET('4. Work'!$A$1,ROW(I432)-1,COLUMN(I432)-1)="","",OFFSET('4. Work'!$A$1,ROW(I432)-1,COLUMN(I432)-1))</f>
        <v/>
      </c>
      <c r="T432" s="3" t="str">
        <f ca="1">IF(A432&lt;&gt;"",MAX('Initiative Indirect'!$T:$T)+(ROW(A432)-1),"")</f>
        <v/>
      </c>
      <c r="U432" s="3" t="str">
        <f ca="1">IF(B432&lt;&gt;"",INDEX('Initiative Indirect'!$T:$T,MATCH(B432,'Initiative Indirect'!$A:$A,0)),"")</f>
        <v/>
      </c>
      <c r="V432" s="3" t="str">
        <f ca="1">IF(C432&lt;&gt;"",INDEX('Team Indirect'!$T:$T,MATCH(C432,'Team Indirect'!$A:$A,0)),"")</f>
        <v/>
      </c>
      <c r="W432" s="3"/>
      <c r="X432" s="3"/>
      <c r="Y432" s="3" t="str">
        <f ca="1">IF($C432&lt;&gt;"",INDEX('Team Indirect'!$D:$D,MATCH($C432,'Team Indirect'!$A:$A,0)),"")</f>
        <v/>
      </c>
      <c r="Z432" s="3" t="str">
        <f ca="1">IF($C432&lt;&gt;"",INDEX('Team Indirect'!$E:$E,MATCH($C432,'Team Indirect'!$A:$A,0)),"")</f>
        <v/>
      </c>
      <c r="AA432" s="3" t="str">
        <f ca="1">IF($C432&lt;&gt;"",INDEX('Team Indirect'!$F:$F,MATCH($C432,'Team Indirect'!$A:$A,0)),"")</f>
        <v/>
      </c>
      <c r="AB432" s="3" t="str">
        <f t="shared" ca="1" si="6"/>
        <v/>
      </c>
      <c r="AC432" s="3">
        <f ca="1">IF(OR(AllocationUnits="Stories", AllocationUnits="Points"),'Work Indirect'!F432,F432/MAX('Work Indirect'!AB432,1))</f>
        <v>1</v>
      </c>
    </row>
    <row r="433" spans="1:29"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7" t="str">
        <f ca="1">IF(OFFSET('4. Work'!$A$1,ROW(D433)-1,COLUMN(D433)-1)="","",OFFSET('4. Work'!$A$1,ROW(D433)-1,COLUMN(D433)-1))</f>
        <v/>
      </c>
      <c r="E433" s="147"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I433" s="3" t="str">
        <f ca="1">IF(OFFSET('4. Work'!$A$1,ROW(I433)-1,COLUMN(I433)-1)="","",OFFSET('4. Work'!$A$1,ROW(I433)-1,COLUMN(I433)-1))</f>
        <v/>
      </c>
      <c r="T433" s="3" t="str">
        <f ca="1">IF(A433&lt;&gt;"",MAX('Initiative Indirect'!$T:$T)+(ROW(A433)-1),"")</f>
        <v/>
      </c>
      <c r="U433" s="3" t="str">
        <f ca="1">IF(B433&lt;&gt;"",INDEX('Initiative Indirect'!$T:$T,MATCH(B433,'Initiative Indirect'!$A:$A,0)),"")</f>
        <v/>
      </c>
      <c r="V433" s="3" t="str">
        <f ca="1">IF(C433&lt;&gt;"",INDEX('Team Indirect'!$T:$T,MATCH(C433,'Team Indirect'!$A:$A,0)),"")</f>
        <v/>
      </c>
      <c r="W433" s="3"/>
      <c r="X433" s="3"/>
      <c r="Y433" s="3" t="str">
        <f ca="1">IF($C433&lt;&gt;"",INDEX('Team Indirect'!$D:$D,MATCH($C433,'Team Indirect'!$A:$A,0)),"")</f>
        <v/>
      </c>
      <c r="Z433" s="3" t="str">
        <f ca="1">IF($C433&lt;&gt;"",INDEX('Team Indirect'!$E:$E,MATCH($C433,'Team Indirect'!$A:$A,0)),"")</f>
        <v/>
      </c>
      <c r="AA433" s="3" t="str">
        <f ca="1">IF($C433&lt;&gt;"",INDEX('Team Indirect'!$F:$F,MATCH($C433,'Team Indirect'!$A:$A,0)),"")</f>
        <v/>
      </c>
      <c r="AB433" s="3" t="str">
        <f t="shared" ca="1" si="6"/>
        <v/>
      </c>
      <c r="AC433" s="3">
        <f ca="1">IF(OR(AllocationUnits="Stories", AllocationUnits="Points"),'Work Indirect'!F433,F433/MAX('Work Indirect'!AB433,1))</f>
        <v>1</v>
      </c>
    </row>
    <row r="434" spans="1:29"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7" t="str">
        <f ca="1">IF(OFFSET('4. Work'!$A$1,ROW(D434)-1,COLUMN(D434)-1)="","",OFFSET('4. Work'!$A$1,ROW(D434)-1,COLUMN(D434)-1))</f>
        <v/>
      </c>
      <c r="E434" s="147"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I434" s="3" t="str">
        <f ca="1">IF(OFFSET('4. Work'!$A$1,ROW(I434)-1,COLUMN(I434)-1)="","",OFFSET('4. Work'!$A$1,ROW(I434)-1,COLUMN(I434)-1))</f>
        <v/>
      </c>
      <c r="T434" s="3" t="str">
        <f ca="1">IF(A434&lt;&gt;"",MAX('Initiative Indirect'!$T:$T)+(ROW(A434)-1),"")</f>
        <v/>
      </c>
      <c r="U434" s="3" t="str">
        <f ca="1">IF(B434&lt;&gt;"",INDEX('Initiative Indirect'!$T:$T,MATCH(B434,'Initiative Indirect'!$A:$A,0)),"")</f>
        <v/>
      </c>
      <c r="V434" s="3" t="str">
        <f ca="1">IF(C434&lt;&gt;"",INDEX('Team Indirect'!$T:$T,MATCH(C434,'Team Indirect'!$A:$A,0)),"")</f>
        <v/>
      </c>
      <c r="W434" s="3"/>
      <c r="X434" s="3"/>
      <c r="Y434" s="3" t="str">
        <f ca="1">IF($C434&lt;&gt;"",INDEX('Team Indirect'!$D:$D,MATCH($C434,'Team Indirect'!$A:$A,0)),"")</f>
        <v/>
      </c>
      <c r="Z434" s="3" t="str">
        <f ca="1">IF($C434&lt;&gt;"",INDEX('Team Indirect'!$E:$E,MATCH($C434,'Team Indirect'!$A:$A,0)),"")</f>
        <v/>
      </c>
      <c r="AA434" s="3" t="str">
        <f ca="1">IF($C434&lt;&gt;"",INDEX('Team Indirect'!$F:$F,MATCH($C434,'Team Indirect'!$A:$A,0)),"")</f>
        <v/>
      </c>
      <c r="AB434" s="3" t="str">
        <f t="shared" ca="1" si="6"/>
        <v/>
      </c>
      <c r="AC434" s="3">
        <f ca="1">IF(OR(AllocationUnits="Stories", AllocationUnits="Points"),'Work Indirect'!F434,F434/MAX('Work Indirect'!AB434,1))</f>
        <v>1</v>
      </c>
    </row>
    <row r="435" spans="1:29"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7" t="str">
        <f ca="1">IF(OFFSET('4. Work'!$A$1,ROW(D435)-1,COLUMN(D435)-1)="","",OFFSET('4. Work'!$A$1,ROW(D435)-1,COLUMN(D435)-1))</f>
        <v/>
      </c>
      <c r="E435" s="147"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I435" s="3" t="str">
        <f ca="1">IF(OFFSET('4. Work'!$A$1,ROW(I435)-1,COLUMN(I435)-1)="","",OFFSET('4. Work'!$A$1,ROW(I435)-1,COLUMN(I435)-1))</f>
        <v/>
      </c>
      <c r="T435" s="3" t="str">
        <f ca="1">IF(A435&lt;&gt;"",MAX('Initiative Indirect'!$T:$T)+(ROW(A435)-1),"")</f>
        <v/>
      </c>
      <c r="U435" s="3" t="str">
        <f ca="1">IF(B435&lt;&gt;"",INDEX('Initiative Indirect'!$T:$T,MATCH(B435,'Initiative Indirect'!$A:$A,0)),"")</f>
        <v/>
      </c>
      <c r="V435" s="3" t="str">
        <f ca="1">IF(C435&lt;&gt;"",INDEX('Team Indirect'!$T:$T,MATCH(C435,'Team Indirect'!$A:$A,0)),"")</f>
        <v/>
      </c>
      <c r="W435" s="3"/>
      <c r="X435" s="3"/>
      <c r="Y435" s="3" t="str">
        <f ca="1">IF($C435&lt;&gt;"",INDEX('Team Indirect'!$D:$D,MATCH($C435,'Team Indirect'!$A:$A,0)),"")</f>
        <v/>
      </c>
      <c r="Z435" s="3" t="str">
        <f ca="1">IF($C435&lt;&gt;"",INDEX('Team Indirect'!$E:$E,MATCH($C435,'Team Indirect'!$A:$A,0)),"")</f>
        <v/>
      </c>
      <c r="AA435" s="3" t="str">
        <f ca="1">IF($C435&lt;&gt;"",INDEX('Team Indirect'!$F:$F,MATCH($C435,'Team Indirect'!$A:$A,0)),"")</f>
        <v/>
      </c>
      <c r="AB435" s="3" t="str">
        <f t="shared" ca="1" si="6"/>
        <v/>
      </c>
      <c r="AC435" s="3">
        <f ca="1">IF(OR(AllocationUnits="Stories", AllocationUnits="Points"),'Work Indirect'!F435,F435/MAX('Work Indirect'!AB435,1))</f>
        <v>1</v>
      </c>
    </row>
    <row r="436" spans="1:29"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7" t="str">
        <f ca="1">IF(OFFSET('4. Work'!$A$1,ROW(D436)-1,COLUMN(D436)-1)="","",OFFSET('4. Work'!$A$1,ROW(D436)-1,COLUMN(D436)-1))</f>
        <v/>
      </c>
      <c r="E436" s="147"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I436" s="3" t="str">
        <f ca="1">IF(OFFSET('4. Work'!$A$1,ROW(I436)-1,COLUMN(I436)-1)="","",OFFSET('4. Work'!$A$1,ROW(I436)-1,COLUMN(I436)-1))</f>
        <v/>
      </c>
      <c r="T436" s="3" t="str">
        <f ca="1">IF(A436&lt;&gt;"",MAX('Initiative Indirect'!$T:$T)+(ROW(A436)-1),"")</f>
        <v/>
      </c>
      <c r="U436" s="3" t="str">
        <f ca="1">IF(B436&lt;&gt;"",INDEX('Initiative Indirect'!$T:$T,MATCH(B436,'Initiative Indirect'!$A:$A,0)),"")</f>
        <v/>
      </c>
      <c r="V436" s="3" t="str">
        <f ca="1">IF(C436&lt;&gt;"",INDEX('Team Indirect'!$T:$T,MATCH(C436,'Team Indirect'!$A:$A,0)),"")</f>
        <v/>
      </c>
      <c r="W436" s="3"/>
      <c r="X436" s="3"/>
      <c r="Y436" s="3" t="str">
        <f ca="1">IF($C436&lt;&gt;"",INDEX('Team Indirect'!$D:$D,MATCH($C436,'Team Indirect'!$A:$A,0)),"")</f>
        <v/>
      </c>
      <c r="Z436" s="3" t="str">
        <f ca="1">IF($C436&lt;&gt;"",INDEX('Team Indirect'!$E:$E,MATCH($C436,'Team Indirect'!$A:$A,0)),"")</f>
        <v/>
      </c>
      <c r="AA436" s="3" t="str">
        <f ca="1">IF($C436&lt;&gt;"",INDEX('Team Indirect'!$F:$F,MATCH($C436,'Team Indirect'!$A:$A,0)),"")</f>
        <v/>
      </c>
      <c r="AB436" s="3" t="str">
        <f t="shared" ca="1" si="6"/>
        <v/>
      </c>
      <c r="AC436" s="3">
        <f ca="1">IF(OR(AllocationUnits="Stories", AllocationUnits="Points"),'Work Indirect'!F436,F436/MAX('Work Indirect'!AB436,1))</f>
        <v>1</v>
      </c>
    </row>
    <row r="437" spans="1:29"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7" t="str">
        <f ca="1">IF(OFFSET('4. Work'!$A$1,ROW(D437)-1,COLUMN(D437)-1)="","",OFFSET('4. Work'!$A$1,ROW(D437)-1,COLUMN(D437)-1))</f>
        <v/>
      </c>
      <c r="E437" s="147"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I437" s="3" t="str">
        <f ca="1">IF(OFFSET('4. Work'!$A$1,ROW(I437)-1,COLUMN(I437)-1)="","",OFFSET('4. Work'!$A$1,ROW(I437)-1,COLUMN(I437)-1))</f>
        <v/>
      </c>
      <c r="T437" s="3" t="str">
        <f ca="1">IF(A437&lt;&gt;"",MAX('Initiative Indirect'!$T:$T)+(ROW(A437)-1),"")</f>
        <v/>
      </c>
      <c r="U437" s="3" t="str">
        <f ca="1">IF(B437&lt;&gt;"",INDEX('Initiative Indirect'!$T:$T,MATCH(B437,'Initiative Indirect'!$A:$A,0)),"")</f>
        <v/>
      </c>
      <c r="V437" s="3" t="str">
        <f ca="1">IF(C437&lt;&gt;"",INDEX('Team Indirect'!$T:$T,MATCH(C437,'Team Indirect'!$A:$A,0)),"")</f>
        <v/>
      </c>
      <c r="W437" s="3"/>
      <c r="X437" s="3"/>
      <c r="Y437" s="3" t="str">
        <f ca="1">IF($C437&lt;&gt;"",INDEX('Team Indirect'!$D:$D,MATCH($C437,'Team Indirect'!$A:$A,0)),"")</f>
        <v/>
      </c>
      <c r="Z437" s="3" t="str">
        <f ca="1">IF($C437&lt;&gt;"",INDEX('Team Indirect'!$E:$E,MATCH($C437,'Team Indirect'!$A:$A,0)),"")</f>
        <v/>
      </c>
      <c r="AA437" s="3" t="str">
        <f ca="1">IF($C437&lt;&gt;"",INDEX('Team Indirect'!$F:$F,MATCH($C437,'Team Indirect'!$A:$A,0)),"")</f>
        <v/>
      </c>
      <c r="AB437" s="3" t="str">
        <f t="shared" ca="1" si="6"/>
        <v/>
      </c>
      <c r="AC437" s="3">
        <f ca="1">IF(OR(AllocationUnits="Stories", AllocationUnits="Points"),'Work Indirect'!F437,F437/MAX('Work Indirect'!AB437,1))</f>
        <v>1</v>
      </c>
    </row>
    <row r="438" spans="1:29"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7" t="str">
        <f ca="1">IF(OFFSET('4. Work'!$A$1,ROW(D438)-1,COLUMN(D438)-1)="","",OFFSET('4. Work'!$A$1,ROW(D438)-1,COLUMN(D438)-1))</f>
        <v/>
      </c>
      <c r="E438" s="147"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I438" s="3" t="str">
        <f ca="1">IF(OFFSET('4. Work'!$A$1,ROW(I438)-1,COLUMN(I438)-1)="","",OFFSET('4. Work'!$A$1,ROW(I438)-1,COLUMN(I438)-1))</f>
        <v/>
      </c>
      <c r="T438" s="3" t="str">
        <f ca="1">IF(A438&lt;&gt;"",MAX('Initiative Indirect'!$T:$T)+(ROW(A438)-1),"")</f>
        <v/>
      </c>
      <c r="U438" s="3" t="str">
        <f ca="1">IF(B438&lt;&gt;"",INDEX('Initiative Indirect'!$T:$T,MATCH(B438,'Initiative Indirect'!$A:$A,0)),"")</f>
        <v/>
      </c>
      <c r="V438" s="3" t="str">
        <f ca="1">IF(C438&lt;&gt;"",INDEX('Team Indirect'!$T:$T,MATCH(C438,'Team Indirect'!$A:$A,0)),"")</f>
        <v/>
      </c>
      <c r="W438" s="3"/>
      <c r="X438" s="3"/>
      <c r="Y438" s="3" t="str">
        <f ca="1">IF($C438&lt;&gt;"",INDEX('Team Indirect'!$D:$D,MATCH($C438,'Team Indirect'!$A:$A,0)),"")</f>
        <v/>
      </c>
      <c r="Z438" s="3" t="str">
        <f ca="1">IF($C438&lt;&gt;"",INDEX('Team Indirect'!$E:$E,MATCH($C438,'Team Indirect'!$A:$A,0)),"")</f>
        <v/>
      </c>
      <c r="AA438" s="3" t="str">
        <f ca="1">IF($C438&lt;&gt;"",INDEX('Team Indirect'!$F:$F,MATCH($C438,'Team Indirect'!$A:$A,0)),"")</f>
        <v/>
      </c>
      <c r="AB438" s="3" t="str">
        <f t="shared" ca="1" si="6"/>
        <v/>
      </c>
      <c r="AC438" s="3">
        <f ca="1">IF(OR(AllocationUnits="Stories", AllocationUnits="Points"),'Work Indirect'!F438,F438/MAX('Work Indirect'!AB438,1))</f>
        <v>1</v>
      </c>
    </row>
    <row r="439" spans="1:29"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7" t="str">
        <f ca="1">IF(OFFSET('4. Work'!$A$1,ROW(D439)-1,COLUMN(D439)-1)="","",OFFSET('4. Work'!$A$1,ROW(D439)-1,COLUMN(D439)-1))</f>
        <v/>
      </c>
      <c r="E439" s="147"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I439" s="3" t="str">
        <f ca="1">IF(OFFSET('4. Work'!$A$1,ROW(I439)-1,COLUMN(I439)-1)="","",OFFSET('4. Work'!$A$1,ROW(I439)-1,COLUMN(I439)-1))</f>
        <v/>
      </c>
      <c r="T439" s="3" t="str">
        <f ca="1">IF(A439&lt;&gt;"",MAX('Initiative Indirect'!$T:$T)+(ROW(A439)-1),"")</f>
        <v/>
      </c>
      <c r="U439" s="3" t="str">
        <f ca="1">IF(B439&lt;&gt;"",INDEX('Initiative Indirect'!$T:$T,MATCH(B439,'Initiative Indirect'!$A:$A,0)),"")</f>
        <v/>
      </c>
      <c r="V439" s="3" t="str">
        <f ca="1">IF(C439&lt;&gt;"",INDEX('Team Indirect'!$T:$T,MATCH(C439,'Team Indirect'!$A:$A,0)),"")</f>
        <v/>
      </c>
      <c r="W439" s="3"/>
      <c r="X439" s="3"/>
      <c r="Y439" s="3" t="str">
        <f ca="1">IF($C439&lt;&gt;"",INDEX('Team Indirect'!$D:$D,MATCH($C439,'Team Indirect'!$A:$A,0)),"")</f>
        <v/>
      </c>
      <c r="Z439" s="3" t="str">
        <f ca="1">IF($C439&lt;&gt;"",INDEX('Team Indirect'!$E:$E,MATCH($C439,'Team Indirect'!$A:$A,0)),"")</f>
        <v/>
      </c>
      <c r="AA439" s="3" t="str">
        <f ca="1">IF($C439&lt;&gt;"",INDEX('Team Indirect'!$F:$F,MATCH($C439,'Team Indirect'!$A:$A,0)),"")</f>
        <v/>
      </c>
      <c r="AB439" s="3" t="str">
        <f t="shared" ca="1" si="6"/>
        <v/>
      </c>
      <c r="AC439" s="3">
        <f ca="1">IF(OR(AllocationUnits="Stories", AllocationUnits="Points"),'Work Indirect'!F439,F439/MAX('Work Indirect'!AB439,1))</f>
        <v>1</v>
      </c>
    </row>
    <row r="440" spans="1:29"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7" t="str">
        <f ca="1">IF(OFFSET('4. Work'!$A$1,ROW(D440)-1,COLUMN(D440)-1)="","",OFFSET('4. Work'!$A$1,ROW(D440)-1,COLUMN(D440)-1))</f>
        <v/>
      </c>
      <c r="E440" s="147"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I440" s="3" t="str">
        <f ca="1">IF(OFFSET('4. Work'!$A$1,ROW(I440)-1,COLUMN(I440)-1)="","",OFFSET('4. Work'!$A$1,ROW(I440)-1,COLUMN(I440)-1))</f>
        <v/>
      </c>
      <c r="T440" s="3" t="str">
        <f ca="1">IF(A440&lt;&gt;"",MAX('Initiative Indirect'!$T:$T)+(ROW(A440)-1),"")</f>
        <v/>
      </c>
      <c r="U440" s="3" t="str">
        <f ca="1">IF(B440&lt;&gt;"",INDEX('Initiative Indirect'!$T:$T,MATCH(B440,'Initiative Indirect'!$A:$A,0)),"")</f>
        <v/>
      </c>
      <c r="V440" s="3" t="str">
        <f ca="1">IF(C440&lt;&gt;"",INDEX('Team Indirect'!$T:$T,MATCH(C440,'Team Indirect'!$A:$A,0)),"")</f>
        <v/>
      </c>
      <c r="W440" s="3"/>
      <c r="X440" s="3"/>
      <c r="Y440" s="3" t="str">
        <f ca="1">IF($C440&lt;&gt;"",INDEX('Team Indirect'!$D:$D,MATCH($C440,'Team Indirect'!$A:$A,0)),"")</f>
        <v/>
      </c>
      <c r="Z440" s="3" t="str">
        <f ca="1">IF($C440&lt;&gt;"",INDEX('Team Indirect'!$E:$E,MATCH($C440,'Team Indirect'!$A:$A,0)),"")</f>
        <v/>
      </c>
      <c r="AA440" s="3" t="str">
        <f ca="1">IF($C440&lt;&gt;"",INDEX('Team Indirect'!$F:$F,MATCH($C440,'Team Indirect'!$A:$A,0)),"")</f>
        <v/>
      </c>
      <c r="AB440" s="3" t="str">
        <f t="shared" ca="1" si="6"/>
        <v/>
      </c>
      <c r="AC440" s="3">
        <f ca="1">IF(OR(AllocationUnits="Stories", AllocationUnits="Points"),'Work Indirect'!F440,F440/MAX('Work Indirect'!AB440,1))</f>
        <v>1</v>
      </c>
    </row>
    <row r="441" spans="1:29"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7" t="str">
        <f ca="1">IF(OFFSET('4. Work'!$A$1,ROW(D441)-1,COLUMN(D441)-1)="","",OFFSET('4. Work'!$A$1,ROW(D441)-1,COLUMN(D441)-1))</f>
        <v/>
      </c>
      <c r="E441" s="147"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I441" s="3" t="str">
        <f ca="1">IF(OFFSET('4. Work'!$A$1,ROW(I441)-1,COLUMN(I441)-1)="","",OFFSET('4. Work'!$A$1,ROW(I441)-1,COLUMN(I441)-1))</f>
        <v/>
      </c>
      <c r="T441" s="3" t="str">
        <f ca="1">IF(A441&lt;&gt;"",MAX('Initiative Indirect'!$T:$T)+(ROW(A441)-1),"")</f>
        <v/>
      </c>
      <c r="U441" s="3" t="str">
        <f ca="1">IF(B441&lt;&gt;"",INDEX('Initiative Indirect'!$T:$T,MATCH(B441,'Initiative Indirect'!$A:$A,0)),"")</f>
        <v/>
      </c>
      <c r="V441" s="3" t="str">
        <f ca="1">IF(C441&lt;&gt;"",INDEX('Team Indirect'!$T:$T,MATCH(C441,'Team Indirect'!$A:$A,0)),"")</f>
        <v/>
      </c>
      <c r="W441" s="3"/>
      <c r="X441" s="3"/>
      <c r="Y441" s="3" t="str">
        <f ca="1">IF($C441&lt;&gt;"",INDEX('Team Indirect'!$D:$D,MATCH($C441,'Team Indirect'!$A:$A,0)),"")</f>
        <v/>
      </c>
      <c r="Z441" s="3" t="str">
        <f ca="1">IF($C441&lt;&gt;"",INDEX('Team Indirect'!$E:$E,MATCH($C441,'Team Indirect'!$A:$A,0)),"")</f>
        <v/>
      </c>
      <c r="AA441" s="3" t="str">
        <f ca="1">IF($C441&lt;&gt;"",INDEX('Team Indirect'!$F:$F,MATCH($C441,'Team Indirect'!$A:$A,0)),"")</f>
        <v/>
      </c>
      <c r="AB441" s="3" t="str">
        <f t="shared" ca="1" si="6"/>
        <v/>
      </c>
      <c r="AC441" s="3">
        <f ca="1">IF(OR(AllocationUnits="Stories", AllocationUnits="Points"),'Work Indirect'!F441,F441/MAX('Work Indirect'!AB441,1))</f>
        <v>1</v>
      </c>
    </row>
    <row r="442" spans="1:29"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7" t="str">
        <f ca="1">IF(OFFSET('4. Work'!$A$1,ROW(D442)-1,COLUMN(D442)-1)="","",OFFSET('4. Work'!$A$1,ROW(D442)-1,COLUMN(D442)-1))</f>
        <v/>
      </c>
      <c r="E442" s="147"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I442" s="3" t="str">
        <f ca="1">IF(OFFSET('4. Work'!$A$1,ROW(I442)-1,COLUMN(I442)-1)="","",OFFSET('4. Work'!$A$1,ROW(I442)-1,COLUMN(I442)-1))</f>
        <v/>
      </c>
      <c r="T442" s="3" t="str">
        <f ca="1">IF(A442&lt;&gt;"",MAX('Initiative Indirect'!$T:$T)+(ROW(A442)-1),"")</f>
        <v/>
      </c>
      <c r="U442" s="3" t="str">
        <f ca="1">IF(B442&lt;&gt;"",INDEX('Initiative Indirect'!$T:$T,MATCH(B442,'Initiative Indirect'!$A:$A,0)),"")</f>
        <v/>
      </c>
      <c r="V442" s="3" t="str">
        <f ca="1">IF(C442&lt;&gt;"",INDEX('Team Indirect'!$T:$T,MATCH(C442,'Team Indirect'!$A:$A,0)),"")</f>
        <v/>
      </c>
      <c r="W442" s="3"/>
      <c r="X442" s="3"/>
      <c r="Y442" s="3" t="str">
        <f ca="1">IF($C442&lt;&gt;"",INDEX('Team Indirect'!$D:$D,MATCH($C442,'Team Indirect'!$A:$A,0)),"")</f>
        <v/>
      </c>
      <c r="Z442" s="3" t="str">
        <f ca="1">IF($C442&lt;&gt;"",INDEX('Team Indirect'!$E:$E,MATCH($C442,'Team Indirect'!$A:$A,0)),"")</f>
        <v/>
      </c>
      <c r="AA442" s="3" t="str">
        <f ca="1">IF($C442&lt;&gt;"",INDEX('Team Indirect'!$F:$F,MATCH($C442,'Team Indirect'!$A:$A,0)),"")</f>
        <v/>
      </c>
      <c r="AB442" s="3" t="str">
        <f t="shared" ca="1" si="6"/>
        <v/>
      </c>
      <c r="AC442" s="3">
        <f ca="1">IF(OR(AllocationUnits="Stories", AllocationUnits="Points"),'Work Indirect'!F442,F442/MAX('Work Indirect'!AB442,1))</f>
        <v>1</v>
      </c>
    </row>
    <row r="443" spans="1:29"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7" t="str">
        <f ca="1">IF(OFFSET('4. Work'!$A$1,ROW(D443)-1,COLUMN(D443)-1)="","",OFFSET('4. Work'!$A$1,ROW(D443)-1,COLUMN(D443)-1))</f>
        <v/>
      </c>
      <c r="E443" s="147"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I443" s="3" t="str">
        <f ca="1">IF(OFFSET('4. Work'!$A$1,ROW(I443)-1,COLUMN(I443)-1)="","",OFFSET('4. Work'!$A$1,ROW(I443)-1,COLUMN(I443)-1))</f>
        <v/>
      </c>
      <c r="T443" s="3" t="str">
        <f ca="1">IF(A443&lt;&gt;"",MAX('Initiative Indirect'!$T:$T)+(ROW(A443)-1),"")</f>
        <v/>
      </c>
      <c r="U443" s="3" t="str">
        <f ca="1">IF(B443&lt;&gt;"",INDEX('Initiative Indirect'!$T:$T,MATCH(B443,'Initiative Indirect'!$A:$A,0)),"")</f>
        <v/>
      </c>
      <c r="V443" s="3" t="str">
        <f ca="1">IF(C443&lt;&gt;"",INDEX('Team Indirect'!$T:$T,MATCH(C443,'Team Indirect'!$A:$A,0)),"")</f>
        <v/>
      </c>
      <c r="W443" s="3"/>
      <c r="X443" s="3"/>
      <c r="Y443" s="3" t="str">
        <f ca="1">IF($C443&lt;&gt;"",INDEX('Team Indirect'!$D:$D,MATCH($C443,'Team Indirect'!$A:$A,0)),"")</f>
        <v/>
      </c>
      <c r="Z443" s="3" t="str">
        <f ca="1">IF($C443&lt;&gt;"",INDEX('Team Indirect'!$E:$E,MATCH($C443,'Team Indirect'!$A:$A,0)),"")</f>
        <v/>
      </c>
      <c r="AA443" s="3" t="str">
        <f ca="1">IF($C443&lt;&gt;"",INDEX('Team Indirect'!$F:$F,MATCH($C443,'Team Indirect'!$A:$A,0)),"")</f>
        <v/>
      </c>
      <c r="AB443" s="3" t="str">
        <f t="shared" ca="1" si="6"/>
        <v/>
      </c>
      <c r="AC443" s="3">
        <f ca="1">IF(OR(AllocationUnits="Stories", AllocationUnits="Points"),'Work Indirect'!F443,F443/MAX('Work Indirect'!AB443,1))</f>
        <v>1</v>
      </c>
    </row>
    <row r="444" spans="1:29"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7" t="str">
        <f ca="1">IF(OFFSET('4. Work'!$A$1,ROW(D444)-1,COLUMN(D444)-1)="","",OFFSET('4. Work'!$A$1,ROW(D444)-1,COLUMN(D444)-1))</f>
        <v/>
      </c>
      <c r="E444" s="147"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I444" s="3" t="str">
        <f ca="1">IF(OFFSET('4. Work'!$A$1,ROW(I444)-1,COLUMN(I444)-1)="","",OFFSET('4. Work'!$A$1,ROW(I444)-1,COLUMN(I444)-1))</f>
        <v/>
      </c>
      <c r="T444" s="3" t="str">
        <f ca="1">IF(A444&lt;&gt;"",MAX('Initiative Indirect'!$T:$T)+(ROW(A444)-1),"")</f>
        <v/>
      </c>
      <c r="U444" s="3" t="str">
        <f ca="1">IF(B444&lt;&gt;"",INDEX('Initiative Indirect'!$T:$T,MATCH(B444,'Initiative Indirect'!$A:$A,0)),"")</f>
        <v/>
      </c>
      <c r="V444" s="3" t="str">
        <f ca="1">IF(C444&lt;&gt;"",INDEX('Team Indirect'!$T:$T,MATCH(C444,'Team Indirect'!$A:$A,0)),"")</f>
        <v/>
      </c>
      <c r="W444" s="3"/>
      <c r="X444" s="3"/>
      <c r="Y444" s="3" t="str">
        <f ca="1">IF($C444&lt;&gt;"",INDEX('Team Indirect'!$D:$D,MATCH($C444,'Team Indirect'!$A:$A,0)),"")</f>
        <v/>
      </c>
      <c r="Z444" s="3" t="str">
        <f ca="1">IF($C444&lt;&gt;"",INDEX('Team Indirect'!$E:$E,MATCH($C444,'Team Indirect'!$A:$A,0)),"")</f>
        <v/>
      </c>
      <c r="AA444" s="3" t="str">
        <f ca="1">IF($C444&lt;&gt;"",INDEX('Team Indirect'!$F:$F,MATCH($C444,'Team Indirect'!$A:$A,0)),"")</f>
        <v/>
      </c>
      <c r="AB444" s="3" t="str">
        <f t="shared" ca="1" si="6"/>
        <v/>
      </c>
      <c r="AC444" s="3">
        <f ca="1">IF(OR(AllocationUnits="Stories", AllocationUnits="Points"),'Work Indirect'!F444,F444/MAX('Work Indirect'!AB444,1))</f>
        <v>1</v>
      </c>
    </row>
    <row r="445" spans="1:29"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7" t="str">
        <f ca="1">IF(OFFSET('4. Work'!$A$1,ROW(D445)-1,COLUMN(D445)-1)="","",OFFSET('4. Work'!$A$1,ROW(D445)-1,COLUMN(D445)-1))</f>
        <v/>
      </c>
      <c r="E445" s="147"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I445" s="3" t="str">
        <f ca="1">IF(OFFSET('4. Work'!$A$1,ROW(I445)-1,COLUMN(I445)-1)="","",OFFSET('4. Work'!$A$1,ROW(I445)-1,COLUMN(I445)-1))</f>
        <v/>
      </c>
      <c r="T445" s="3" t="str">
        <f ca="1">IF(A445&lt;&gt;"",MAX('Initiative Indirect'!$T:$T)+(ROW(A445)-1),"")</f>
        <v/>
      </c>
      <c r="U445" s="3" t="str">
        <f ca="1">IF(B445&lt;&gt;"",INDEX('Initiative Indirect'!$T:$T,MATCH(B445,'Initiative Indirect'!$A:$A,0)),"")</f>
        <v/>
      </c>
      <c r="V445" s="3" t="str">
        <f ca="1">IF(C445&lt;&gt;"",INDEX('Team Indirect'!$T:$T,MATCH(C445,'Team Indirect'!$A:$A,0)),"")</f>
        <v/>
      </c>
      <c r="W445" s="3"/>
      <c r="X445" s="3"/>
      <c r="Y445" s="3" t="str">
        <f ca="1">IF($C445&lt;&gt;"",INDEX('Team Indirect'!$D:$D,MATCH($C445,'Team Indirect'!$A:$A,0)),"")</f>
        <v/>
      </c>
      <c r="Z445" s="3" t="str">
        <f ca="1">IF($C445&lt;&gt;"",INDEX('Team Indirect'!$E:$E,MATCH($C445,'Team Indirect'!$A:$A,0)),"")</f>
        <v/>
      </c>
      <c r="AA445" s="3" t="str">
        <f ca="1">IF($C445&lt;&gt;"",INDEX('Team Indirect'!$F:$F,MATCH($C445,'Team Indirect'!$A:$A,0)),"")</f>
        <v/>
      </c>
      <c r="AB445" s="3" t="str">
        <f t="shared" ca="1" si="6"/>
        <v/>
      </c>
      <c r="AC445" s="3">
        <f ca="1">IF(OR(AllocationUnits="Stories", AllocationUnits="Points"),'Work Indirect'!F445,F445/MAX('Work Indirect'!AB445,1))</f>
        <v>1</v>
      </c>
    </row>
    <row r="446" spans="1:29"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7" t="str">
        <f ca="1">IF(OFFSET('4. Work'!$A$1,ROW(D446)-1,COLUMN(D446)-1)="","",OFFSET('4. Work'!$A$1,ROW(D446)-1,COLUMN(D446)-1))</f>
        <v/>
      </c>
      <c r="E446" s="147"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I446" s="3" t="str">
        <f ca="1">IF(OFFSET('4. Work'!$A$1,ROW(I446)-1,COLUMN(I446)-1)="","",OFFSET('4. Work'!$A$1,ROW(I446)-1,COLUMN(I446)-1))</f>
        <v/>
      </c>
      <c r="T446" s="3" t="str">
        <f ca="1">IF(A446&lt;&gt;"",MAX('Initiative Indirect'!$T:$T)+(ROW(A446)-1),"")</f>
        <v/>
      </c>
      <c r="U446" s="3" t="str">
        <f ca="1">IF(B446&lt;&gt;"",INDEX('Initiative Indirect'!$T:$T,MATCH(B446,'Initiative Indirect'!$A:$A,0)),"")</f>
        <v/>
      </c>
      <c r="V446" s="3" t="str">
        <f ca="1">IF(C446&lt;&gt;"",INDEX('Team Indirect'!$T:$T,MATCH(C446,'Team Indirect'!$A:$A,0)),"")</f>
        <v/>
      </c>
      <c r="W446" s="3"/>
      <c r="X446" s="3"/>
      <c r="Y446" s="3" t="str">
        <f ca="1">IF($C446&lt;&gt;"",INDEX('Team Indirect'!$D:$D,MATCH($C446,'Team Indirect'!$A:$A,0)),"")</f>
        <v/>
      </c>
      <c r="Z446" s="3" t="str">
        <f ca="1">IF($C446&lt;&gt;"",INDEX('Team Indirect'!$E:$E,MATCH($C446,'Team Indirect'!$A:$A,0)),"")</f>
        <v/>
      </c>
      <c r="AA446" s="3" t="str">
        <f ca="1">IF($C446&lt;&gt;"",INDEX('Team Indirect'!$F:$F,MATCH($C446,'Team Indirect'!$A:$A,0)),"")</f>
        <v/>
      </c>
      <c r="AB446" s="3" t="str">
        <f t="shared" ca="1" si="6"/>
        <v/>
      </c>
      <c r="AC446" s="3">
        <f ca="1">IF(OR(AllocationUnits="Stories", AllocationUnits="Points"),'Work Indirect'!F446,F446/MAX('Work Indirect'!AB446,1))</f>
        <v>1</v>
      </c>
    </row>
    <row r="447" spans="1:29"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7" t="str">
        <f ca="1">IF(OFFSET('4. Work'!$A$1,ROW(D447)-1,COLUMN(D447)-1)="","",OFFSET('4. Work'!$A$1,ROW(D447)-1,COLUMN(D447)-1))</f>
        <v/>
      </c>
      <c r="E447" s="147"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I447" s="3" t="str">
        <f ca="1">IF(OFFSET('4. Work'!$A$1,ROW(I447)-1,COLUMN(I447)-1)="","",OFFSET('4. Work'!$A$1,ROW(I447)-1,COLUMN(I447)-1))</f>
        <v/>
      </c>
      <c r="T447" s="3" t="str">
        <f ca="1">IF(A447&lt;&gt;"",MAX('Initiative Indirect'!$T:$T)+(ROW(A447)-1),"")</f>
        <v/>
      </c>
      <c r="U447" s="3" t="str">
        <f ca="1">IF(B447&lt;&gt;"",INDEX('Initiative Indirect'!$T:$T,MATCH(B447,'Initiative Indirect'!$A:$A,0)),"")</f>
        <v/>
      </c>
      <c r="V447" s="3" t="str">
        <f ca="1">IF(C447&lt;&gt;"",INDEX('Team Indirect'!$T:$T,MATCH(C447,'Team Indirect'!$A:$A,0)),"")</f>
        <v/>
      </c>
      <c r="W447" s="3"/>
      <c r="X447" s="3"/>
      <c r="Y447" s="3" t="str">
        <f ca="1">IF($C447&lt;&gt;"",INDEX('Team Indirect'!$D:$D,MATCH($C447,'Team Indirect'!$A:$A,0)),"")</f>
        <v/>
      </c>
      <c r="Z447" s="3" t="str">
        <f ca="1">IF($C447&lt;&gt;"",INDEX('Team Indirect'!$E:$E,MATCH($C447,'Team Indirect'!$A:$A,0)),"")</f>
        <v/>
      </c>
      <c r="AA447" s="3" t="str">
        <f ca="1">IF($C447&lt;&gt;"",INDEX('Team Indirect'!$F:$F,MATCH($C447,'Team Indirect'!$A:$A,0)),"")</f>
        <v/>
      </c>
      <c r="AB447" s="3" t="str">
        <f t="shared" ca="1" si="6"/>
        <v/>
      </c>
      <c r="AC447" s="3">
        <f ca="1">IF(OR(AllocationUnits="Stories", AllocationUnits="Points"),'Work Indirect'!F447,F447/MAX('Work Indirect'!AB447,1))</f>
        <v>1</v>
      </c>
    </row>
    <row r="448" spans="1:29"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7" t="str">
        <f ca="1">IF(OFFSET('4. Work'!$A$1,ROW(D448)-1,COLUMN(D448)-1)="","",OFFSET('4. Work'!$A$1,ROW(D448)-1,COLUMN(D448)-1))</f>
        <v/>
      </c>
      <c r="E448" s="147"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I448" s="3" t="str">
        <f ca="1">IF(OFFSET('4. Work'!$A$1,ROW(I448)-1,COLUMN(I448)-1)="","",OFFSET('4. Work'!$A$1,ROW(I448)-1,COLUMN(I448)-1))</f>
        <v/>
      </c>
      <c r="T448" s="3" t="str">
        <f ca="1">IF(A448&lt;&gt;"",MAX('Initiative Indirect'!$T:$T)+(ROW(A448)-1),"")</f>
        <v/>
      </c>
      <c r="U448" s="3" t="str">
        <f ca="1">IF(B448&lt;&gt;"",INDEX('Initiative Indirect'!$T:$T,MATCH(B448,'Initiative Indirect'!$A:$A,0)),"")</f>
        <v/>
      </c>
      <c r="V448" s="3" t="str">
        <f ca="1">IF(C448&lt;&gt;"",INDEX('Team Indirect'!$T:$T,MATCH(C448,'Team Indirect'!$A:$A,0)),"")</f>
        <v/>
      </c>
      <c r="W448" s="3"/>
      <c r="X448" s="3"/>
      <c r="Y448" s="3" t="str">
        <f ca="1">IF($C448&lt;&gt;"",INDEX('Team Indirect'!$D:$D,MATCH($C448,'Team Indirect'!$A:$A,0)),"")</f>
        <v/>
      </c>
      <c r="Z448" s="3" t="str">
        <f ca="1">IF($C448&lt;&gt;"",INDEX('Team Indirect'!$E:$E,MATCH($C448,'Team Indirect'!$A:$A,0)),"")</f>
        <v/>
      </c>
      <c r="AA448" s="3" t="str">
        <f ca="1">IF($C448&lt;&gt;"",INDEX('Team Indirect'!$F:$F,MATCH($C448,'Team Indirect'!$A:$A,0)),"")</f>
        <v/>
      </c>
      <c r="AB448" s="3" t="str">
        <f t="shared" ca="1" si="6"/>
        <v/>
      </c>
      <c r="AC448" s="3">
        <f ca="1">IF(OR(AllocationUnits="Stories", AllocationUnits="Points"),'Work Indirect'!F448,F448/MAX('Work Indirect'!AB448,1))</f>
        <v>1</v>
      </c>
    </row>
    <row r="449" spans="1:29"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7" t="str">
        <f ca="1">IF(OFFSET('4. Work'!$A$1,ROW(D449)-1,COLUMN(D449)-1)="","",OFFSET('4. Work'!$A$1,ROW(D449)-1,COLUMN(D449)-1))</f>
        <v/>
      </c>
      <c r="E449" s="147"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I449" s="3" t="str">
        <f ca="1">IF(OFFSET('4. Work'!$A$1,ROW(I449)-1,COLUMN(I449)-1)="","",OFFSET('4. Work'!$A$1,ROW(I449)-1,COLUMN(I449)-1))</f>
        <v/>
      </c>
      <c r="T449" s="3" t="str">
        <f ca="1">IF(A449&lt;&gt;"",MAX('Initiative Indirect'!$T:$T)+(ROW(A449)-1),"")</f>
        <v/>
      </c>
      <c r="U449" s="3" t="str">
        <f ca="1">IF(B449&lt;&gt;"",INDEX('Initiative Indirect'!$T:$T,MATCH(B449,'Initiative Indirect'!$A:$A,0)),"")</f>
        <v/>
      </c>
      <c r="V449" s="3" t="str">
        <f ca="1">IF(C449&lt;&gt;"",INDEX('Team Indirect'!$T:$T,MATCH(C449,'Team Indirect'!$A:$A,0)),"")</f>
        <v/>
      </c>
      <c r="W449" s="3"/>
      <c r="X449" s="3"/>
      <c r="Y449" s="3" t="str">
        <f ca="1">IF($C449&lt;&gt;"",INDEX('Team Indirect'!$D:$D,MATCH($C449,'Team Indirect'!$A:$A,0)),"")</f>
        <v/>
      </c>
      <c r="Z449" s="3" t="str">
        <f ca="1">IF($C449&lt;&gt;"",INDEX('Team Indirect'!$E:$E,MATCH($C449,'Team Indirect'!$A:$A,0)),"")</f>
        <v/>
      </c>
      <c r="AA449" s="3" t="str">
        <f ca="1">IF($C449&lt;&gt;"",INDEX('Team Indirect'!$F:$F,MATCH($C449,'Team Indirect'!$A:$A,0)),"")</f>
        <v/>
      </c>
      <c r="AB449" s="3" t="str">
        <f t="shared" ca="1" si="6"/>
        <v/>
      </c>
      <c r="AC449" s="3">
        <f ca="1">IF(OR(AllocationUnits="Stories", AllocationUnits="Points"),'Work Indirect'!F449,F449/MAX('Work Indirect'!AB449,1))</f>
        <v>1</v>
      </c>
    </row>
    <row r="450" spans="1:29"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7" t="str">
        <f ca="1">IF(OFFSET('4. Work'!$A$1,ROW(D450)-1,COLUMN(D450)-1)="","",OFFSET('4. Work'!$A$1,ROW(D450)-1,COLUMN(D450)-1))</f>
        <v/>
      </c>
      <c r="E450" s="147"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I450" s="3" t="str">
        <f ca="1">IF(OFFSET('4. Work'!$A$1,ROW(I450)-1,COLUMN(I450)-1)="","",OFFSET('4. Work'!$A$1,ROW(I450)-1,COLUMN(I450)-1))</f>
        <v/>
      </c>
      <c r="T450" s="3" t="str">
        <f ca="1">IF(A450&lt;&gt;"",MAX('Initiative Indirect'!$T:$T)+(ROW(A450)-1),"")</f>
        <v/>
      </c>
      <c r="U450" s="3" t="str">
        <f ca="1">IF(B450&lt;&gt;"",INDEX('Initiative Indirect'!$T:$T,MATCH(B450,'Initiative Indirect'!$A:$A,0)),"")</f>
        <v/>
      </c>
      <c r="V450" s="3" t="str">
        <f ca="1">IF(C450&lt;&gt;"",INDEX('Team Indirect'!$T:$T,MATCH(C450,'Team Indirect'!$A:$A,0)),"")</f>
        <v/>
      </c>
      <c r="W450" s="3"/>
      <c r="X450" s="3"/>
      <c r="Y450" s="3" t="str">
        <f ca="1">IF($C450&lt;&gt;"",INDEX('Team Indirect'!$D:$D,MATCH($C450,'Team Indirect'!$A:$A,0)),"")</f>
        <v/>
      </c>
      <c r="Z450" s="3" t="str">
        <f ca="1">IF($C450&lt;&gt;"",INDEX('Team Indirect'!$E:$E,MATCH($C450,'Team Indirect'!$A:$A,0)),"")</f>
        <v/>
      </c>
      <c r="AA450" s="3" t="str">
        <f ca="1">IF($C450&lt;&gt;"",INDEX('Team Indirect'!$F:$F,MATCH($C450,'Team Indirect'!$A:$A,0)),"")</f>
        <v/>
      </c>
      <c r="AB450" s="3" t="str">
        <f t="shared" ref="AB450:AB513" ca="1" si="7">IF(AND(Y450&lt;&gt;"",Z450&lt;&gt;""),Y450+((Z450-Y450)*(1-MAX(0,AA450))*(1-Probability)),"")</f>
        <v/>
      </c>
      <c r="AC450" s="3">
        <f ca="1">IF(OR(AllocationUnits="Stories", AllocationUnits="Points"),'Work Indirect'!F450,F450/MAX('Work Indirect'!AB450,1))</f>
        <v>1</v>
      </c>
    </row>
    <row r="451" spans="1:29"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7" t="str">
        <f ca="1">IF(OFFSET('4. Work'!$A$1,ROW(D451)-1,COLUMN(D451)-1)="","",OFFSET('4. Work'!$A$1,ROW(D451)-1,COLUMN(D451)-1))</f>
        <v/>
      </c>
      <c r="E451" s="147"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I451" s="3" t="str">
        <f ca="1">IF(OFFSET('4. Work'!$A$1,ROW(I451)-1,COLUMN(I451)-1)="","",OFFSET('4. Work'!$A$1,ROW(I451)-1,COLUMN(I451)-1))</f>
        <v/>
      </c>
      <c r="T451" s="3" t="str">
        <f ca="1">IF(A451&lt;&gt;"",MAX('Initiative Indirect'!$T:$T)+(ROW(A451)-1),"")</f>
        <v/>
      </c>
      <c r="U451" s="3" t="str">
        <f ca="1">IF(B451&lt;&gt;"",INDEX('Initiative Indirect'!$T:$T,MATCH(B451,'Initiative Indirect'!$A:$A,0)),"")</f>
        <v/>
      </c>
      <c r="V451" s="3" t="str">
        <f ca="1">IF(C451&lt;&gt;"",INDEX('Team Indirect'!$T:$T,MATCH(C451,'Team Indirect'!$A:$A,0)),"")</f>
        <v/>
      </c>
      <c r="W451" s="3"/>
      <c r="X451" s="3"/>
      <c r="Y451" s="3" t="str">
        <f ca="1">IF($C451&lt;&gt;"",INDEX('Team Indirect'!$D:$D,MATCH($C451,'Team Indirect'!$A:$A,0)),"")</f>
        <v/>
      </c>
      <c r="Z451" s="3" t="str">
        <f ca="1">IF($C451&lt;&gt;"",INDEX('Team Indirect'!$E:$E,MATCH($C451,'Team Indirect'!$A:$A,0)),"")</f>
        <v/>
      </c>
      <c r="AA451" s="3" t="str">
        <f ca="1">IF($C451&lt;&gt;"",INDEX('Team Indirect'!$F:$F,MATCH($C451,'Team Indirect'!$A:$A,0)),"")</f>
        <v/>
      </c>
      <c r="AB451" s="3" t="str">
        <f t="shared" ca="1" si="7"/>
        <v/>
      </c>
      <c r="AC451" s="3">
        <f ca="1">IF(OR(AllocationUnits="Stories", AllocationUnits="Points"),'Work Indirect'!F451,F451/MAX('Work Indirect'!AB451,1))</f>
        <v>1</v>
      </c>
    </row>
    <row r="452" spans="1:29"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7" t="str">
        <f ca="1">IF(OFFSET('4. Work'!$A$1,ROW(D452)-1,COLUMN(D452)-1)="","",OFFSET('4. Work'!$A$1,ROW(D452)-1,COLUMN(D452)-1))</f>
        <v/>
      </c>
      <c r="E452" s="147"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I452" s="3" t="str">
        <f ca="1">IF(OFFSET('4. Work'!$A$1,ROW(I452)-1,COLUMN(I452)-1)="","",OFFSET('4. Work'!$A$1,ROW(I452)-1,COLUMN(I452)-1))</f>
        <v/>
      </c>
      <c r="T452" s="3" t="str">
        <f ca="1">IF(A452&lt;&gt;"",MAX('Initiative Indirect'!$T:$T)+(ROW(A452)-1),"")</f>
        <v/>
      </c>
      <c r="U452" s="3" t="str">
        <f ca="1">IF(B452&lt;&gt;"",INDEX('Initiative Indirect'!$T:$T,MATCH(B452,'Initiative Indirect'!$A:$A,0)),"")</f>
        <v/>
      </c>
      <c r="V452" s="3" t="str">
        <f ca="1">IF(C452&lt;&gt;"",INDEX('Team Indirect'!$T:$T,MATCH(C452,'Team Indirect'!$A:$A,0)),"")</f>
        <v/>
      </c>
      <c r="W452" s="3"/>
      <c r="X452" s="3"/>
      <c r="Y452" s="3" t="str">
        <f ca="1">IF($C452&lt;&gt;"",INDEX('Team Indirect'!$D:$D,MATCH($C452,'Team Indirect'!$A:$A,0)),"")</f>
        <v/>
      </c>
      <c r="Z452" s="3" t="str">
        <f ca="1">IF($C452&lt;&gt;"",INDEX('Team Indirect'!$E:$E,MATCH($C452,'Team Indirect'!$A:$A,0)),"")</f>
        <v/>
      </c>
      <c r="AA452" s="3" t="str">
        <f ca="1">IF($C452&lt;&gt;"",INDEX('Team Indirect'!$F:$F,MATCH($C452,'Team Indirect'!$A:$A,0)),"")</f>
        <v/>
      </c>
      <c r="AB452" s="3" t="str">
        <f t="shared" ca="1" si="7"/>
        <v/>
      </c>
      <c r="AC452" s="3">
        <f ca="1">IF(OR(AllocationUnits="Stories", AllocationUnits="Points"),'Work Indirect'!F452,F452/MAX('Work Indirect'!AB452,1))</f>
        <v>1</v>
      </c>
    </row>
    <row r="453" spans="1:29"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7" t="str">
        <f ca="1">IF(OFFSET('4. Work'!$A$1,ROW(D453)-1,COLUMN(D453)-1)="","",OFFSET('4. Work'!$A$1,ROW(D453)-1,COLUMN(D453)-1))</f>
        <v/>
      </c>
      <c r="E453" s="147"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I453" s="3" t="str">
        <f ca="1">IF(OFFSET('4. Work'!$A$1,ROW(I453)-1,COLUMN(I453)-1)="","",OFFSET('4. Work'!$A$1,ROW(I453)-1,COLUMN(I453)-1))</f>
        <v/>
      </c>
      <c r="T453" s="3" t="str">
        <f ca="1">IF(A453&lt;&gt;"",MAX('Initiative Indirect'!$T:$T)+(ROW(A453)-1),"")</f>
        <v/>
      </c>
      <c r="U453" s="3" t="str">
        <f ca="1">IF(B453&lt;&gt;"",INDEX('Initiative Indirect'!$T:$T,MATCH(B453,'Initiative Indirect'!$A:$A,0)),"")</f>
        <v/>
      </c>
      <c r="V453" s="3" t="str">
        <f ca="1">IF(C453&lt;&gt;"",INDEX('Team Indirect'!$T:$T,MATCH(C453,'Team Indirect'!$A:$A,0)),"")</f>
        <v/>
      </c>
      <c r="W453" s="3"/>
      <c r="X453" s="3"/>
      <c r="Y453" s="3" t="str">
        <f ca="1">IF($C453&lt;&gt;"",INDEX('Team Indirect'!$D:$D,MATCH($C453,'Team Indirect'!$A:$A,0)),"")</f>
        <v/>
      </c>
      <c r="Z453" s="3" t="str">
        <f ca="1">IF($C453&lt;&gt;"",INDEX('Team Indirect'!$E:$E,MATCH($C453,'Team Indirect'!$A:$A,0)),"")</f>
        <v/>
      </c>
      <c r="AA453" s="3" t="str">
        <f ca="1">IF($C453&lt;&gt;"",INDEX('Team Indirect'!$F:$F,MATCH($C453,'Team Indirect'!$A:$A,0)),"")</f>
        <v/>
      </c>
      <c r="AB453" s="3" t="str">
        <f t="shared" ca="1" si="7"/>
        <v/>
      </c>
      <c r="AC453" s="3">
        <f ca="1">IF(OR(AllocationUnits="Stories", AllocationUnits="Points"),'Work Indirect'!F453,F453/MAX('Work Indirect'!AB453,1))</f>
        <v>1</v>
      </c>
    </row>
    <row r="454" spans="1:29"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7" t="str">
        <f ca="1">IF(OFFSET('4. Work'!$A$1,ROW(D454)-1,COLUMN(D454)-1)="","",OFFSET('4. Work'!$A$1,ROW(D454)-1,COLUMN(D454)-1))</f>
        <v/>
      </c>
      <c r="E454" s="147"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I454" s="3" t="str">
        <f ca="1">IF(OFFSET('4. Work'!$A$1,ROW(I454)-1,COLUMN(I454)-1)="","",OFFSET('4. Work'!$A$1,ROW(I454)-1,COLUMN(I454)-1))</f>
        <v/>
      </c>
      <c r="T454" s="3" t="str">
        <f ca="1">IF(A454&lt;&gt;"",MAX('Initiative Indirect'!$T:$T)+(ROW(A454)-1),"")</f>
        <v/>
      </c>
      <c r="U454" s="3" t="str">
        <f ca="1">IF(B454&lt;&gt;"",INDEX('Initiative Indirect'!$T:$T,MATCH(B454,'Initiative Indirect'!$A:$A,0)),"")</f>
        <v/>
      </c>
      <c r="V454" s="3" t="str">
        <f ca="1">IF(C454&lt;&gt;"",INDEX('Team Indirect'!$T:$T,MATCH(C454,'Team Indirect'!$A:$A,0)),"")</f>
        <v/>
      </c>
      <c r="W454" s="3"/>
      <c r="X454" s="3"/>
      <c r="Y454" s="3" t="str">
        <f ca="1">IF($C454&lt;&gt;"",INDEX('Team Indirect'!$D:$D,MATCH($C454,'Team Indirect'!$A:$A,0)),"")</f>
        <v/>
      </c>
      <c r="Z454" s="3" t="str">
        <f ca="1">IF($C454&lt;&gt;"",INDEX('Team Indirect'!$E:$E,MATCH($C454,'Team Indirect'!$A:$A,0)),"")</f>
        <v/>
      </c>
      <c r="AA454" s="3" t="str">
        <f ca="1">IF($C454&lt;&gt;"",INDEX('Team Indirect'!$F:$F,MATCH($C454,'Team Indirect'!$A:$A,0)),"")</f>
        <v/>
      </c>
      <c r="AB454" s="3" t="str">
        <f t="shared" ca="1" si="7"/>
        <v/>
      </c>
      <c r="AC454" s="3">
        <f ca="1">IF(OR(AllocationUnits="Stories", AllocationUnits="Points"),'Work Indirect'!F454,F454/MAX('Work Indirect'!AB454,1))</f>
        <v>1</v>
      </c>
    </row>
    <row r="455" spans="1:29"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7" t="str">
        <f ca="1">IF(OFFSET('4. Work'!$A$1,ROW(D455)-1,COLUMN(D455)-1)="","",OFFSET('4. Work'!$A$1,ROW(D455)-1,COLUMN(D455)-1))</f>
        <v/>
      </c>
      <c r="E455" s="147"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I455" s="3" t="str">
        <f ca="1">IF(OFFSET('4. Work'!$A$1,ROW(I455)-1,COLUMN(I455)-1)="","",OFFSET('4. Work'!$A$1,ROW(I455)-1,COLUMN(I455)-1))</f>
        <v/>
      </c>
      <c r="T455" s="3" t="str">
        <f ca="1">IF(A455&lt;&gt;"",MAX('Initiative Indirect'!$T:$T)+(ROW(A455)-1),"")</f>
        <v/>
      </c>
      <c r="U455" s="3" t="str">
        <f ca="1">IF(B455&lt;&gt;"",INDEX('Initiative Indirect'!$T:$T,MATCH(B455,'Initiative Indirect'!$A:$A,0)),"")</f>
        <v/>
      </c>
      <c r="V455" s="3" t="str">
        <f ca="1">IF(C455&lt;&gt;"",INDEX('Team Indirect'!$T:$T,MATCH(C455,'Team Indirect'!$A:$A,0)),"")</f>
        <v/>
      </c>
      <c r="W455" s="3"/>
      <c r="X455" s="3"/>
      <c r="Y455" s="3" t="str">
        <f ca="1">IF($C455&lt;&gt;"",INDEX('Team Indirect'!$D:$D,MATCH($C455,'Team Indirect'!$A:$A,0)),"")</f>
        <v/>
      </c>
      <c r="Z455" s="3" t="str">
        <f ca="1">IF($C455&lt;&gt;"",INDEX('Team Indirect'!$E:$E,MATCH($C455,'Team Indirect'!$A:$A,0)),"")</f>
        <v/>
      </c>
      <c r="AA455" s="3" t="str">
        <f ca="1">IF($C455&lt;&gt;"",INDEX('Team Indirect'!$F:$F,MATCH($C455,'Team Indirect'!$A:$A,0)),"")</f>
        <v/>
      </c>
      <c r="AB455" s="3" t="str">
        <f t="shared" ca="1" si="7"/>
        <v/>
      </c>
      <c r="AC455" s="3">
        <f ca="1">IF(OR(AllocationUnits="Stories", AllocationUnits="Points"),'Work Indirect'!F455,F455/MAX('Work Indirect'!AB455,1))</f>
        <v>1</v>
      </c>
    </row>
    <row r="456" spans="1:29"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7" t="str">
        <f ca="1">IF(OFFSET('4. Work'!$A$1,ROW(D456)-1,COLUMN(D456)-1)="","",OFFSET('4. Work'!$A$1,ROW(D456)-1,COLUMN(D456)-1))</f>
        <v/>
      </c>
      <c r="E456" s="147"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I456" s="3" t="str">
        <f ca="1">IF(OFFSET('4. Work'!$A$1,ROW(I456)-1,COLUMN(I456)-1)="","",OFFSET('4. Work'!$A$1,ROW(I456)-1,COLUMN(I456)-1))</f>
        <v/>
      </c>
      <c r="T456" s="3" t="str">
        <f ca="1">IF(A456&lt;&gt;"",MAX('Initiative Indirect'!$T:$T)+(ROW(A456)-1),"")</f>
        <v/>
      </c>
      <c r="U456" s="3" t="str">
        <f ca="1">IF(B456&lt;&gt;"",INDEX('Initiative Indirect'!$T:$T,MATCH(B456,'Initiative Indirect'!$A:$A,0)),"")</f>
        <v/>
      </c>
      <c r="V456" s="3" t="str">
        <f ca="1">IF(C456&lt;&gt;"",INDEX('Team Indirect'!$T:$T,MATCH(C456,'Team Indirect'!$A:$A,0)),"")</f>
        <v/>
      </c>
      <c r="W456" s="3"/>
      <c r="X456" s="3"/>
      <c r="Y456" s="3" t="str">
        <f ca="1">IF($C456&lt;&gt;"",INDEX('Team Indirect'!$D:$D,MATCH($C456,'Team Indirect'!$A:$A,0)),"")</f>
        <v/>
      </c>
      <c r="Z456" s="3" t="str">
        <f ca="1">IF($C456&lt;&gt;"",INDEX('Team Indirect'!$E:$E,MATCH($C456,'Team Indirect'!$A:$A,0)),"")</f>
        <v/>
      </c>
      <c r="AA456" s="3" t="str">
        <f ca="1">IF($C456&lt;&gt;"",INDEX('Team Indirect'!$F:$F,MATCH($C456,'Team Indirect'!$A:$A,0)),"")</f>
        <v/>
      </c>
      <c r="AB456" s="3" t="str">
        <f t="shared" ca="1" si="7"/>
        <v/>
      </c>
      <c r="AC456" s="3">
        <f ca="1">IF(OR(AllocationUnits="Stories", AllocationUnits="Points"),'Work Indirect'!F456,F456/MAX('Work Indirect'!AB456,1))</f>
        <v>1</v>
      </c>
    </row>
    <row r="457" spans="1:29"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7" t="str">
        <f ca="1">IF(OFFSET('4. Work'!$A$1,ROW(D457)-1,COLUMN(D457)-1)="","",OFFSET('4. Work'!$A$1,ROW(D457)-1,COLUMN(D457)-1))</f>
        <v/>
      </c>
      <c r="E457" s="147"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I457" s="3" t="str">
        <f ca="1">IF(OFFSET('4. Work'!$A$1,ROW(I457)-1,COLUMN(I457)-1)="","",OFFSET('4. Work'!$A$1,ROW(I457)-1,COLUMN(I457)-1))</f>
        <v/>
      </c>
      <c r="T457" s="3" t="str">
        <f ca="1">IF(A457&lt;&gt;"",MAX('Initiative Indirect'!$T:$T)+(ROW(A457)-1),"")</f>
        <v/>
      </c>
      <c r="U457" s="3" t="str">
        <f ca="1">IF(B457&lt;&gt;"",INDEX('Initiative Indirect'!$T:$T,MATCH(B457,'Initiative Indirect'!$A:$A,0)),"")</f>
        <v/>
      </c>
      <c r="V457" s="3" t="str">
        <f ca="1">IF(C457&lt;&gt;"",INDEX('Team Indirect'!$T:$T,MATCH(C457,'Team Indirect'!$A:$A,0)),"")</f>
        <v/>
      </c>
      <c r="W457" s="3"/>
      <c r="X457" s="3"/>
      <c r="Y457" s="3" t="str">
        <f ca="1">IF($C457&lt;&gt;"",INDEX('Team Indirect'!$D:$D,MATCH($C457,'Team Indirect'!$A:$A,0)),"")</f>
        <v/>
      </c>
      <c r="Z457" s="3" t="str">
        <f ca="1">IF($C457&lt;&gt;"",INDEX('Team Indirect'!$E:$E,MATCH($C457,'Team Indirect'!$A:$A,0)),"")</f>
        <v/>
      </c>
      <c r="AA457" s="3" t="str">
        <f ca="1">IF($C457&lt;&gt;"",INDEX('Team Indirect'!$F:$F,MATCH($C457,'Team Indirect'!$A:$A,0)),"")</f>
        <v/>
      </c>
      <c r="AB457" s="3" t="str">
        <f t="shared" ca="1" si="7"/>
        <v/>
      </c>
      <c r="AC457" s="3">
        <f ca="1">IF(OR(AllocationUnits="Stories", AllocationUnits="Points"),'Work Indirect'!F457,F457/MAX('Work Indirect'!AB457,1))</f>
        <v>1</v>
      </c>
    </row>
    <row r="458" spans="1:29"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7" t="str">
        <f ca="1">IF(OFFSET('4. Work'!$A$1,ROW(D458)-1,COLUMN(D458)-1)="","",OFFSET('4. Work'!$A$1,ROW(D458)-1,COLUMN(D458)-1))</f>
        <v/>
      </c>
      <c r="E458" s="147"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I458" s="3" t="str">
        <f ca="1">IF(OFFSET('4. Work'!$A$1,ROW(I458)-1,COLUMN(I458)-1)="","",OFFSET('4. Work'!$A$1,ROW(I458)-1,COLUMN(I458)-1))</f>
        <v/>
      </c>
      <c r="T458" s="3" t="str">
        <f ca="1">IF(A458&lt;&gt;"",MAX('Initiative Indirect'!$T:$T)+(ROW(A458)-1),"")</f>
        <v/>
      </c>
      <c r="U458" s="3" t="str">
        <f ca="1">IF(B458&lt;&gt;"",INDEX('Initiative Indirect'!$T:$T,MATCH(B458,'Initiative Indirect'!$A:$A,0)),"")</f>
        <v/>
      </c>
      <c r="V458" s="3" t="str">
        <f ca="1">IF(C458&lt;&gt;"",INDEX('Team Indirect'!$T:$T,MATCH(C458,'Team Indirect'!$A:$A,0)),"")</f>
        <v/>
      </c>
      <c r="W458" s="3"/>
      <c r="X458" s="3"/>
      <c r="Y458" s="3" t="str">
        <f ca="1">IF($C458&lt;&gt;"",INDEX('Team Indirect'!$D:$D,MATCH($C458,'Team Indirect'!$A:$A,0)),"")</f>
        <v/>
      </c>
      <c r="Z458" s="3" t="str">
        <f ca="1">IF($C458&lt;&gt;"",INDEX('Team Indirect'!$E:$E,MATCH($C458,'Team Indirect'!$A:$A,0)),"")</f>
        <v/>
      </c>
      <c r="AA458" s="3" t="str">
        <f ca="1">IF($C458&lt;&gt;"",INDEX('Team Indirect'!$F:$F,MATCH($C458,'Team Indirect'!$A:$A,0)),"")</f>
        <v/>
      </c>
      <c r="AB458" s="3" t="str">
        <f t="shared" ca="1" si="7"/>
        <v/>
      </c>
      <c r="AC458" s="3">
        <f ca="1">IF(OR(AllocationUnits="Stories", AllocationUnits="Points"),'Work Indirect'!F458,F458/MAX('Work Indirect'!AB458,1))</f>
        <v>1</v>
      </c>
    </row>
    <row r="459" spans="1:29"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7" t="str">
        <f ca="1">IF(OFFSET('4. Work'!$A$1,ROW(D459)-1,COLUMN(D459)-1)="","",OFFSET('4. Work'!$A$1,ROW(D459)-1,COLUMN(D459)-1))</f>
        <v/>
      </c>
      <c r="E459" s="147"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I459" s="3" t="str">
        <f ca="1">IF(OFFSET('4. Work'!$A$1,ROW(I459)-1,COLUMN(I459)-1)="","",OFFSET('4. Work'!$A$1,ROW(I459)-1,COLUMN(I459)-1))</f>
        <v/>
      </c>
      <c r="T459" s="3" t="str">
        <f ca="1">IF(A459&lt;&gt;"",MAX('Initiative Indirect'!$T:$T)+(ROW(A459)-1),"")</f>
        <v/>
      </c>
      <c r="U459" s="3" t="str">
        <f ca="1">IF(B459&lt;&gt;"",INDEX('Initiative Indirect'!$T:$T,MATCH(B459,'Initiative Indirect'!$A:$A,0)),"")</f>
        <v/>
      </c>
      <c r="V459" s="3" t="str">
        <f ca="1">IF(C459&lt;&gt;"",INDEX('Team Indirect'!$T:$T,MATCH(C459,'Team Indirect'!$A:$A,0)),"")</f>
        <v/>
      </c>
      <c r="W459" s="3"/>
      <c r="X459" s="3"/>
      <c r="Y459" s="3" t="str">
        <f ca="1">IF($C459&lt;&gt;"",INDEX('Team Indirect'!$D:$D,MATCH($C459,'Team Indirect'!$A:$A,0)),"")</f>
        <v/>
      </c>
      <c r="Z459" s="3" t="str">
        <f ca="1">IF($C459&lt;&gt;"",INDEX('Team Indirect'!$E:$E,MATCH($C459,'Team Indirect'!$A:$A,0)),"")</f>
        <v/>
      </c>
      <c r="AA459" s="3" t="str">
        <f ca="1">IF($C459&lt;&gt;"",INDEX('Team Indirect'!$F:$F,MATCH($C459,'Team Indirect'!$A:$A,0)),"")</f>
        <v/>
      </c>
      <c r="AB459" s="3" t="str">
        <f t="shared" ca="1" si="7"/>
        <v/>
      </c>
      <c r="AC459" s="3">
        <f ca="1">IF(OR(AllocationUnits="Stories", AllocationUnits="Points"),'Work Indirect'!F459,F459/MAX('Work Indirect'!AB459,1))</f>
        <v>1</v>
      </c>
    </row>
    <row r="460" spans="1:29"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7" t="str">
        <f ca="1">IF(OFFSET('4. Work'!$A$1,ROW(D460)-1,COLUMN(D460)-1)="","",OFFSET('4. Work'!$A$1,ROW(D460)-1,COLUMN(D460)-1))</f>
        <v/>
      </c>
      <c r="E460" s="147"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I460" s="3" t="str">
        <f ca="1">IF(OFFSET('4. Work'!$A$1,ROW(I460)-1,COLUMN(I460)-1)="","",OFFSET('4. Work'!$A$1,ROW(I460)-1,COLUMN(I460)-1))</f>
        <v/>
      </c>
      <c r="T460" s="3" t="str">
        <f ca="1">IF(A460&lt;&gt;"",MAX('Initiative Indirect'!$T:$T)+(ROW(A460)-1),"")</f>
        <v/>
      </c>
      <c r="U460" s="3" t="str">
        <f ca="1">IF(B460&lt;&gt;"",INDEX('Initiative Indirect'!$T:$T,MATCH(B460,'Initiative Indirect'!$A:$A,0)),"")</f>
        <v/>
      </c>
      <c r="V460" s="3" t="str">
        <f ca="1">IF(C460&lt;&gt;"",INDEX('Team Indirect'!$T:$T,MATCH(C460,'Team Indirect'!$A:$A,0)),"")</f>
        <v/>
      </c>
      <c r="W460" s="3"/>
      <c r="X460" s="3"/>
      <c r="Y460" s="3" t="str">
        <f ca="1">IF($C460&lt;&gt;"",INDEX('Team Indirect'!$D:$D,MATCH($C460,'Team Indirect'!$A:$A,0)),"")</f>
        <v/>
      </c>
      <c r="Z460" s="3" t="str">
        <f ca="1">IF($C460&lt;&gt;"",INDEX('Team Indirect'!$E:$E,MATCH($C460,'Team Indirect'!$A:$A,0)),"")</f>
        <v/>
      </c>
      <c r="AA460" s="3" t="str">
        <f ca="1">IF($C460&lt;&gt;"",INDEX('Team Indirect'!$F:$F,MATCH($C460,'Team Indirect'!$A:$A,0)),"")</f>
        <v/>
      </c>
      <c r="AB460" s="3" t="str">
        <f t="shared" ca="1" si="7"/>
        <v/>
      </c>
      <c r="AC460" s="3">
        <f ca="1">IF(OR(AllocationUnits="Stories", AllocationUnits="Points"),'Work Indirect'!F460,F460/MAX('Work Indirect'!AB460,1))</f>
        <v>1</v>
      </c>
    </row>
    <row r="461" spans="1:29"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7" t="str">
        <f ca="1">IF(OFFSET('4. Work'!$A$1,ROW(D461)-1,COLUMN(D461)-1)="","",OFFSET('4. Work'!$A$1,ROW(D461)-1,COLUMN(D461)-1))</f>
        <v/>
      </c>
      <c r="E461" s="147"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I461" s="3" t="str">
        <f ca="1">IF(OFFSET('4. Work'!$A$1,ROW(I461)-1,COLUMN(I461)-1)="","",OFFSET('4. Work'!$A$1,ROW(I461)-1,COLUMN(I461)-1))</f>
        <v/>
      </c>
      <c r="T461" s="3" t="str">
        <f ca="1">IF(A461&lt;&gt;"",MAX('Initiative Indirect'!$T:$T)+(ROW(A461)-1),"")</f>
        <v/>
      </c>
      <c r="U461" s="3" t="str">
        <f ca="1">IF(B461&lt;&gt;"",INDEX('Initiative Indirect'!$T:$T,MATCH(B461,'Initiative Indirect'!$A:$A,0)),"")</f>
        <v/>
      </c>
      <c r="V461" s="3" t="str">
        <f ca="1">IF(C461&lt;&gt;"",INDEX('Team Indirect'!$T:$T,MATCH(C461,'Team Indirect'!$A:$A,0)),"")</f>
        <v/>
      </c>
      <c r="W461" s="3"/>
      <c r="X461" s="3"/>
      <c r="Y461" s="3" t="str">
        <f ca="1">IF($C461&lt;&gt;"",INDEX('Team Indirect'!$D:$D,MATCH($C461,'Team Indirect'!$A:$A,0)),"")</f>
        <v/>
      </c>
      <c r="Z461" s="3" t="str">
        <f ca="1">IF($C461&lt;&gt;"",INDEX('Team Indirect'!$E:$E,MATCH($C461,'Team Indirect'!$A:$A,0)),"")</f>
        <v/>
      </c>
      <c r="AA461" s="3" t="str">
        <f ca="1">IF($C461&lt;&gt;"",INDEX('Team Indirect'!$F:$F,MATCH($C461,'Team Indirect'!$A:$A,0)),"")</f>
        <v/>
      </c>
      <c r="AB461" s="3" t="str">
        <f t="shared" ca="1" si="7"/>
        <v/>
      </c>
      <c r="AC461" s="3">
        <f ca="1">IF(OR(AllocationUnits="Stories", AllocationUnits="Points"),'Work Indirect'!F461,F461/MAX('Work Indirect'!AB461,1))</f>
        <v>1</v>
      </c>
    </row>
    <row r="462" spans="1:29"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7" t="str">
        <f ca="1">IF(OFFSET('4. Work'!$A$1,ROW(D462)-1,COLUMN(D462)-1)="","",OFFSET('4. Work'!$A$1,ROW(D462)-1,COLUMN(D462)-1))</f>
        <v/>
      </c>
      <c r="E462" s="147"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I462" s="3" t="str">
        <f ca="1">IF(OFFSET('4. Work'!$A$1,ROW(I462)-1,COLUMN(I462)-1)="","",OFFSET('4. Work'!$A$1,ROW(I462)-1,COLUMN(I462)-1))</f>
        <v/>
      </c>
      <c r="T462" s="3" t="str">
        <f ca="1">IF(A462&lt;&gt;"",MAX('Initiative Indirect'!$T:$T)+(ROW(A462)-1),"")</f>
        <v/>
      </c>
      <c r="U462" s="3" t="str">
        <f ca="1">IF(B462&lt;&gt;"",INDEX('Initiative Indirect'!$T:$T,MATCH(B462,'Initiative Indirect'!$A:$A,0)),"")</f>
        <v/>
      </c>
      <c r="V462" s="3" t="str">
        <f ca="1">IF(C462&lt;&gt;"",INDEX('Team Indirect'!$T:$T,MATCH(C462,'Team Indirect'!$A:$A,0)),"")</f>
        <v/>
      </c>
      <c r="W462" s="3"/>
      <c r="X462" s="3"/>
      <c r="Y462" s="3" t="str">
        <f ca="1">IF($C462&lt;&gt;"",INDEX('Team Indirect'!$D:$D,MATCH($C462,'Team Indirect'!$A:$A,0)),"")</f>
        <v/>
      </c>
      <c r="Z462" s="3" t="str">
        <f ca="1">IF($C462&lt;&gt;"",INDEX('Team Indirect'!$E:$E,MATCH($C462,'Team Indirect'!$A:$A,0)),"")</f>
        <v/>
      </c>
      <c r="AA462" s="3" t="str">
        <f ca="1">IF($C462&lt;&gt;"",INDEX('Team Indirect'!$F:$F,MATCH($C462,'Team Indirect'!$A:$A,0)),"")</f>
        <v/>
      </c>
      <c r="AB462" s="3" t="str">
        <f t="shared" ca="1" si="7"/>
        <v/>
      </c>
      <c r="AC462" s="3">
        <f ca="1">IF(OR(AllocationUnits="Stories", AllocationUnits="Points"),'Work Indirect'!F462,F462/MAX('Work Indirect'!AB462,1))</f>
        <v>1</v>
      </c>
    </row>
    <row r="463" spans="1:29"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7" t="str">
        <f ca="1">IF(OFFSET('4. Work'!$A$1,ROW(D463)-1,COLUMN(D463)-1)="","",OFFSET('4. Work'!$A$1,ROW(D463)-1,COLUMN(D463)-1))</f>
        <v/>
      </c>
      <c r="E463" s="147"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I463" s="3" t="str">
        <f ca="1">IF(OFFSET('4. Work'!$A$1,ROW(I463)-1,COLUMN(I463)-1)="","",OFFSET('4. Work'!$A$1,ROW(I463)-1,COLUMN(I463)-1))</f>
        <v/>
      </c>
      <c r="T463" s="3" t="str">
        <f ca="1">IF(A463&lt;&gt;"",MAX('Initiative Indirect'!$T:$T)+(ROW(A463)-1),"")</f>
        <v/>
      </c>
      <c r="U463" s="3" t="str">
        <f ca="1">IF(B463&lt;&gt;"",INDEX('Initiative Indirect'!$T:$T,MATCH(B463,'Initiative Indirect'!$A:$A,0)),"")</f>
        <v/>
      </c>
      <c r="V463" s="3" t="str">
        <f ca="1">IF(C463&lt;&gt;"",INDEX('Team Indirect'!$T:$T,MATCH(C463,'Team Indirect'!$A:$A,0)),"")</f>
        <v/>
      </c>
      <c r="W463" s="3"/>
      <c r="X463" s="3"/>
      <c r="Y463" s="3" t="str">
        <f ca="1">IF($C463&lt;&gt;"",INDEX('Team Indirect'!$D:$D,MATCH($C463,'Team Indirect'!$A:$A,0)),"")</f>
        <v/>
      </c>
      <c r="Z463" s="3" t="str">
        <f ca="1">IF($C463&lt;&gt;"",INDEX('Team Indirect'!$E:$E,MATCH($C463,'Team Indirect'!$A:$A,0)),"")</f>
        <v/>
      </c>
      <c r="AA463" s="3" t="str">
        <f ca="1">IF($C463&lt;&gt;"",INDEX('Team Indirect'!$F:$F,MATCH($C463,'Team Indirect'!$A:$A,0)),"")</f>
        <v/>
      </c>
      <c r="AB463" s="3" t="str">
        <f t="shared" ca="1" si="7"/>
        <v/>
      </c>
      <c r="AC463" s="3">
        <f ca="1">IF(OR(AllocationUnits="Stories", AllocationUnits="Points"),'Work Indirect'!F463,F463/MAX('Work Indirect'!AB463,1))</f>
        <v>1</v>
      </c>
    </row>
    <row r="464" spans="1:29"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7" t="str">
        <f ca="1">IF(OFFSET('4. Work'!$A$1,ROW(D464)-1,COLUMN(D464)-1)="","",OFFSET('4. Work'!$A$1,ROW(D464)-1,COLUMN(D464)-1))</f>
        <v/>
      </c>
      <c r="E464" s="147"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I464" s="3" t="str">
        <f ca="1">IF(OFFSET('4. Work'!$A$1,ROW(I464)-1,COLUMN(I464)-1)="","",OFFSET('4. Work'!$A$1,ROW(I464)-1,COLUMN(I464)-1))</f>
        <v/>
      </c>
      <c r="T464" s="3" t="str">
        <f ca="1">IF(A464&lt;&gt;"",MAX('Initiative Indirect'!$T:$T)+(ROW(A464)-1),"")</f>
        <v/>
      </c>
      <c r="U464" s="3" t="str">
        <f ca="1">IF(B464&lt;&gt;"",INDEX('Initiative Indirect'!$T:$T,MATCH(B464,'Initiative Indirect'!$A:$A,0)),"")</f>
        <v/>
      </c>
      <c r="V464" s="3" t="str">
        <f ca="1">IF(C464&lt;&gt;"",INDEX('Team Indirect'!$T:$T,MATCH(C464,'Team Indirect'!$A:$A,0)),"")</f>
        <v/>
      </c>
      <c r="W464" s="3"/>
      <c r="X464" s="3"/>
      <c r="Y464" s="3" t="str">
        <f ca="1">IF($C464&lt;&gt;"",INDEX('Team Indirect'!$D:$D,MATCH($C464,'Team Indirect'!$A:$A,0)),"")</f>
        <v/>
      </c>
      <c r="Z464" s="3" t="str">
        <f ca="1">IF($C464&lt;&gt;"",INDEX('Team Indirect'!$E:$E,MATCH($C464,'Team Indirect'!$A:$A,0)),"")</f>
        <v/>
      </c>
      <c r="AA464" s="3" t="str">
        <f ca="1">IF($C464&lt;&gt;"",INDEX('Team Indirect'!$F:$F,MATCH($C464,'Team Indirect'!$A:$A,0)),"")</f>
        <v/>
      </c>
      <c r="AB464" s="3" t="str">
        <f t="shared" ca="1" si="7"/>
        <v/>
      </c>
      <c r="AC464" s="3">
        <f ca="1">IF(OR(AllocationUnits="Stories", AllocationUnits="Points"),'Work Indirect'!F464,F464/MAX('Work Indirect'!AB464,1))</f>
        <v>1</v>
      </c>
    </row>
    <row r="465" spans="1:29"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7" t="str">
        <f ca="1">IF(OFFSET('4. Work'!$A$1,ROW(D465)-1,COLUMN(D465)-1)="","",OFFSET('4. Work'!$A$1,ROW(D465)-1,COLUMN(D465)-1))</f>
        <v/>
      </c>
      <c r="E465" s="147"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I465" s="3" t="str">
        <f ca="1">IF(OFFSET('4. Work'!$A$1,ROW(I465)-1,COLUMN(I465)-1)="","",OFFSET('4. Work'!$A$1,ROW(I465)-1,COLUMN(I465)-1))</f>
        <v/>
      </c>
      <c r="T465" s="3" t="str">
        <f ca="1">IF(A465&lt;&gt;"",MAX('Initiative Indirect'!$T:$T)+(ROW(A465)-1),"")</f>
        <v/>
      </c>
      <c r="U465" s="3" t="str">
        <f ca="1">IF(B465&lt;&gt;"",INDEX('Initiative Indirect'!$T:$T,MATCH(B465,'Initiative Indirect'!$A:$A,0)),"")</f>
        <v/>
      </c>
      <c r="V465" s="3" t="str">
        <f ca="1">IF(C465&lt;&gt;"",INDEX('Team Indirect'!$T:$T,MATCH(C465,'Team Indirect'!$A:$A,0)),"")</f>
        <v/>
      </c>
      <c r="W465" s="3"/>
      <c r="X465" s="3"/>
      <c r="Y465" s="3" t="str">
        <f ca="1">IF($C465&lt;&gt;"",INDEX('Team Indirect'!$D:$D,MATCH($C465,'Team Indirect'!$A:$A,0)),"")</f>
        <v/>
      </c>
      <c r="Z465" s="3" t="str">
        <f ca="1">IF($C465&lt;&gt;"",INDEX('Team Indirect'!$E:$E,MATCH($C465,'Team Indirect'!$A:$A,0)),"")</f>
        <v/>
      </c>
      <c r="AA465" s="3" t="str">
        <f ca="1">IF($C465&lt;&gt;"",INDEX('Team Indirect'!$F:$F,MATCH($C465,'Team Indirect'!$A:$A,0)),"")</f>
        <v/>
      </c>
      <c r="AB465" s="3" t="str">
        <f t="shared" ca="1" si="7"/>
        <v/>
      </c>
      <c r="AC465" s="3">
        <f ca="1">IF(OR(AllocationUnits="Stories", AllocationUnits="Points"),'Work Indirect'!F465,F465/MAX('Work Indirect'!AB465,1))</f>
        <v>1</v>
      </c>
    </row>
    <row r="466" spans="1:29"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7" t="str">
        <f ca="1">IF(OFFSET('4. Work'!$A$1,ROW(D466)-1,COLUMN(D466)-1)="","",OFFSET('4. Work'!$A$1,ROW(D466)-1,COLUMN(D466)-1))</f>
        <v/>
      </c>
      <c r="E466" s="147"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I466" s="3" t="str">
        <f ca="1">IF(OFFSET('4. Work'!$A$1,ROW(I466)-1,COLUMN(I466)-1)="","",OFFSET('4. Work'!$A$1,ROW(I466)-1,COLUMN(I466)-1))</f>
        <v/>
      </c>
      <c r="T466" s="3" t="str">
        <f ca="1">IF(A466&lt;&gt;"",MAX('Initiative Indirect'!$T:$T)+(ROW(A466)-1),"")</f>
        <v/>
      </c>
      <c r="U466" s="3" t="str">
        <f ca="1">IF(B466&lt;&gt;"",INDEX('Initiative Indirect'!$T:$T,MATCH(B466,'Initiative Indirect'!$A:$A,0)),"")</f>
        <v/>
      </c>
      <c r="V466" s="3" t="str">
        <f ca="1">IF(C466&lt;&gt;"",INDEX('Team Indirect'!$T:$T,MATCH(C466,'Team Indirect'!$A:$A,0)),"")</f>
        <v/>
      </c>
      <c r="W466" s="3"/>
      <c r="X466" s="3"/>
      <c r="Y466" s="3" t="str">
        <f ca="1">IF($C466&lt;&gt;"",INDEX('Team Indirect'!$D:$D,MATCH($C466,'Team Indirect'!$A:$A,0)),"")</f>
        <v/>
      </c>
      <c r="Z466" s="3" t="str">
        <f ca="1">IF($C466&lt;&gt;"",INDEX('Team Indirect'!$E:$E,MATCH($C466,'Team Indirect'!$A:$A,0)),"")</f>
        <v/>
      </c>
      <c r="AA466" s="3" t="str">
        <f ca="1">IF($C466&lt;&gt;"",INDEX('Team Indirect'!$F:$F,MATCH($C466,'Team Indirect'!$A:$A,0)),"")</f>
        <v/>
      </c>
      <c r="AB466" s="3" t="str">
        <f t="shared" ca="1" si="7"/>
        <v/>
      </c>
      <c r="AC466" s="3">
        <f ca="1">IF(OR(AllocationUnits="Stories", AllocationUnits="Points"),'Work Indirect'!F466,F466/MAX('Work Indirect'!AB466,1))</f>
        <v>1</v>
      </c>
    </row>
    <row r="467" spans="1:29"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7" t="str">
        <f ca="1">IF(OFFSET('4. Work'!$A$1,ROW(D467)-1,COLUMN(D467)-1)="","",OFFSET('4. Work'!$A$1,ROW(D467)-1,COLUMN(D467)-1))</f>
        <v/>
      </c>
      <c r="E467" s="147"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I467" s="3" t="str">
        <f ca="1">IF(OFFSET('4. Work'!$A$1,ROW(I467)-1,COLUMN(I467)-1)="","",OFFSET('4. Work'!$A$1,ROW(I467)-1,COLUMN(I467)-1))</f>
        <v/>
      </c>
      <c r="T467" s="3" t="str">
        <f ca="1">IF(A467&lt;&gt;"",MAX('Initiative Indirect'!$T:$T)+(ROW(A467)-1),"")</f>
        <v/>
      </c>
      <c r="U467" s="3" t="str">
        <f ca="1">IF(B467&lt;&gt;"",INDEX('Initiative Indirect'!$T:$T,MATCH(B467,'Initiative Indirect'!$A:$A,0)),"")</f>
        <v/>
      </c>
      <c r="V467" s="3" t="str">
        <f ca="1">IF(C467&lt;&gt;"",INDEX('Team Indirect'!$T:$T,MATCH(C467,'Team Indirect'!$A:$A,0)),"")</f>
        <v/>
      </c>
      <c r="W467" s="3"/>
      <c r="X467" s="3"/>
      <c r="Y467" s="3" t="str">
        <f ca="1">IF($C467&lt;&gt;"",INDEX('Team Indirect'!$D:$D,MATCH($C467,'Team Indirect'!$A:$A,0)),"")</f>
        <v/>
      </c>
      <c r="Z467" s="3" t="str">
        <f ca="1">IF($C467&lt;&gt;"",INDEX('Team Indirect'!$E:$E,MATCH($C467,'Team Indirect'!$A:$A,0)),"")</f>
        <v/>
      </c>
      <c r="AA467" s="3" t="str">
        <f ca="1">IF($C467&lt;&gt;"",INDEX('Team Indirect'!$F:$F,MATCH($C467,'Team Indirect'!$A:$A,0)),"")</f>
        <v/>
      </c>
      <c r="AB467" s="3" t="str">
        <f t="shared" ca="1" si="7"/>
        <v/>
      </c>
      <c r="AC467" s="3">
        <f ca="1">IF(OR(AllocationUnits="Stories", AllocationUnits="Points"),'Work Indirect'!F467,F467/MAX('Work Indirect'!AB467,1))</f>
        <v>1</v>
      </c>
    </row>
    <row r="468" spans="1:29"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7" t="str">
        <f ca="1">IF(OFFSET('4. Work'!$A$1,ROW(D468)-1,COLUMN(D468)-1)="","",OFFSET('4. Work'!$A$1,ROW(D468)-1,COLUMN(D468)-1))</f>
        <v/>
      </c>
      <c r="E468" s="147"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I468" s="3" t="str">
        <f ca="1">IF(OFFSET('4. Work'!$A$1,ROW(I468)-1,COLUMN(I468)-1)="","",OFFSET('4. Work'!$A$1,ROW(I468)-1,COLUMN(I468)-1))</f>
        <v/>
      </c>
      <c r="T468" s="3" t="str">
        <f ca="1">IF(A468&lt;&gt;"",MAX('Initiative Indirect'!$T:$T)+(ROW(A468)-1),"")</f>
        <v/>
      </c>
      <c r="U468" s="3" t="str">
        <f ca="1">IF(B468&lt;&gt;"",INDEX('Initiative Indirect'!$T:$T,MATCH(B468,'Initiative Indirect'!$A:$A,0)),"")</f>
        <v/>
      </c>
      <c r="V468" s="3" t="str">
        <f ca="1">IF(C468&lt;&gt;"",INDEX('Team Indirect'!$T:$T,MATCH(C468,'Team Indirect'!$A:$A,0)),"")</f>
        <v/>
      </c>
      <c r="W468" s="3"/>
      <c r="X468" s="3"/>
      <c r="Y468" s="3" t="str">
        <f ca="1">IF($C468&lt;&gt;"",INDEX('Team Indirect'!$D:$D,MATCH($C468,'Team Indirect'!$A:$A,0)),"")</f>
        <v/>
      </c>
      <c r="Z468" s="3" t="str">
        <f ca="1">IF($C468&lt;&gt;"",INDEX('Team Indirect'!$E:$E,MATCH($C468,'Team Indirect'!$A:$A,0)),"")</f>
        <v/>
      </c>
      <c r="AA468" s="3" t="str">
        <f ca="1">IF($C468&lt;&gt;"",INDEX('Team Indirect'!$F:$F,MATCH($C468,'Team Indirect'!$A:$A,0)),"")</f>
        <v/>
      </c>
      <c r="AB468" s="3" t="str">
        <f t="shared" ca="1" si="7"/>
        <v/>
      </c>
      <c r="AC468" s="3">
        <f ca="1">IF(OR(AllocationUnits="Stories", AllocationUnits="Points"),'Work Indirect'!F468,F468/MAX('Work Indirect'!AB468,1))</f>
        <v>1</v>
      </c>
    </row>
    <row r="469" spans="1:29"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7" t="str">
        <f ca="1">IF(OFFSET('4. Work'!$A$1,ROW(D469)-1,COLUMN(D469)-1)="","",OFFSET('4. Work'!$A$1,ROW(D469)-1,COLUMN(D469)-1))</f>
        <v/>
      </c>
      <c r="E469" s="147"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I469" s="3" t="str">
        <f ca="1">IF(OFFSET('4. Work'!$A$1,ROW(I469)-1,COLUMN(I469)-1)="","",OFFSET('4. Work'!$A$1,ROW(I469)-1,COLUMN(I469)-1))</f>
        <v/>
      </c>
      <c r="T469" s="3" t="str">
        <f ca="1">IF(A469&lt;&gt;"",MAX('Initiative Indirect'!$T:$T)+(ROW(A469)-1),"")</f>
        <v/>
      </c>
      <c r="U469" s="3" t="str">
        <f ca="1">IF(B469&lt;&gt;"",INDEX('Initiative Indirect'!$T:$T,MATCH(B469,'Initiative Indirect'!$A:$A,0)),"")</f>
        <v/>
      </c>
      <c r="V469" s="3" t="str">
        <f ca="1">IF(C469&lt;&gt;"",INDEX('Team Indirect'!$T:$T,MATCH(C469,'Team Indirect'!$A:$A,0)),"")</f>
        <v/>
      </c>
      <c r="W469" s="3"/>
      <c r="X469" s="3"/>
      <c r="Y469" s="3" t="str">
        <f ca="1">IF($C469&lt;&gt;"",INDEX('Team Indirect'!$D:$D,MATCH($C469,'Team Indirect'!$A:$A,0)),"")</f>
        <v/>
      </c>
      <c r="Z469" s="3" t="str">
        <f ca="1">IF($C469&lt;&gt;"",INDEX('Team Indirect'!$E:$E,MATCH($C469,'Team Indirect'!$A:$A,0)),"")</f>
        <v/>
      </c>
      <c r="AA469" s="3" t="str">
        <f ca="1">IF($C469&lt;&gt;"",INDEX('Team Indirect'!$F:$F,MATCH($C469,'Team Indirect'!$A:$A,0)),"")</f>
        <v/>
      </c>
      <c r="AB469" s="3" t="str">
        <f t="shared" ca="1" si="7"/>
        <v/>
      </c>
      <c r="AC469" s="3">
        <f ca="1">IF(OR(AllocationUnits="Stories", AllocationUnits="Points"),'Work Indirect'!F469,F469/MAX('Work Indirect'!AB469,1))</f>
        <v>1</v>
      </c>
    </row>
    <row r="470" spans="1:29"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7" t="str">
        <f ca="1">IF(OFFSET('4. Work'!$A$1,ROW(D470)-1,COLUMN(D470)-1)="","",OFFSET('4. Work'!$A$1,ROW(D470)-1,COLUMN(D470)-1))</f>
        <v/>
      </c>
      <c r="E470" s="147"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I470" s="3" t="str">
        <f ca="1">IF(OFFSET('4. Work'!$A$1,ROW(I470)-1,COLUMN(I470)-1)="","",OFFSET('4. Work'!$A$1,ROW(I470)-1,COLUMN(I470)-1))</f>
        <v/>
      </c>
      <c r="T470" s="3" t="str">
        <f ca="1">IF(A470&lt;&gt;"",MAX('Initiative Indirect'!$T:$T)+(ROW(A470)-1),"")</f>
        <v/>
      </c>
      <c r="U470" s="3" t="str">
        <f ca="1">IF(B470&lt;&gt;"",INDEX('Initiative Indirect'!$T:$T,MATCH(B470,'Initiative Indirect'!$A:$A,0)),"")</f>
        <v/>
      </c>
      <c r="V470" s="3" t="str">
        <f ca="1">IF(C470&lt;&gt;"",INDEX('Team Indirect'!$T:$T,MATCH(C470,'Team Indirect'!$A:$A,0)),"")</f>
        <v/>
      </c>
      <c r="W470" s="3"/>
      <c r="X470" s="3"/>
      <c r="Y470" s="3" t="str">
        <f ca="1">IF($C470&lt;&gt;"",INDEX('Team Indirect'!$D:$D,MATCH($C470,'Team Indirect'!$A:$A,0)),"")</f>
        <v/>
      </c>
      <c r="Z470" s="3" t="str">
        <f ca="1">IF($C470&lt;&gt;"",INDEX('Team Indirect'!$E:$E,MATCH($C470,'Team Indirect'!$A:$A,0)),"")</f>
        <v/>
      </c>
      <c r="AA470" s="3" t="str">
        <f ca="1">IF($C470&lt;&gt;"",INDEX('Team Indirect'!$F:$F,MATCH($C470,'Team Indirect'!$A:$A,0)),"")</f>
        <v/>
      </c>
      <c r="AB470" s="3" t="str">
        <f t="shared" ca="1" si="7"/>
        <v/>
      </c>
      <c r="AC470" s="3">
        <f ca="1">IF(OR(AllocationUnits="Stories", AllocationUnits="Points"),'Work Indirect'!F470,F470/MAX('Work Indirect'!AB470,1))</f>
        <v>1</v>
      </c>
    </row>
    <row r="471" spans="1:29"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7" t="str">
        <f ca="1">IF(OFFSET('4. Work'!$A$1,ROW(D471)-1,COLUMN(D471)-1)="","",OFFSET('4. Work'!$A$1,ROW(D471)-1,COLUMN(D471)-1))</f>
        <v/>
      </c>
      <c r="E471" s="147"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I471" s="3" t="str">
        <f ca="1">IF(OFFSET('4. Work'!$A$1,ROW(I471)-1,COLUMN(I471)-1)="","",OFFSET('4. Work'!$A$1,ROW(I471)-1,COLUMN(I471)-1))</f>
        <v/>
      </c>
      <c r="T471" s="3" t="str">
        <f ca="1">IF(A471&lt;&gt;"",MAX('Initiative Indirect'!$T:$T)+(ROW(A471)-1),"")</f>
        <v/>
      </c>
      <c r="U471" s="3" t="str">
        <f ca="1">IF(B471&lt;&gt;"",INDEX('Initiative Indirect'!$T:$T,MATCH(B471,'Initiative Indirect'!$A:$A,0)),"")</f>
        <v/>
      </c>
      <c r="V471" s="3" t="str">
        <f ca="1">IF(C471&lt;&gt;"",INDEX('Team Indirect'!$T:$T,MATCH(C471,'Team Indirect'!$A:$A,0)),"")</f>
        <v/>
      </c>
      <c r="W471" s="3"/>
      <c r="X471" s="3"/>
      <c r="Y471" s="3" t="str">
        <f ca="1">IF($C471&lt;&gt;"",INDEX('Team Indirect'!$D:$D,MATCH($C471,'Team Indirect'!$A:$A,0)),"")</f>
        <v/>
      </c>
      <c r="Z471" s="3" t="str">
        <f ca="1">IF($C471&lt;&gt;"",INDEX('Team Indirect'!$E:$E,MATCH($C471,'Team Indirect'!$A:$A,0)),"")</f>
        <v/>
      </c>
      <c r="AA471" s="3" t="str">
        <f ca="1">IF($C471&lt;&gt;"",INDEX('Team Indirect'!$F:$F,MATCH($C471,'Team Indirect'!$A:$A,0)),"")</f>
        <v/>
      </c>
      <c r="AB471" s="3" t="str">
        <f t="shared" ca="1" si="7"/>
        <v/>
      </c>
      <c r="AC471" s="3">
        <f ca="1">IF(OR(AllocationUnits="Stories", AllocationUnits="Points"),'Work Indirect'!F471,F471/MAX('Work Indirect'!AB471,1))</f>
        <v>1</v>
      </c>
    </row>
    <row r="472" spans="1:29"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7" t="str">
        <f ca="1">IF(OFFSET('4. Work'!$A$1,ROW(D472)-1,COLUMN(D472)-1)="","",OFFSET('4. Work'!$A$1,ROW(D472)-1,COLUMN(D472)-1))</f>
        <v/>
      </c>
      <c r="E472" s="147"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I472" s="3" t="str">
        <f ca="1">IF(OFFSET('4. Work'!$A$1,ROW(I472)-1,COLUMN(I472)-1)="","",OFFSET('4. Work'!$A$1,ROW(I472)-1,COLUMN(I472)-1))</f>
        <v/>
      </c>
      <c r="T472" s="3" t="str">
        <f ca="1">IF(A472&lt;&gt;"",MAX('Initiative Indirect'!$T:$T)+(ROW(A472)-1),"")</f>
        <v/>
      </c>
      <c r="U472" s="3" t="str">
        <f ca="1">IF(B472&lt;&gt;"",INDEX('Initiative Indirect'!$T:$T,MATCH(B472,'Initiative Indirect'!$A:$A,0)),"")</f>
        <v/>
      </c>
      <c r="V472" s="3" t="str">
        <f ca="1">IF(C472&lt;&gt;"",INDEX('Team Indirect'!$T:$T,MATCH(C472,'Team Indirect'!$A:$A,0)),"")</f>
        <v/>
      </c>
      <c r="W472" s="3"/>
      <c r="X472" s="3"/>
      <c r="Y472" s="3" t="str">
        <f ca="1">IF($C472&lt;&gt;"",INDEX('Team Indirect'!$D:$D,MATCH($C472,'Team Indirect'!$A:$A,0)),"")</f>
        <v/>
      </c>
      <c r="Z472" s="3" t="str">
        <f ca="1">IF($C472&lt;&gt;"",INDEX('Team Indirect'!$E:$E,MATCH($C472,'Team Indirect'!$A:$A,0)),"")</f>
        <v/>
      </c>
      <c r="AA472" s="3" t="str">
        <f ca="1">IF($C472&lt;&gt;"",INDEX('Team Indirect'!$F:$F,MATCH($C472,'Team Indirect'!$A:$A,0)),"")</f>
        <v/>
      </c>
      <c r="AB472" s="3" t="str">
        <f t="shared" ca="1" si="7"/>
        <v/>
      </c>
      <c r="AC472" s="3">
        <f ca="1">IF(OR(AllocationUnits="Stories", AllocationUnits="Points"),'Work Indirect'!F472,F472/MAX('Work Indirect'!AB472,1))</f>
        <v>1</v>
      </c>
    </row>
    <row r="473" spans="1:29"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7" t="str">
        <f ca="1">IF(OFFSET('4. Work'!$A$1,ROW(D473)-1,COLUMN(D473)-1)="","",OFFSET('4. Work'!$A$1,ROW(D473)-1,COLUMN(D473)-1))</f>
        <v/>
      </c>
      <c r="E473" s="147"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I473" s="3" t="str">
        <f ca="1">IF(OFFSET('4. Work'!$A$1,ROW(I473)-1,COLUMN(I473)-1)="","",OFFSET('4. Work'!$A$1,ROW(I473)-1,COLUMN(I473)-1))</f>
        <v/>
      </c>
      <c r="T473" s="3" t="str">
        <f ca="1">IF(A473&lt;&gt;"",MAX('Initiative Indirect'!$T:$T)+(ROW(A473)-1),"")</f>
        <v/>
      </c>
      <c r="U473" s="3" t="str">
        <f ca="1">IF(B473&lt;&gt;"",INDEX('Initiative Indirect'!$T:$T,MATCH(B473,'Initiative Indirect'!$A:$A,0)),"")</f>
        <v/>
      </c>
      <c r="V473" s="3" t="str">
        <f ca="1">IF(C473&lt;&gt;"",INDEX('Team Indirect'!$T:$T,MATCH(C473,'Team Indirect'!$A:$A,0)),"")</f>
        <v/>
      </c>
      <c r="W473" s="3"/>
      <c r="X473" s="3"/>
      <c r="Y473" s="3" t="str">
        <f ca="1">IF($C473&lt;&gt;"",INDEX('Team Indirect'!$D:$D,MATCH($C473,'Team Indirect'!$A:$A,0)),"")</f>
        <v/>
      </c>
      <c r="Z473" s="3" t="str">
        <f ca="1">IF($C473&lt;&gt;"",INDEX('Team Indirect'!$E:$E,MATCH($C473,'Team Indirect'!$A:$A,0)),"")</f>
        <v/>
      </c>
      <c r="AA473" s="3" t="str">
        <f ca="1">IF($C473&lt;&gt;"",INDEX('Team Indirect'!$F:$F,MATCH($C473,'Team Indirect'!$A:$A,0)),"")</f>
        <v/>
      </c>
      <c r="AB473" s="3" t="str">
        <f t="shared" ca="1" si="7"/>
        <v/>
      </c>
      <c r="AC473" s="3">
        <f ca="1">IF(OR(AllocationUnits="Stories", AllocationUnits="Points"),'Work Indirect'!F473,F473/MAX('Work Indirect'!AB473,1))</f>
        <v>1</v>
      </c>
    </row>
    <row r="474" spans="1:29"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7" t="str">
        <f ca="1">IF(OFFSET('4. Work'!$A$1,ROW(D474)-1,COLUMN(D474)-1)="","",OFFSET('4. Work'!$A$1,ROW(D474)-1,COLUMN(D474)-1))</f>
        <v/>
      </c>
      <c r="E474" s="147"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I474" s="3" t="str">
        <f ca="1">IF(OFFSET('4. Work'!$A$1,ROW(I474)-1,COLUMN(I474)-1)="","",OFFSET('4. Work'!$A$1,ROW(I474)-1,COLUMN(I474)-1))</f>
        <v/>
      </c>
      <c r="T474" s="3" t="str">
        <f ca="1">IF(A474&lt;&gt;"",MAX('Initiative Indirect'!$T:$T)+(ROW(A474)-1),"")</f>
        <v/>
      </c>
      <c r="U474" s="3" t="str">
        <f ca="1">IF(B474&lt;&gt;"",INDEX('Initiative Indirect'!$T:$T,MATCH(B474,'Initiative Indirect'!$A:$A,0)),"")</f>
        <v/>
      </c>
      <c r="V474" s="3" t="str">
        <f ca="1">IF(C474&lt;&gt;"",INDEX('Team Indirect'!$T:$T,MATCH(C474,'Team Indirect'!$A:$A,0)),"")</f>
        <v/>
      </c>
      <c r="W474" s="3"/>
      <c r="X474" s="3"/>
      <c r="Y474" s="3" t="str">
        <f ca="1">IF($C474&lt;&gt;"",INDEX('Team Indirect'!$D:$D,MATCH($C474,'Team Indirect'!$A:$A,0)),"")</f>
        <v/>
      </c>
      <c r="Z474" s="3" t="str">
        <f ca="1">IF($C474&lt;&gt;"",INDEX('Team Indirect'!$E:$E,MATCH($C474,'Team Indirect'!$A:$A,0)),"")</f>
        <v/>
      </c>
      <c r="AA474" s="3" t="str">
        <f ca="1">IF($C474&lt;&gt;"",INDEX('Team Indirect'!$F:$F,MATCH($C474,'Team Indirect'!$A:$A,0)),"")</f>
        <v/>
      </c>
      <c r="AB474" s="3" t="str">
        <f t="shared" ca="1" si="7"/>
        <v/>
      </c>
      <c r="AC474" s="3">
        <f ca="1">IF(OR(AllocationUnits="Stories", AllocationUnits="Points"),'Work Indirect'!F474,F474/MAX('Work Indirect'!AB474,1))</f>
        <v>1</v>
      </c>
    </row>
    <row r="475" spans="1:29"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7" t="str">
        <f ca="1">IF(OFFSET('4. Work'!$A$1,ROW(D475)-1,COLUMN(D475)-1)="","",OFFSET('4. Work'!$A$1,ROW(D475)-1,COLUMN(D475)-1))</f>
        <v/>
      </c>
      <c r="E475" s="147"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I475" s="3" t="str">
        <f ca="1">IF(OFFSET('4. Work'!$A$1,ROW(I475)-1,COLUMN(I475)-1)="","",OFFSET('4. Work'!$A$1,ROW(I475)-1,COLUMN(I475)-1))</f>
        <v/>
      </c>
      <c r="T475" s="3" t="str">
        <f ca="1">IF(A475&lt;&gt;"",MAX('Initiative Indirect'!$T:$T)+(ROW(A475)-1),"")</f>
        <v/>
      </c>
      <c r="U475" s="3" t="str">
        <f ca="1">IF(B475&lt;&gt;"",INDEX('Initiative Indirect'!$T:$T,MATCH(B475,'Initiative Indirect'!$A:$A,0)),"")</f>
        <v/>
      </c>
      <c r="V475" s="3" t="str">
        <f ca="1">IF(C475&lt;&gt;"",INDEX('Team Indirect'!$T:$T,MATCH(C475,'Team Indirect'!$A:$A,0)),"")</f>
        <v/>
      </c>
      <c r="W475" s="3"/>
      <c r="X475" s="3"/>
      <c r="Y475" s="3" t="str">
        <f ca="1">IF($C475&lt;&gt;"",INDEX('Team Indirect'!$D:$D,MATCH($C475,'Team Indirect'!$A:$A,0)),"")</f>
        <v/>
      </c>
      <c r="Z475" s="3" t="str">
        <f ca="1">IF($C475&lt;&gt;"",INDEX('Team Indirect'!$E:$E,MATCH($C475,'Team Indirect'!$A:$A,0)),"")</f>
        <v/>
      </c>
      <c r="AA475" s="3" t="str">
        <f ca="1">IF($C475&lt;&gt;"",INDEX('Team Indirect'!$F:$F,MATCH($C475,'Team Indirect'!$A:$A,0)),"")</f>
        <v/>
      </c>
      <c r="AB475" s="3" t="str">
        <f t="shared" ca="1" si="7"/>
        <v/>
      </c>
      <c r="AC475" s="3">
        <f ca="1">IF(OR(AllocationUnits="Stories", AllocationUnits="Points"),'Work Indirect'!F475,F475/MAX('Work Indirect'!AB475,1))</f>
        <v>1</v>
      </c>
    </row>
    <row r="476" spans="1:29"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7" t="str">
        <f ca="1">IF(OFFSET('4. Work'!$A$1,ROW(D476)-1,COLUMN(D476)-1)="","",OFFSET('4. Work'!$A$1,ROW(D476)-1,COLUMN(D476)-1))</f>
        <v/>
      </c>
      <c r="E476" s="147"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I476" s="3" t="str">
        <f ca="1">IF(OFFSET('4. Work'!$A$1,ROW(I476)-1,COLUMN(I476)-1)="","",OFFSET('4. Work'!$A$1,ROW(I476)-1,COLUMN(I476)-1))</f>
        <v/>
      </c>
      <c r="T476" s="3" t="str">
        <f ca="1">IF(A476&lt;&gt;"",MAX('Initiative Indirect'!$T:$T)+(ROW(A476)-1),"")</f>
        <v/>
      </c>
      <c r="U476" s="3" t="str">
        <f ca="1">IF(B476&lt;&gt;"",INDEX('Initiative Indirect'!$T:$T,MATCH(B476,'Initiative Indirect'!$A:$A,0)),"")</f>
        <v/>
      </c>
      <c r="V476" s="3" t="str">
        <f ca="1">IF(C476&lt;&gt;"",INDEX('Team Indirect'!$T:$T,MATCH(C476,'Team Indirect'!$A:$A,0)),"")</f>
        <v/>
      </c>
      <c r="W476" s="3"/>
      <c r="X476" s="3"/>
      <c r="Y476" s="3" t="str">
        <f ca="1">IF($C476&lt;&gt;"",INDEX('Team Indirect'!$D:$D,MATCH($C476,'Team Indirect'!$A:$A,0)),"")</f>
        <v/>
      </c>
      <c r="Z476" s="3" t="str">
        <f ca="1">IF($C476&lt;&gt;"",INDEX('Team Indirect'!$E:$E,MATCH($C476,'Team Indirect'!$A:$A,0)),"")</f>
        <v/>
      </c>
      <c r="AA476" s="3" t="str">
        <f ca="1">IF($C476&lt;&gt;"",INDEX('Team Indirect'!$F:$F,MATCH($C476,'Team Indirect'!$A:$A,0)),"")</f>
        <v/>
      </c>
      <c r="AB476" s="3" t="str">
        <f t="shared" ca="1" si="7"/>
        <v/>
      </c>
      <c r="AC476" s="3">
        <f ca="1">IF(OR(AllocationUnits="Stories", AllocationUnits="Points"),'Work Indirect'!F476,F476/MAX('Work Indirect'!AB476,1))</f>
        <v>1</v>
      </c>
    </row>
    <row r="477" spans="1:29"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7" t="str">
        <f ca="1">IF(OFFSET('4. Work'!$A$1,ROW(D477)-1,COLUMN(D477)-1)="","",OFFSET('4. Work'!$A$1,ROW(D477)-1,COLUMN(D477)-1))</f>
        <v/>
      </c>
      <c r="E477" s="147"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I477" s="3" t="str">
        <f ca="1">IF(OFFSET('4. Work'!$A$1,ROW(I477)-1,COLUMN(I477)-1)="","",OFFSET('4. Work'!$A$1,ROW(I477)-1,COLUMN(I477)-1))</f>
        <v/>
      </c>
      <c r="T477" s="3" t="str">
        <f ca="1">IF(A477&lt;&gt;"",MAX('Initiative Indirect'!$T:$T)+(ROW(A477)-1),"")</f>
        <v/>
      </c>
      <c r="U477" s="3" t="str">
        <f ca="1">IF(B477&lt;&gt;"",INDEX('Initiative Indirect'!$T:$T,MATCH(B477,'Initiative Indirect'!$A:$A,0)),"")</f>
        <v/>
      </c>
      <c r="V477" s="3" t="str">
        <f ca="1">IF(C477&lt;&gt;"",INDEX('Team Indirect'!$T:$T,MATCH(C477,'Team Indirect'!$A:$A,0)),"")</f>
        <v/>
      </c>
      <c r="W477" s="3"/>
      <c r="X477" s="3"/>
      <c r="Y477" s="3" t="str">
        <f ca="1">IF($C477&lt;&gt;"",INDEX('Team Indirect'!$D:$D,MATCH($C477,'Team Indirect'!$A:$A,0)),"")</f>
        <v/>
      </c>
      <c r="Z477" s="3" t="str">
        <f ca="1">IF($C477&lt;&gt;"",INDEX('Team Indirect'!$E:$E,MATCH($C477,'Team Indirect'!$A:$A,0)),"")</f>
        <v/>
      </c>
      <c r="AA477" s="3" t="str">
        <f ca="1">IF($C477&lt;&gt;"",INDEX('Team Indirect'!$F:$F,MATCH($C477,'Team Indirect'!$A:$A,0)),"")</f>
        <v/>
      </c>
      <c r="AB477" s="3" t="str">
        <f t="shared" ca="1" si="7"/>
        <v/>
      </c>
      <c r="AC477" s="3">
        <f ca="1">IF(OR(AllocationUnits="Stories", AllocationUnits="Points"),'Work Indirect'!F477,F477/MAX('Work Indirect'!AB477,1))</f>
        <v>1</v>
      </c>
    </row>
    <row r="478" spans="1:29"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7" t="str">
        <f ca="1">IF(OFFSET('4. Work'!$A$1,ROW(D478)-1,COLUMN(D478)-1)="","",OFFSET('4. Work'!$A$1,ROW(D478)-1,COLUMN(D478)-1))</f>
        <v/>
      </c>
      <c r="E478" s="147"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I478" s="3" t="str">
        <f ca="1">IF(OFFSET('4. Work'!$A$1,ROW(I478)-1,COLUMN(I478)-1)="","",OFFSET('4. Work'!$A$1,ROW(I478)-1,COLUMN(I478)-1))</f>
        <v/>
      </c>
      <c r="T478" s="3" t="str">
        <f ca="1">IF(A478&lt;&gt;"",MAX('Initiative Indirect'!$T:$T)+(ROW(A478)-1),"")</f>
        <v/>
      </c>
      <c r="U478" s="3" t="str">
        <f ca="1">IF(B478&lt;&gt;"",INDEX('Initiative Indirect'!$T:$T,MATCH(B478,'Initiative Indirect'!$A:$A,0)),"")</f>
        <v/>
      </c>
      <c r="V478" s="3" t="str">
        <f ca="1">IF(C478&lt;&gt;"",INDEX('Team Indirect'!$T:$T,MATCH(C478,'Team Indirect'!$A:$A,0)),"")</f>
        <v/>
      </c>
      <c r="W478" s="3"/>
      <c r="X478" s="3"/>
      <c r="Y478" s="3" t="str">
        <f ca="1">IF($C478&lt;&gt;"",INDEX('Team Indirect'!$D:$D,MATCH($C478,'Team Indirect'!$A:$A,0)),"")</f>
        <v/>
      </c>
      <c r="Z478" s="3" t="str">
        <f ca="1">IF($C478&lt;&gt;"",INDEX('Team Indirect'!$E:$E,MATCH($C478,'Team Indirect'!$A:$A,0)),"")</f>
        <v/>
      </c>
      <c r="AA478" s="3" t="str">
        <f ca="1">IF($C478&lt;&gt;"",INDEX('Team Indirect'!$F:$F,MATCH($C478,'Team Indirect'!$A:$A,0)),"")</f>
        <v/>
      </c>
      <c r="AB478" s="3" t="str">
        <f t="shared" ca="1" si="7"/>
        <v/>
      </c>
      <c r="AC478" s="3">
        <f ca="1">IF(OR(AllocationUnits="Stories", AllocationUnits="Points"),'Work Indirect'!F478,F478/MAX('Work Indirect'!AB478,1))</f>
        <v>1</v>
      </c>
    </row>
    <row r="479" spans="1:29"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7" t="str">
        <f ca="1">IF(OFFSET('4. Work'!$A$1,ROW(D479)-1,COLUMN(D479)-1)="","",OFFSET('4. Work'!$A$1,ROW(D479)-1,COLUMN(D479)-1))</f>
        <v/>
      </c>
      <c r="E479" s="147"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I479" s="3" t="str">
        <f ca="1">IF(OFFSET('4. Work'!$A$1,ROW(I479)-1,COLUMN(I479)-1)="","",OFFSET('4. Work'!$A$1,ROW(I479)-1,COLUMN(I479)-1))</f>
        <v/>
      </c>
      <c r="T479" s="3" t="str">
        <f ca="1">IF(A479&lt;&gt;"",MAX('Initiative Indirect'!$T:$T)+(ROW(A479)-1),"")</f>
        <v/>
      </c>
      <c r="U479" s="3" t="str">
        <f ca="1">IF(B479&lt;&gt;"",INDEX('Initiative Indirect'!$T:$T,MATCH(B479,'Initiative Indirect'!$A:$A,0)),"")</f>
        <v/>
      </c>
      <c r="V479" s="3" t="str">
        <f ca="1">IF(C479&lt;&gt;"",INDEX('Team Indirect'!$T:$T,MATCH(C479,'Team Indirect'!$A:$A,0)),"")</f>
        <v/>
      </c>
      <c r="W479" s="3"/>
      <c r="X479" s="3"/>
      <c r="Y479" s="3" t="str">
        <f ca="1">IF($C479&lt;&gt;"",INDEX('Team Indirect'!$D:$D,MATCH($C479,'Team Indirect'!$A:$A,0)),"")</f>
        <v/>
      </c>
      <c r="Z479" s="3" t="str">
        <f ca="1">IF($C479&lt;&gt;"",INDEX('Team Indirect'!$E:$E,MATCH($C479,'Team Indirect'!$A:$A,0)),"")</f>
        <v/>
      </c>
      <c r="AA479" s="3" t="str">
        <f ca="1">IF($C479&lt;&gt;"",INDEX('Team Indirect'!$F:$F,MATCH($C479,'Team Indirect'!$A:$A,0)),"")</f>
        <v/>
      </c>
      <c r="AB479" s="3" t="str">
        <f t="shared" ca="1" si="7"/>
        <v/>
      </c>
      <c r="AC479" s="3">
        <f ca="1">IF(OR(AllocationUnits="Stories", AllocationUnits="Points"),'Work Indirect'!F479,F479/MAX('Work Indirect'!AB479,1))</f>
        <v>1</v>
      </c>
    </row>
    <row r="480" spans="1:29"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7" t="str">
        <f ca="1">IF(OFFSET('4. Work'!$A$1,ROW(D480)-1,COLUMN(D480)-1)="","",OFFSET('4. Work'!$A$1,ROW(D480)-1,COLUMN(D480)-1))</f>
        <v/>
      </c>
      <c r="E480" s="147"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I480" s="3" t="str">
        <f ca="1">IF(OFFSET('4. Work'!$A$1,ROW(I480)-1,COLUMN(I480)-1)="","",OFFSET('4. Work'!$A$1,ROW(I480)-1,COLUMN(I480)-1))</f>
        <v/>
      </c>
      <c r="T480" s="3" t="str">
        <f ca="1">IF(A480&lt;&gt;"",MAX('Initiative Indirect'!$T:$T)+(ROW(A480)-1),"")</f>
        <v/>
      </c>
      <c r="U480" s="3" t="str">
        <f ca="1">IF(B480&lt;&gt;"",INDEX('Initiative Indirect'!$T:$T,MATCH(B480,'Initiative Indirect'!$A:$A,0)),"")</f>
        <v/>
      </c>
      <c r="V480" s="3" t="str">
        <f ca="1">IF(C480&lt;&gt;"",INDEX('Team Indirect'!$T:$T,MATCH(C480,'Team Indirect'!$A:$A,0)),"")</f>
        <v/>
      </c>
      <c r="W480" s="3"/>
      <c r="X480" s="3"/>
      <c r="Y480" s="3" t="str">
        <f ca="1">IF($C480&lt;&gt;"",INDEX('Team Indirect'!$D:$D,MATCH($C480,'Team Indirect'!$A:$A,0)),"")</f>
        <v/>
      </c>
      <c r="Z480" s="3" t="str">
        <f ca="1">IF($C480&lt;&gt;"",INDEX('Team Indirect'!$E:$E,MATCH($C480,'Team Indirect'!$A:$A,0)),"")</f>
        <v/>
      </c>
      <c r="AA480" s="3" t="str">
        <f ca="1">IF($C480&lt;&gt;"",INDEX('Team Indirect'!$F:$F,MATCH($C480,'Team Indirect'!$A:$A,0)),"")</f>
        <v/>
      </c>
      <c r="AB480" s="3" t="str">
        <f t="shared" ca="1" si="7"/>
        <v/>
      </c>
      <c r="AC480" s="3">
        <f ca="1">IF(OR(AllocationUnits="Stories", AllocationUnits="Points"),'Work Indirect'!F480,F480/MAX('Work Indirect'!AB480,1))</f>
        <v>1</v>
      </c>
    </row>
    <row r="481" spans="1:29"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7" t="str">
        <f ca="1">IF(OFFSET('4. Work'!$A$1,ROW(D481)-1,COLUMN(D481)-1)="","",OFFSET('4. Work'!$A$1,ROW(D481)-1,COLUMN(D481)-1))</f>
        <v/>
      </c>
      <c r="E481" s="147"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I481" s="3" t="str">
        <f ca="1">IF(OFFSET('4. Work'!$A$1,ROW(I481)-1,COLUMN(I481)-1)="","",OFFSET('4. Work'!$A$1,ROW(I481)-1,COLUMN(I481)-1))</f>
        <v/>
      </c>
      <c r="T481" s="3" t="str">
        <f ca="1">IF(A481&lt;&gt;"",MAX('Initiative Indirect'!$T:$T)+(ROW(A481)-1),"")</f>
        <v/>
      </c>
      <c r="U481" s="3" t="str">
        <f ca="1">IF(B481&lt;&gt;"",INDEX('Initiative Indirect'!$T:$T,MATCH(B481,'Initiative Indirect'!$A:$A,0)),"")</f>
        <v/>
      </c>
      <c r="V481" s="3" t="str">
        <f ca="1">IF(C481&lt;&gt;"",INDEX('Team Indirect'!$T:$T,MATCH(C481,'Team Indirect'!$A:$A,0)),"")</f>
        <v/>
      </c>
      <c r="W481" s="3"/>
      <c r="X481" s="3"/>
      <c r="Y481" s="3" t="str">
        <f ca="1">IF($C481&lt;&gt;"",INDEX('Team Indirect'!$D:$D,MATCH($C481,'Team Indirect'!$A:$A,0)),"")</f>
        <v/>
      </c>
      <c r="Z481" s="3" t="str">
        <f ca="1">IF($C481&lt;&gt;"",INDEX('Team Indirect'!$E:$E,MATCH($C481,'Team Indirect'!$A:$A,0)),"")</f>
        <v/>
      </c>
      <c r="AA481" s="3" t="str">
        <f ca="1">IF($C481&lt;&gt;"",INDEX('Team Indirect'!$F:$F,MATCH($C481,'Team Indirect'!$A:$A,0)),"")</f>
        <v/>
      </c>
      <c r="AB481" s="3" t="str">
        <f t="shared" ca="1" si="7"/>
        <v/>
      </c>
      <c r="AC481" s="3">
        <f ca="1">IF(OR(AllocationUnits="Stories", AllocationUnits="Points"),'Work Indirect'!F481,F481/MAX('Work Indirect'!AB481,1))</f>
        <v>1</v>
      </c>
    </row>
    <row r="482" spans="1:29"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7" t="str">
        <f ca="1">IF(OFFSET('4. Work'!$A$1,ROW(D482)-1,COLUMN(D482)-1)="","",OFFSET('4. Work'!$A$1,ROW(D482)-1,COLUMN(D482)-1))</f>
        <v/>
      </c>
      <c r="E482" s="147"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I482" s="3" t="str">
        <f ca="1">IF(OFFSET('4. Work'!$A$1,ROW(I482)-1,COLUMN(I482)-1)="","",OFFSET('4. Work'!$A$1,ROW(I482)-1,COLUMN(I482)-1))</f>
        <v/>
      </c>
      <c r="T482" s="3" t="str">
        <f ca="1">IF(A482&lt;&gt;"",MAX('Initiative Indirect'!$T:$T)+(ROW(A482)-1),"")</f>
        <v/>
      </c>
      <c r="U482" s="3" t="str">
        <f ca="1">IF(B482&lt;&gt;"",INDEX('Initiative Indirect'!$T:$T,MATCH(B482,'Initiative Indirect'!$A:$A,0)),"")</f>
        <v/>
      </c>
      <c r="V482" s="3" t="str">
        <f ca="1">IF(C482&lt;&gt;"",INDEX('Team Indirect'!$T:$T,MATCH(C482,'Team Indirect'!$A:$A,0)),"")</f>
        <v/>
      </c>
      <c r="W482" s="3"/>
      <c r="X482" s="3"/>
      <c r="Y482" s="3" t="str">
        <f ca="1">IF($C482&lt;&gt;"",INDEX('Team Indirect'!$D:$D,MATCH($C482,'Team Indirect'!$A:$A,0)),"")</f>
        <v/>
      </c>
      <c r="Z482" s="3" t="str">
        <f ca="1">IF($C482&lt;&gt;"",INDEX('Team Indirect'!$E:$E,MATCH($C482,'Team Indirect'!$A:$A,0)),"")</f>
        <v/>
      </c>
      <c r="AA482" s="3" t="str">
        <f ca="1">IF($C482&lt;&gt;"",INDEX('Team Indirect'!$F:$F,MATCH($C482,'Team Indirect'!$A:$A,0)),"")</f>
        <v/>
      </c>
      <c r="AB482" s="3" t="str">
        <f t="shared" ca="1" si="7"/>
        <v/>
      </c>
      <c r="AC482" s="3">
        <f ca="1">IF(OR(AllocationUnits="Stories", AllocationUnits="Points"),'Work Indirect'!F482,F482/MAX('Work Indirect'!AB482,1))</f>
        <v>1</v>
      </c>
    </row>
    <row r="483" spans="1:29"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7" t="str">
        <f ca="1">IF(OFFSET('4. Work'!$A$1,ROW(D483)-1,COLUMN(D483)-1)="","",OFFSET('4. Work'!$A$1,ROW(D483)-1,COLUMN(D483)-1))</f>
        <v/>
      </c>
      <c r="E483" s="147"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I483" s="3" t="str">
        <f ca="1">IF(OFFSET('4. Work'!$A$1,ROW(I483)-1,COLUMN(I483)-1)="","",OFFSET('4. Work'!$A$1,ROW(I483)-1,COLUMN(I483)-1))</f>
        <v/>
      </c>
      <c r="T483" s="3" t="str">
        <f ca="1">IF(A483&lt;&gt;"",MAX('Initiative Indirect'!$T:$T)+(ROW(A483)-1),"")</f>
        <v/>
      </c>
      <c r="U483" s="3" t="str">
        <f ca="1">IF(B483&lt;&gt;"",INDEX('Initiative Indirect'!$T:$T,MATCH(B483,'Initiative Indirect'!$A:$A,0)),"")</f>
        <v/>
      </c>
      <c r="V483" s="3" t="str">
        <f ca="1">IF(C483&lt;&gt;"",INDEX('Team Indirect'!$T:$T,MATCH(C483,'Team Indirect'!$A:$A,0)),"")</f>
        <v/>
      </c>
      <c r="W483" s="3"/>
      <c r="X483" s="3"/>
      <c r="Y483" s="3" t="str">
        <f ca="1">IF($C483&lt;&gt;"",INDEX('Team Indirect'!$D:$D,MATCH($C483,'Team Indirect'!$A:$A,0)),"")</f>
        <v/>
      </c>
      <c r="Z483" s="3" t="str">
        <f ca="1">IF($C483&lt;&gt;"",INDEX('Team Indirect'!$E:$E,MATCH($C483,'Team Indirect'!$A:$A,0)),"")</f>
        <v/>
      </c>
      <c r="AA483" s="3" t="str">
        <f ca="1">IF($C483&lt;&gt;"",INDEX('Team Indirect'!$F:$F,MATCH($C483,'Team Indirect'!$A:$A,0)),"")</f>
        <v/>
      </c>
      <c r="AB483" s="3" t="str">
        <f t="shared" ca="1" si="7"/>
        <v/>
      </c>
      <c r="AC483" s="3">
        <f ca="1">IF(OR(AllocationUnits="Stories", AllocationUnits="Points"),'Work Indirect'!F483,F483/MAX('Work Indirect'!AB483,1))</f>
        <v>1</v>
      </c>
    </row>
    <row r="484" spans="1:29"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7" t="str">
        <f ca="1">IF(OFFSET('4. Work'!$A$1,ROW(D484)-1,COLUMN(D484)-1)="","",OFFSET('4. Work'!$A$1,ROW(D484)-1,COLUMN(D484)-1))</f>
        <v/>
      </c>
      <c r="E484" s="147"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I484" s="3" t="str">
        <f ca="1">IF(OFFSET('4. Work'!$A$1,ROW(I484)-1,COLUMN(I484)-1)="","",OFFSET('4. Work'!$A$1,ROW(I484)-1,COLUMN(I484)-1))</f>
        <v/>
      </c>
      <c r="T484" s="3" t="str">
        <f ca="1">IF(A484&lt;&gt;"",MAX('Initiative Indirect'!$T:$T)+(ROW(A484)-1),"")</f>
        <v/>
      </c>
      <c r="U484" s="3" t="str">
        <f ca="1">IF(B484&lt;&gt;"",INDEX('Initiative Indirect'!$T:$T,MATCH(B484,'Initiative Indirect'!$A:$A,0)),"")</f>
        <v/>
      </c>
      <c r="V484" s="3" t="str">
        <f ca="1">IF(C484&lt;&gt;"",INDEX('Team Indirect'!$T:$T,MATCH(C484,'Team Indirect'!$A:$A,0)),"")</f>
        <v/>
      </c>
      <c r="W484" s="3"/>
      <c r="X484" s="3"/>
      <c r="Y484" s="3" t="str">
        <f ca="1">IF($C484&lt;&gt;"",INDEX('Team Indirect'!$D:$D,MATCH($C484,'Team Indirect'!$A:$A,0)),"")</f>
        <v/>
      </c>
      <c r="Z484" s="3" t="str">
        <f ca="1">IF($C484&lt;&gt;"",INDEX('Team Indirect'!$E:$E,MATCH($C484,'Team Indirect'!$A:$A,0)),"")</f>
        <v/>
      </c>
      <c r="AA484" s="3" t="str">
        <f ca="1">IF($C484&lt;&gt;"",INDEX('Team Indirect'!$F:$F,MATCH($C484,'Team Indirect'!$A:$A,0)),"")</f>
        <v/>
      </c>
      <c r="AB484" s="3" t="str">
        <f t="shared" ca="1" si="7"/>
        <v/>
      </c>
      <c r="AC484" s="3">
        <f ca="1">IF(OR(AllocationUnits="Stories", AllocationUnits="Points"),'Work Indirect'!F484,F484/MAX('Work Indirect'!AB484,1))</f>
        <v>1</v>
      </c>
    </row>
    <row r="485" spans="1:29"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7" t="str">
        <f ca="1">IF(OFFSET('4. Work'!$A$1,ROW(D485)-1,COLUMN(D485)-1)="","",OFFSET('4. Work'!$A$1,ROW(D485)-1,COLUMN(D485)-1))</f>
        <v/>
      </c>
      <c r="E485" s="147"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I485" s="3" t="str">
        <f ca="1">IF(OFFSET('4. Work'!$A$1,ROW(I485)-1,COLUMN(I485)-1)="","",OFFSET('4. Work'!$A$1,ROW(I485)-1,COLUMN(I485)-1))</f>
        <v/>
      </c>
      <c r="T485" s="3" t="str">
        <f ca="1">IF(A485&lt;&gt;"",MAX('Initiative Indirect'!$T:$T)+(ROW(A485)-1),"")</f>
        <v/>
      </c>
      <c r="U485" s="3" t="str">
        <f ca="1">IF(B485&lt;&gt;"",INDEX('Initiative Indirect'!$T:$T,MATCH(B485,'Initiative Indirect'!$A:$A,0)),"")</f>
        <v/>
      </c>
      <c r="V485" s="3" t="str">
        <f ca="1">IF(C485&lt;&gt;"",INDEX('Team Indirect'!$T:$T,MATCH(C485,'Team Indirect'!$A:$A,0)),"")</f>
        <v/>
      </c>
      <c r="W485" s="3"/>
      <c r="X485" s="3"/>
      <c r="Y485" s="3" t="str">
        <f ca="1">IF($C485&lt;&gt;"",INDEX('Team Indirect'!$D:$D,MATCH($C485,'Team Indirect'!$A:$A,0)),"")</f>
        <v/>
      </c>
      <c r="Z485" s="3" t="str">
        <f ca="1">IF($C485&lt;&gt;"",INDEX('Team Indirect'!$E:$E,MATCH($C485,'Team Indirect'!$A:$A,0)),"")</f>
        <v/>
      </c>
      <c r="AA485" s="3" t="str">
        <f ca="1">IF($C485&lt;&gt;"",INDEX('Team Indirect'!$F:$F,MATCH($C485,'Team Indirect'!$A:$A,0)),"")</f>
        <v/>
      </c>
      <c r="AB485" s="3" t="str">
        <f t="shared" ca="1" si="7"/>
        <v/>
      </c>
      <c r="AC485" s="3">
        <f ca="1">IF(OR(AllocationUnits="Stories", AllocationUnits="Points"),'Work Indirect'!F485,F485/MAX('Work Indirect'!AB485,1))</f>
        <v>1</v>
      </c>
    </row>
    <row r="486" spans="1:29"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7" t="str">
        <f ca="1">IF(OFFSET('4. Work'!$A$1,ROW(D486)-1,COLUMN(D486)-1)="","",OFFSET('4. Work'!$A$1,ROW(D486)-1,COLUMN(D486)-1))</f>
        <v/>
      </c>
      <c r="E486" s="147"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I486" s="3" t="str">
        <f ca="1">IF(OFFSET('4. Work'!$A$1,ROW(I486)-1,COLUMN(I486)-1)="","",OFFSET('4. Work'!$A$1,ROW(I486)-1,COLUMN(I486)-1))</f>
        <v/>
      </c>
      <c r="T486" s="3" t="str">
        <f ca="1">IF(A486&lt;&gt;"",MAX('Initiative Indirect'!$T:$T)+(ROW(A486)-1),"")</f>
        <v/>
      </c>
      <c r="U486" s="3" t="str">
        <f ca="1">IF(B486&lt;&gt;"",INDEX('Initiative Indirect'!$T:$T,MATCH(B486,'Initiative Indirect'!$A:$A,0)),"")</f>
        <v/>
      </c>
      <c r="V486" s="3" t="str">
        <f ca="1">IF(C486&lt;&gt;"",INDEX('Team Indirect'!$T:$T,MATCH(C486,'Team Indirect'!$A:$A,0)),"")</f>
        <v/>
      </c>
      <c r="W486" s="3"/>
      <c r="X486" s="3"/>
      <c r="Y486" s="3" t="str">
        <f ca="1">IF($C486&lt;&gt;"",INDEX('Team Indirect'!$D:$D,MATCH($C486,'Team Indirect'!$A:$A,0)),"")</f>
        <v/>
      </c>
      <c r="Z486" s="3" t="str">
        <f ca="1">IF($C486&lt;&gt;"",INDEX('Team Indirect'!$E:$E,MATCH($C486,'Team Indirect'!$A:$A,0)),"")</f>
        <v/>
      </c>
      <c r="AA486" s="3" t="str">
        <f ca="1">IF($C486&lt;&gt;"",INDEX('Team Indirect'!$F:$F,MATCH($C486,'Team Indirect'!$A:$A,0)),"")</f>
        <v/>
      </c>
      <c r="AB486" s="3" t="str">
        <f t="shared" ca="1" si="7"/>
        <v/>
      </c>
      <c r="AC486" s="3">
        <f ca="1">IF(OR(AllocationUnits="Stories", AllocationUnits="Points"),'Work Indirect'!F486,F486/MAX('Work Indirect'!AB486,1))</f>
        <v>1</v>
      </c>
    </row>
    <row r="487" spans="1:29"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7" t="str">
        <f ca="1">IF(OFFSET('4. Work'!$A$1,ROW(D487)-1,COLUMN(D487)-1)="","",OFFSET('4. Work'!$A$1,ROW(D487)-1,COLUMN(D487)-1))</f>
        <v/>
      </c>
      <c r="E487" s="147"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I487" s="3" t="str">
        <f ca="1">IF(OFFSET('4. Work'!$A$1,ROW(I487)-1,COLUMN(I487)-1)="","",OFFSET('4. Work'!$A$1,ROW(I487)-1,COLUMN(I487)-1))</f>
        <v/>
      </c>
      <c r="T487" s="3" t="str">
        <f ca="1">IF(A487&lt;&gt;"",MAX('Initiative Indirect'!$T:$T)+(ROW(A487)-1),"")</f>
        <v/>
      </c>
      <c r="U487" s="3" t="str">
        <f ca="1">IF(B487&lt;&gt;"",INDEX('Initiative Indirect'!$T:$T,MATCH(B487,'Initiative Indirect'!$A:$A,0)),"")</f>
        <v/>
      </c>
      <c r="V487" s="3" t="str">
        <f ca="1">IF(C487&lt;&gt;"",INDEX('Team Indirect'!$T:$T,MATCH(C487,'Team Indirect'!$A:$A,0)),"")</f>
        <v/>
      </c>
      <c r="W487" s="3"/>
      <c r="X487" s="3"/>
      <c r="Y487" s="3" t="str">
        <f ca="1">IF($C487&lt;&gt;"",INDEX('Team Indirect'!$D:$D,MATCH($C487,'Team Indirect'!$A:$A,0)),"")</f>
        <v/>
      </c>
      <c r="Z487" s="3" t="str">
        <f ca="1">IF($C487&lt;&gt;"",INDEX('Team Indirect'!$E:$E,MATCH($C487,'Team Indirect'!$A:$A,0)),"")</f>
        <v/>
      </c>
      <c r="AA487" s="3" t="str">
        <f ca="1">IF($C487&lt;&gt;"",INDEX('Team Indirect'!$F:$F,MATCH($C487,'Team Indirect'!$A:$A,0)),"")</f>
        <v/>
      </c>
      <c r="AB487" s="3" t="str">
        <f t="shared" ca="1" si="7"/>
        <v/>
      </c>
      <c r="AC487" s="3">
        <f ca="1">IF(OR(AllocationUnits="Stories", AllocationUnits="Points"),'Work Indirect'!F487,F487/MAX('Work Indirect'!AB487,1))</f>
        <v>1</v>
      </c>
    </row>
    <row r="488" spans="1:29"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7" t="str">
        <f ca="1">IF(OFFSET('4. Work'!$A$1,ROW(D488)-1,COLUMN(D488)-1)="","",OFFSET('4. Work'!$A$1,ROW(D488)-1,COLUMN(D488)-1))</f>
        <v/>
      </c>
      <c r="E488" s="147"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I488" s="3" t="str">
        <f ca="1">IF(OFFSET('4. Work'!$A$1,ROW(I488)-1,COLUMN(I488)-1)="","",OFFSET('4. Work'!$A$1,ROW(I488)-1,COLUMN(I488)-1))</f>
        <v/>
      </c>
      <c r="T488" s="3" t="str">
        <f ca="1">IF(A488&lt;&gt;"",MAX('Initiative Indirect'!$T:$T)+(ROW(A488)-1),"")</f>
        <v/>
      </c>
      <c r="U488" s="3" t="str">
        <f ca="1">IF(B488&lt;&gt;"",INDEX('Initiative Indirect'!$T:$T,MATCH(B488,'Initiative Indirect'!$A:$A,0)),"")</f>
        <v/>
      </c>
      <c r="V488" s="3" t="str">
        <f ca="1">IF(C488&lt;&gt;"",INDEX('Team Indirect'!$T:$T,MATCH(C488,'Team Indirect'!$A:$A,0)),"")</f>
        <v/>
      </c>
      <c r="W488" s="3"/>
      <c r="X488" s="3"/>
      <c r="Y488" s="3" t="str">
        <f ca="1">IF($C488&lt;&gt;"",INDEX('Team Indirect'!$D:$D,MATCH($C488,'Team Indirect'!$A:$A,0)),"")</f>
        <v/>
      </c>
      <c r="Z488" s="3" t="str">
        <f ca="1">IF($C488&lt;&gt;"",INDEX('Team Indirect'!$E:$E,MATCH($C488,'Team Indirect'!$A:$A,0)),"")</f>
        <v/>
      </c>
      <c r="AA488" s="3" t="str">
        <f ca="1">IF($C488&lt;&gt;"",INDEX('Team Indirect'!$F:$F,MATCH($C488,'Team Indirect'!$A:$A,0)),"")</f>
        <v/>
      </c>
      <c r="AB488" s="3" t="str">
        <f t="shared" ca="1" si="7"/>
        <v/>
      </c>
      <c r="AC488" s="3">
        <f ca="1">IF(OR(AllocationUnits="Stories", AllocationUnits="Points"),'Work Indirect'!F488,F488/MAX('Work Indirect'!AB488,1))</f>
        <v>1</v>
      </c>
    </row>
    <row r="489" spans="1:29"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7" t="str">
        <f ca="1">IF(OFFSET('4. Work'!$A$1,ROW(D489)-1,COLUMN(D489)-1)="","",OFFSET('4. Work'!$A$1,ROW(D489)-1,COLUMN(D489)-1))</f>
        <v/>
      </c>
      <c r="E489" s="147"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I489" s="3" t="str">
        <f ca="1">IF(OFFSET('4. Work'!$A$1,ROW(I489)-1,COLUMN(I489)-1)="","",OFFSET('4. Work'!$A$1,ROW(I489)-1,COLUMN(I489)-1))</f>
        <v/>
      </c>
      <c r="T489" s="3" t="str">
        <f ca="1">IF(A489&lt;&gt;"",MAX('Initiative Indirect'!$T:$T)+(ROW(A489)-1),"")</f>
        <v/>
      </c>
      <c r="U489" s="3" t="str">
        <f ca="1">IF(B489&lt;&gt;"",INDEX('Initiative Indirect'!$T:$T,MATCH(B489,'Initiative Indirect'!$A:$A,0)),"")</f>
        <v/>
      </c>
      <c r="V489" s="3" t="str">
        <f ca="1">IF(C489&lt;&gt;"",INDEX('Team Indirect'!$T:$T,MATCH(C489,'Team Indirect'!$A:$A,0)),"")</f>
        <v/>
      </c>
      <c r="W489" s="3"/>
      <c r="X489" s="3"/>
      <c r="Y489" s="3" t="str">
        <f ca="1">IF($C489&lt;&gt;"",INDEX('Team Indirect'!$D:$D,MATCH($C489,'Team Indirect'!$A:$A,0)),"")</f>
        <v/>
      </c>
      <c r="Z489" s="3" t="str">
        <f ca="1">IF($C489&lt;&gt;"",INDEX('Team Indirect'!$E:$E,MATCH($C489,'Team Indirect'!$A:$A,0)),"")</f>
        <v/>
      </c>
      <c r="AA489" s="3" t="str">
        <f ca="1">IF($C489&lt;&gt;"",INDEX('Team Indirect'!$F:$F,MATCH($C489,'Team Indirect'!$A:$A,0)),"")</f>
        <v/>
      </c>
      <c r="AB489" s="3" t="str">
        <f t="shared" ca="1" si="7"/>
        <v/>
      </c>
      <c r="AC489" s="3">
        <f ca="1">IF(OR(AllocationUnits="Stories", AllocationUnits="Points"),'Work Indirect'!F489,F489/MAX('Work Indirect'!AB489,1))</f>
        <v>1</v>
      </c>
    </row>
    <row r="490" spans="1:29"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7" t="str">
        <f ca="1">IF(OFFSET('4. Work'!$A$1,ROW(D490)-1,COLUMN(D490)-1)="","",OFFSET('4. Work'!$A$1,ROW(D490)-1,COLUMN(D490)-1))</f>
        <v/>
      </c>
      <c r="E490" s="147"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I490" s="3" t="str">
        <f ca="1">IF(OFFSET('4. Work'!$A$1,ROW(I490)-1,COLUMN(I490)-1)="","",OFFSET('4. Work'!$A$1,ROW(I490)-1,COLUMN(I490)-1))</f>
        <v/>
      </c>
      <c r="T490" s="3" t="str">
        <f ca="1">IF(A490&lt;&gt;"",MAX('Initiative Indirect'!$T:$T)+(ROW(A490)-1),"")</f>
        <v/>
      </c>
      <c r="U490" s="3" t="str">
        <f ca="1">IF(B490&lt;&gt;"",INDEX('Initiative Indirect'!$T:$T,MATCH(B490,'Initiative Indirect'!$A:$A,0)),"")</f>
        <v/>
      </c>
      <c r="V490" s="3" t="str">
        <f ca="1">IF(C490&lt;&gt;"",INDEX('Team Indirect'!$T:$T,MATCH(C490,'Team Indirect'!$A:$A,0)),"")</f>
        <v/>
      </c>
      <c r="W490" s="3"/>
      <c r="X490" s="3"/>
      <c r="Y490" s="3" t="str">
        <f ca="1">IF($C490&lt;&gt;"",INDEX('Team Indirect'!$D:$D,MATCH($C490,'Team Indirect'!$A:$A,0)),"")</f>
        <v/>
      </c>
      <c r="Z490" s="3" t="str">
        <f ca="1">IF($C490&lt;&gt;"",INDEX('Team Indirect'!$E:$E,MATCH($C490,'Team Indirect'!$A:$A,0)),"")</f>
        <v/>
      </c>
      <c r="AA490" s="3" t="str">
        <f ca="1">IF($C490&lt;&gt;"",INDEX('Team Indirect'!$F:$F,MATCH($C490,'Team Indirect'!$A:$A,0)),"")</f>
        <v/>
      </c>
      <c r="AB490" s="3" t="str">
        <f t="shared" ca="1" si="7"/>
        <v/>
      </c>
      <c r="AC490" s="3">
        <f ca="1">IF(OR(AllocationUnits="Stories", AllocationUnits="Points"),'Work Indirect'!F490,F490/MAX('Work Indirect'!AB490,1))</f>
        <v>1</v>
      </c>
    </row>
    <row r="491" spans="1:29"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7" t="str">
        <f ca="1">IF(OFFSET('4. Work'!$A$1,ROW(D491)-1,COLUMN(D491)-1)="","",OFFSET('4. Work'!$A$1,ROW(D491)-1,COLUMN(D491)-1))</f>
        <v/>
      </c>
      <c r="E491" s="147"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I491" s="3" t="str">
        <f ca="1">IF(OFFSET('4. Work'!$A$1,ROW(I491)-1,COLUMN(I491)-1)="","",OFFSET('4. Work'!$A$1,ROW(I491)-1,COLUMN(I491)-1))</f>
        <v/>
      </c>
      <c r="T491" s="3" t="str">
        <f ca="1">IF(A491&lt;&gt;"",MAX('Initiative Indirect'!$T:$T)+(ROW(A491)-1),"")</f>
        <v/>
      </c>
      <c r="U491" s="3" t="str">
        <f ca="1">IF(B491&lt;&gt;"",INDEX('Initiative Indirect'!$T:$T,MATCH(B491,'Initiative Indirect'!$A:$A,0)),"")</f>
        <v/>
      </c>
      <c r="V491" s="3" t="str">
        <f ca="1">IF(C491&lt;&gt;"",INDEX('Team Indirect'!$T:$T,MATCH(C491,'Team Indirect'!$A:$A,0)),"")</f>
        <v/>
      </c>
      <c r="W491" s="3"/>
      <c r="X491" s="3"/>
      <c r="Y491" s="3" t="str">
        <f ca="1">IF($C491&lt;&gt;"",INDEX('Team Indirect'!$D:$D,MATCH($C491,'Team Indirect'!$A:$A,0)),"")</f>
        <v/>
      </c>
      <c r="Z491" s="3" t="str">
        <f ca="1">IF($C491&lt;&gt;"",INDEX('Team Indirect'!$E:$E,MATCH($C491,'Team Indirect'!$A:$A,0)),"")</f>
        <v/>
      </c>
      <c r="AA491" s="3" t="str">
        <f ca="1">IF($C491&lt;&gt;"",INDEX('Team Indirect'!$F:$F,MATCH($C491,'Team Indirect'!$A:$A,0)),"")</f>
        <v/>
      </c>
      <c r="AB491" s="3" t="str">
        <f t="shared" ca="1" si="7"/>
        <v/>
      </c>
      <c r="AC491" s="3">
        <f ca="1">IF(OR(AllocationUnits="Stories", AllocationUnits="Points"),'Work Indirect'!F491,F491/MAX('Work Indirect'!AB491,1))</f>
        <v>1</v>
      </c>
    </row>
    <row r="492" spans="1:29"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7" t="str">
        <f ca="1">IF(OFFSET('4. Work'!$A$1,ROW(D492)-1,COLUMN(D492)-1)="","",OFFSET('4. Work'!$A$1,ROW(D492)-1,COLUMN(D492)-1))</f>
        <v/>
      </c>
      <c r="E492" s="147"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I492" s="3" t="str">
        <f ca="1">IF(OFFSET('4. Work'!$A$1,ROW(I492)-1,COLUMN(I492)-1)="","",OFFSET('4. Work'!$A$1,ROW(I492)-1,COLUMN(I492)-1))</f>
        <v/>
      </c>
      <c r="T492" s="3" t="str">
        <f ca="1">IF(A492&lt;&gt;"",MAX('Initiative Indirect'!$T:$T)+(ROW(A492)-1),"")</f>
        <v/>
      </c>
      <c r="U492" s="3" t="str">
        <f ca="1">IF(B492&lt;&gt;"",INDEX('Initiative Indirect'!$T:$T,MATCH(B492,'Initiative Indirect'!$A:$A,0)),"")</f>
        <v/>
      </c>
      <c r="V492" s="3" t="str">
        <f ca="1">IF(C492&lt;&gt;"",INDEX('Team Indirect'!$T:$T,MATCH(C492,'Team Indirect'!$A:$A,0)),"")</f>
        <v/>
      </c>
      <c r="W492" s="3"/>
      <c r="X492" s="3"/>
      <c r="Y492" s="3" t="str">
        <f ca="1">IF($C492&lt;&gt;"",INDEX('Team Indirect'!$D:$D,MATCH($C492,'Team Indirect'!$A:$A,0)),"")</f>
        <v/>
      </c>
      <c r="Z492" s="3" t="str">
        <f ca="1">IF($C492&lt;&gt;"",INDEX('Team Indirect'!$E:$E,MATCH($C492,'Team Indirect'!$A:$A,0)),"")</f>
        <v/>
      </c>
      <c r="AA492" s="3" t="str">
        <f ca="1">IF($C492&lt;&gt;"",INDEX('Team Indirect'!$F:$F,MATCH($C492,'Team Indirect'!$A:$A,0)),"")</f>
        <v/>
      </c>
      <c r="AB492" s="3" t="str">
        <f t="shared" ca="1" si="7"/>
        <v/>
      </c>
      <c r="AC492" s="3">
        <f ca="1">IF(OR(AllocationUnits="Stories", AllocationUnits="Points"),'Work Indirect'!F492,F492/MAX('Work Indirect'!AB492,1))</f>
        <v>1</v>
      </c>
    </row>
    <row r="493" spans="1:29"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7" t="str">
        <f ca="1">IF(OFFSET('4. Work'!$A$1,ROW(D493)-1,COLUMN(D493)-1)="","",OFFSET('4. Work'!$A$1,ROW(D493)-1,COLUMN(D493)-1))</f>
        <v/>
      </c>
      <c r="E493" s="147"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I493" s="3" t="str">
        <f ca="1">IF(OFFSET('4. Work'!$A$1,ROW(I493)-1,COLUMN(I493)-1)="","",OFFSET('4. Work'!$A$1,ROW(I493)-1,COLUMN(I493)-1))</f>
        <v/>
      </c>
      <c r="T493" s="3" t="str">
        <f ca="1">IF(A493&lt;&gt;"",MAX('Initiative Indirect'!$T:$T)+(ROW(A493)-1),"")</f>
        <v/>
      </c>
      <c r="U493" s="3" t="str">
        <f ca="1">IF(B493&lt;&gt;"",INDEX('Initiative Indirect'!$T:$T,MATCH(B493,'Initiative Indirect'!$A:$A,0)),"")</f>
        <v/>
      </c>
      <c r="V493" s="3" t="str">
        <f ca="1">IF(C493&lt;&gt;"",INDEX('Team Indirect'!$T:$T,MATCH(C493,'Team Indirect'!$A:$A,0)),"")</f>
        <v/>
      </c>
      <c r="W493" s="3"/>
      <c r="X493" s="3"/>
      <c r="Y493" s="3" t="str">
        <f ca="1">IF($C493&lt;&gt;"",INDEX('Team Indirect'!$D:$D,MATCH($C493,'Team Indirect'!$A:$A,0)),"")</f>
        <v/>
      </c>
      <c r="Z493" s="3" t="str">
        <f ca="1">IF($C493&lt;&gt;"",INDEX('Team Indirect'!$E:$E,MATCH($C493,'Team Indirect'!$A:$A,0)),"")</f>
        <v/>
      </c>
      <c r="AA493" s="3" t="str">
        <f ca="1">IF($C493&lt;&gt;"",INDEX('Team Indirect'!$F:$F,MATCH($C493,'Team Indirect'!$A:$A,0)),"")</f>
        <v/>
      </c>
      <c r="AB493" s="3" t="str">
        <f t="shared" ca="1" si="7"/>
        <v/>
      </c>
      <c r="AC493" s="3">
        <f ca="1">IF(OR(AllocationUnits="Stories", AllocationUnits="Points"),'Work Indirect'!F493,F493/MAX('Work Indirect'!AB493,1))</f>
        <v>1</v>
      </c>
    </row>
    <row r="494" spans="1:29"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7" t="str">
        <f ca="1">IF(OFFSET('4. Work'!$A$1,ROW(D494)-1,COLUMN(D494)-1)="","",OFFSET('4. Work'!$A$1,ROW(D494)-1,COLUMN(D494)-1))</f>
        <v/>
      </c>
      <c r="E494" s="147"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I494" s="3" t="str">
        <f ca="1">IF(OFFSET('4. Work'!$A$1,ROW(I494)-1,COLUMN(I494)-1)="","",OFFSET('4. Work'!$A$1,ROW(I494)-1,COLUMN(I494)-1))</f>
        <v/>
      </c>
      <c r="T494" s="3" t="str">
        <f ca="1">IF(A494&lt;&gt;"",MAX('Initiative Indirect'!$T:$T)+(ROW(A494)-1),"")</f>
        <v/>
      </c>
      <c r="U494" s="3" t="str">
        <f ca="1">IF(B494&lt;&gt;"",INDEX('Initiative Indirect'!$T:$T,MATCH(B494,'Initiative Indirect'!$A:$A,0)),"")</f>
        <v/>
      </c>
      <c r="V494" s="3" t="str">
        <f ca="1">IF(C494&lt;&gt;"",INDEX('Team Indirect'!$T:$T,MATCH(C494,'Team Indirect'!$A:$A,0)),"")</f>
        <v/>
      </c>
      <c r="W494" s="3"/>
      <c r="X494" s="3"/>
      <c r="Y494" s="3" t="str">
        <f ca="1">IF($C494&lt;&gt;"",INDEX('Team Indirect'!$D:$D,MATCH($C494,'Team Indirect'!$A:$A,0)),"")</f>
        <v/>
      </c>
      <c r="Z494" s="3" t="str">
        <f ca="1">IF($C494&lt;&gt;"",INDEX('Team Indirect'!$E:$E,MATCH($C494,'Team Indirect'!$A:$A,0)),"")</f>
        <v/>
      </c>
      <c r="AA494" s="3" t="str">
        <f ca="1">IF($C494&lt;&gt;"",INDEX('Team Indirect'!$F:$F,MATCH($C494,'Team Indirect'!$A:$A,0)),"")</f>
        <v/>
      </c>
      <c r="AB494" s="3" t="str">
        <f t="shared" ca="1" si="7"/>
        <v/>
      </c>
      <c r="AC494" s="3">
        <f ca="1">IF(OR(AllocationUnits="Stories", AllocationUnits="Points"),'Work Indirect'!F494,F494/MAX('Work Indirect'!AB494,1))</f>
        <v>1</v>
      </c>
    </row>
    <row r="495" spans="1:29"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7" t="str">
        <f ca="1">IF(OFFSET('4. Work'!$A$1,ROW(D495)-1,COLUMN(D495)-1)="","",OFFSET('4. Work'!$A$1,ROW(D495)-1,COLUMN(D495)-1))</f>
        <v/>
      </c>
      <c r="E495" s="147"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I495" s="3" t="str">
        <f ca="1">IF(OFFSET('4. Work'!$A$1,ROW(I495)-1,COLUMN(I495)-1)="","",OFFSET('4. Work'!$A$1,ROW(I495)-1,COLUMN(I495)-1))</f>
        <v/>
      </c>
      <c r="T495" s="3" t="str">
        <f ca="1">IF(A495&lt;&gt;"",MAX('Initiative Indirect'!$T:$T)+(ROW(A495)-1),"")</f>
        <v/>
      </c>
      <c r="U495" s="3" t="str">
        <f ca="1">IF(B495&lt;&gt;"",INDEX('Initiative Indirect'!$T:$T,MATCH(B495,'Initiative Indirect'!$A:$A,0)),"")</f>
        <v/>
      </c>
      <c r="V495" s="3" t="str">
        <f ca="1">IF(C495&lt;&gt;"",INDEX('Team Indirect'!$T:$T,MATCH(C495,'Team Indirect'!$A:$A,0)),"")</f>
        <v/>
      </c>
      <c r="W495" s="3"/>
      <c r="X495" s="3"/>
      <c r="Y495" s="3" t="str">
        <f ca="1">IF($C495&lt;&gt;"",INDEX('Team Indirect'!$D:$D,MATCH($C495,'Team Indirect'!$A:$A,0)),"")</f>
        <v/>
      </c>
      <c r="Z495" s="3" t="str">
        <f ca="1">IF($C495&lt;&gt;"",INDEX('Team Indirect'!$E:$E,MATCH($C495,'Team Indirect'!$A:$A,0)),"")</f>
        <v/>
      </c>
      <c r="AA495" s="3" t="str">
        <f ca="1">IF($C495&lt;&gt;"",INDEX('Team Indirect'!$F:$F,MATCH($C495,'Team Indirect'!$A:$A,0)),"")</f>
        <v/>
      </c>
      <c r="AB495" s="3" t="str">
        <f t="shared" ca="1" si="7"/>
        <v/>
      </c>
      <c r="AC495" s="3">
        <f ca="1">IF(OR(AllocationUnits="Stories", AllocationUnits="Points"),'Work Indirect'!F495,F495/MAX('Work Indirect'!AB495,1))</f>
        <v>1</v>
      </c>
    </row>
    <row r="496" spans="1:29"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7" t="str">
        <f ca="1">IF(OFFSET('4. Work'!$A$1,ROW(D496)-1,COLUMN(D496)-1)="","",OFFSET('4. Work'!$A$1,ROW(D496)-1,COLUMN(D496)-1))</f>
        <v/>
      </c>
      <c r="E496" s="147"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I496" s="3" t="str">
        <f ca="1">IF(OFFSET('4. Work'!$A$1,ROW(I496)-1,COLUMN(I496)-1)="","",OFFSET('4. Work'!$A$1,ROW(I496)-1,COLUMN(I496)-1))</f>
        <v/>
      </c>
      <c r="T496" s="3" t="str">
        <f ca="1">IF(A496&lt;&gt;"",MAX('Initiative Indirect'!$T:$T)+(ROW(A496)-1),"")</f>
        <v/>
      </c>
      <c r="U496" s="3" t="str">
        <f ca="1">IF(B496&lt;&gt;"",INDEX('Initiative Indirect'!$T:$T,MATCH(B496,'Initiative Indirect'!$A:$A,0)),"")</f>
        <v/>
      </c>
      <c r="V496" s="3" t="str">
        <f ca="1">IF(C496&lt;&gt;"",INDEX('Team Indirect'!$T:$T,MATCH(C496,'Team Indirect'!$A:$A,0)),"")</f>
        <v/>
      </c>
      <c r="W496" s="3"/>
      <c r="X496" s="3"/>
      <c r="Y496" s="3" t="str">
        <f ca="1">IF($C496&lt;&gt;"",INDEX('Team Indirect'!$D:$D,MATCH($C496,'Team Indirect'!$A:$A,0)),"")</f>
        <v/>
      </c>
      <c r="Z496" s="3" t="str">
        <f ca="1">IF($C496&lt;&gt;"",INDEX('Team Indirect'!$E:$E,MATCH($C496,'Team Indirect'!$A:$A,0)),"")</f>
        <v/>
      </c>
      <c r="AA496" s="3" t="str">
        <f ca="1">IF($C496&lt;&gt;"",INDEX('Team Indirect'!$F:$F,MATCH($C496,'Team Indirect'!$A:$A,0)),"")</f>
        <v/>
      </c>
      <c r="AB496" s="3" t="str">
        <f t="shared" ca="1" si="7"/>
        <v/>
      </c>
      <c r="AC496" s="3">
        <f ca="1">IF(OR(AllocationUnits="Stories", AllocationUnits="Points"),'Work Indirect'!F496,F496/MAX('Work Indirect'!AB496,1))</f>
        <v>1</v>
      </c>
    </row>
    <row r="497" spans="1:29"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7" t="str">
        <f ca="1">IF(OFFSET('4. Work'!$A$1,ROW(D497)-1,COLUMN(D497)-1)="","",OFFSET('4. Work'!$A$1,ROW(D497)-1,COLUMN(D497)-1))</f>
        <v/>
      </c>
      <c r="E497" s="147"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I497" s="3" t="str">
        <f ca="1">IF(OFFSET('4. Work'!$A$1,ROW(I497)-1,COLUMN(I497)-1)="","",OFFSET('4. Work'!$A$1,ROW(I497)-1,COLUMN(I497)-1))</f>
        <v/>
      </c>
      <c r="T497" s="3" t="str">
        <f ca="1">IF(A497&lt;&gt;"",MAX('Initiative Indirect'!$T:$T)+(ROW(A497)-1),"")</f>
        <v/>
      </c>
      <c r="U497" s="3" t="str">
        <f ca="1">IF(B497&lt;&gt;"",INDEX('Initiative Indirect'!$T:$T,MATCH(B497,'Initiative Indirect'!$A:$A,0)),"")</f>
        <v/>
      </c>
      <c r="V497" s="3" t="str">
        <f ca="1">IF(C497&lt;&gt;"",INDEX('Team Indirect'!$T:$T,MATCH(C497,'Team Indirect'!$A:$A,0)),"")</f>
        <v/>
      </c>
      <c r="W497" s="3"/>
      <c r="X497" s="3"/>
      <c r="Y497" s="3" t="str">
        <f ca="1">IF($C497&lt;&gt;"",INDEX('Team Indirect'!$D:$D,MATCH($C497,'Team Indirect'!$A:$A,0)),"")</f>
        <v/>
      </c>
      <c r="Z497" s="3" t="str">
        <f ca="1">IF($C497&lt;&gt;"",INDEX('Team Indirect'!$E:$E,MATCH($C497,'Team Indirect'!$A:$A,0)),"")</f>
        <v/>
      </c>
      <c r="AA497" s="3" t="str">
        <f ca="1">IF($C497&lt;&gt;"",INDEX('Team Indirect'!$F:$F,MATCH($C497,'Team Indirect'!$A:$A,0)),"")</f>
        <v/>
      </c>
      <c r="AB497" s="3" t="str">
        <f t="shared" ca="1" si="7"/>
        <v/>
      </c>
      <c r="AC497" s="3">
        <f ca="1">IF(OR(AllocationUnits="Stories", AllocationUnits="Points"),'Work Indirect'!F497,F497/MAX('Work Indirect'!AB497,1))</f>
        <v>1</v>
      </c>
    </row>
    <row r="498" spans="1:29"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7" t="str">
        <f ca="1">IF(OFFSET('4. Work'!$A$1,ROW(D498)-1,COLUMN(D498)-1)="","",OFFSET('4. Work'!$A$1,ROW(D498)-1,COLUMN(D498)-1))</f>
        <v/>
      </c>
      <c r="E498" s="147"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I498" s="3" t="str">
        <f ca="1">IF(OFFSET('4. Work'!$A$1,ROW(I498)-1,COLUMN(I498)-1)="","",OFFSET('4. Work'!$A$1,ROW(I498)-1,COLUMN(I498)-1))</f>
        <v/>
      </c>
      <c r="T498" s="3" t="str">
        <f ca="1">IF(A498&lt;&gt;"",MAX('Initiative Indirect'!$T:$T)+(ROW(A498)-1),"")</f>
        <v/>
      </c>
      <c r="U498" s="3" t="str">
        <f ca="1">IF(B498&lt;&gt;"",INDEX('Initiative Indirect'!$T:$T,MATCH(B498,'Initiative Indirect'!$A:$A,0)),"")</f>
        <v/>
      </c>
      <c r="V498" s="3" t="str">
        <f ca="1">IF(C498&lt;&gt;"",INDEX('Team Indirect'!$T:$T,MATCH(C498,'Team Indirect'!$A:$A,0)),"")</f>
        <v/>
      </c>
      <c r="W498" s="3"/>
      <c r="X498" s="3"/>
      <c r="Y498" s="3" t="str">
        <f ca="1">IF($C498&lt;&gt;"",INDEX('Team Indirect'!$D:$D,MATCH($C498,'Team Indirect'!$A:$A,0)),"")</f>
        <v/>
      </c>
      <c r="Z498" s="3" t="str">
        <f ca="1">IF($C498&lt;&gt;"",INDEX('Team Indirect'!$E:$E,MATCH($C498,'Team Indirect'!$A:$A,0)),"")</f>
        <v/>
      </c>
      <c r="AA498" s="3" t="str">
        <f ca="1">IF($C498&lt;&gt;"",INDEX('Team Indirect'!$F:$F,MATCH($C498,'Team Indirect'!$A:$A,0)),"")</f>
        <v/>
      </c>
      <c r="AB498" s="3" t="str">
        <f t="shared" ca="1" si="7"/>
        <v/>
      </c>
      <c r="AC498" s="3">
        <f ca="1">IF(OR(AllocationUnits="Stories", AllocationUnits="Points"),'Work Indirect'!F498,F498/MAX('Work Indirect'!AB498,1))</f>
        <v>1</v>
      </c>
    </row>
    <row r="499" spans="1:29"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7" t="str">
        <f ca="1">IF(OFFSET('4. Work'!$A$1,ROW(D499)-1,COLUMN(D499)-1)="","",OFFSET('4. Work'!$A$1,ROW(D499)-1,COLUMN(D499)-1))</f>
        <v/>
      </c>
      <c r="E499" s="147"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I499" s="3" t="str">
        <f ca="1">IF(OFFSET('4. Work'!$A$1,ROW(I499)-1,COLUMN(I499)-1)="","",OFFSET('4. Work'!$A$1,ROW(I499)-1,COLUMN(I499)-1))</f>
        <v/>
      </c>
      <c r="T499" s="3" t="str">
        <f ca="1">IF(A499&lt;&gt;"",MAX('Initiative Indirect'!$T:$T)+(ROW(A499)-1),"")</f>
        <v/>
      </c>
      <c r="U499" s="3" t="str">
        <f ca="1">IF(B499&lt;&gt;"",INDEX('Initiative Indirect'!$T:$T,MATCH(B499,'Initiative Indirect'!$A:$A,0)),"")</f>
        <v/>
      </c>
      <c r="V499" s="3" t="str">
        <f ca="1">IF(C499&lt;&gt;"",INDEX('Team Indirect'!$T:$T,MATCH(C499,'Team Indirect'!$A:$A,0)),"")</f>
        <v/>
      </c>
      <c r="W499" s="3"/>
      <c r="X499" s="3"/>
      <c r="Y499" s="3" t="str">
        <f ca="1">IF($C499&lt;&gt;"",INDEX('Team Indirect'!$D:$D,MATCH($C499,'Team Indirect'!$A:$A,0)),"")</f>
        <v/>
      </c>
      <c r="Z499" s="3" t="str">
        <f ca="1">IF($C499&lt;&gt;"",INDEX('Team Indirect'!$E:$E,MATCH($C499,'Team Indirect'!$A:$A,0)),"")</f>
        <v/>
      </c>
      <c r="AA499" s="3" t="str">
        <f ca="1">IF($C499&lt;&gt;"",INDEX('Team Indirect'!$F:$F,MATCH($C499,'Team Indirect'!$A:$A,0)),"")</f>
        <v/>
      </c>
      <c r="AB499" s="3" t="str">
        <f t="shared" ca="1" si="7"/>
        <v/>
      </c>
      <c r="AC499" s="3">
        <f ca="1">IF(OR(AllocationUnits="Stories", AllocationUnits="Points"),'Work Indirect'!F499,F499/MAX('Work Indirect'!AB499,1))</f>
        <v>1</v>
      </c>
    </row>
    <row r="500" spans="1:29"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7" t="str">
        <f ca="1">IF(OFFSET('4. Work'!$A$1,ROW(D500)-1,COLUMN(D500)-1)="","",OFFSET('4. Work'!$A$1,ROW(D500)-1,COLUMN(D500)-1))</f>
        <v/>
      </c>
      <c r="E500" s="147"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I500" s="3" t="str">
        <f ca="1">IF(OFFSET('4. Work'!$A$1,ROW(I500)-1,COLUMN(I500)-1)="","",OFFSET('4. Work'!$A$1,ROW(I500)-1,COLUMN(I500)-1))</f>
        <v/>
      </c>
      <c r="T500" s="3" t="str">
        <f ca="1">IF(A500&lt;&gt;"",MAX('Initiative Indirect'!$T:$T)+(ROW(A500)-1),"")</f>
        <v/>
      </c>
      <c r="U500" s="3" t="str">
        <f ca="1">IF(B500&lt;&gt;"",INDEX('Initiative Indirect'!$T:$T,MATCH(B500,'Initiative Indirect'!$A:$A,0)),"")</f>
        <v/>
      </c>
      <c r="V500" s="3" t="str">
        <f ca="1">IF(C500&lt;&gt;"",INDEX('Team Indirect'!$T:$T,MATCH(C500,'Team Indirect'!$A:$A,0)),"")</f>
        <v/>
      </c>
      <c r="W500" s="3"/>
      <c r="X500" s="3"/>
      <c r="Y500" s="3" t="str">
        <f ca="1">IF($C500&lt;&gt;"",INDEX('Team Indirect'!$D:$D,MATCH($C500,'Team Indirect'!$A:$A,0)),"")</f>
        <v/>
      </c>
      <c r="Z500" s="3" t="str">
        <f ca="1">IF($C500&lt;&gt;"",INDEX('Team Indirect'!$E:$E,MATCH($C500,'Team Indirect'!$A:$A,0)),"")</f>
        <v/>
      </c>
      <c r="AA500" s="3" t="str">
        <f ca="1">IF($C500&lt;&gt;"",INDEX('Team Indirect'!$F:$F,MATCH($C500,'Team Indirect'!$A:$A,0)),"")</f>
        <v/>
      </c>
      <c r="AB500" s="3" t="str">
        <f t="shared" ca="1" si="7"/>
        <v/>
      </c>
      <c r="AC500" s="3">
        <f ca="1">IF(OR(AllocationUnits="Stories", AllocationUnits="Points"),'Work Indirect'!F500,F500/MAX('Work Indirect'!AB500,1))</f>
        <v>1</v>
      </c>
    </row>
    <row r="501" spans="1:29"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7" t="str">
        <f ca="1">IF(OFFSET('4. Work'!$A$1,ROW(D501)-1,COLUMN(D501)-1)="","",OFFSET('4. Work'!$A$1,ROW(D501)-1,COLUMN(D501)-1))</f>
        <v/>
      </c>
      <c r="E501" s="147"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I501" s="3" t="str">
        <f ca="1">IF(OFFSET('4. Work'!$A$1,ROW(I501)-1,COLUMN(I501)-1)="","",OFFSET('4. Work'!$A$1,ROW(I501)-1,COLUMN(I501)-1))</f>
        <v/>
      </c>
      <c r="T501" s="3" t="str">
        <f ca="1">IF(A501&lt;&gt;"",MAX('Initiative Indirect'!$T:$T)+(ROW(A501)-1),"")</f>
        <v/>
      </c>
      <c r="U501" s="3" t="str">
        <f ca="1">IF(B501&lt;&gt;"",INDEX('Initiative Indirect'!$T:$T,MATCH(B501,'Initiative Indirect'!$A:$A,0)),"")</f>
        <v/>
      </c>
      <c r="V501" s="3" t="str">
        <f ca="1">IF(C501&lt;&gt;"",INDEX('Team Indirect'!$T:$T,MATCH(C501,'Team Indirect'!$A:$A,0)),"")</f>
        <v/>
      </c>
      <c r="W501" s="3"/>
      <c r="X501" s="3"/>
      <c r="Y501" s="3" t="str">
        <f ca="1">IF($C501&lt;&gt;"",INDEX('Team Indirect'!$D:$D,MATCH($C501,'Team Indirect'!$A:$A,0)),"")</f>
        <v/>
      </c>
      <c r="Z501" s="3" t="str">
        <f ca="1">IF($C501&lt;&gt;"",INDEX('Team Indirect'!$E:$E,MATCH($C501,'Team Indirect'!$A:$A,0)),"")</f>
        <v/>
      </c>
      <c r="AA501" s="3" t="str">
        <f ca="1">IF($C501&lt;&gt;"",INDEX('Team Indirect'!$F:$F,MATCH($C501,'Team Indirect'!$A:$A,0)),"")</f>
        <v/>
      </c>
      <c r="AB501" s="3" t="str">
        <f t="shared" ca="1" si="7"/>
        <v/>
      </c>
      <c r="AC501" s="3">
        <f ca="1">IF(OR(AllocationUnits="Stories", AllocationUnits="Points"),'Work Indirect'!F501,F501/MAX('Work Indirect'!AB501,1))</f>
        <v>1</v>
      </c>
    </row>
    <row r="502" spans="1:29"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7" t="str">
        <f ca="1">IF(OFFSET('4. Work'!$A$1,ROW(D502)-1,COLUMN(D502)-1)="","",OFFSET('4. Work'!$A$1,ROW(D502)-1,COLUMN(D502)-1))</f>
        <v/>
      </c>
      <c r="E502" s="147"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I502" s="3" t="str">
        <f ca="1">IF(OFFSET('4. Work'!$A$1,ROW(I502)-1,COLUMN(I502)-1)="","",OFFSET('4. Work'!$A$1,ROW(I502)-1,COLUMN(I502)-1))</f>
        <v/>
      </c>
      <c r="T502" s="3" t="str">
        <f ca="1">IF(A502&lt;&gt;"",MAX('Initiative Indirect'!$T:$T)+(ROW(A502)-1),"")</f>
        <v/>
      </c>
      <c r="U502" s="3" t="str">
        <f ca="1">IF(B502&lt;&gt;"",INDEX('Initiative Indirect'!$T:$T,MATCH(B502,'Initiative Indirect'!$A:$A,0)),"")</f>
        <v/>
      </c>
      <c r="V502" s="3" t="str">
        <f ca="1">IF(C502&lt;&gt;"",INDEX('Team Indirect'!$T:$T,MATCH(C502,'Team Indirect'!$A:$A,0)),"")</f>
        <v/>
      </c>
      <c r="W502" s="3"/>
      <c r="X502" s="3"/>
      <c r="Y502" s="3" t="str">
        <f ca="1">IF($C502&lt;&gt;"",INDEX('Team Indirect'!$D:$D,MATCH($C502,'Team Indirect'!$A:$A,0)),"")</f>
        <v/>
      </c>
      <c r="Z502" s="3" t="str">
        <f ca="1">IF($C502&lt;&gt;"",INDEX('Team Indirect'!$E:$E,MATCH($C502,'Team Indirect'!$A:$A,0)),"")</f>
        <v/>
      </c>
      <c r="AA502" s="3" t="str">
        <f ca="1">IF($C502&lt;&gt;"",INDEX('Team Indirect'!$F:$F,MATCH($C502,'Team Indirect'!$A:$A,0)),"")</f>
        <v/>
      </c>
      <c r="AB502" s="3" t="str">
        <f t="shared" ca="1" si="7"/>
        <v/>
      </c>
      <c r="AC502" s="3">
        <f ca="1">IF(OR(AllocationUnits="Stories", AllocationUnits="Points"),'Work Indirect'!F502,F502/MAX('Work Indirect'!AB502,1))</f>
        <v>1</v>
      </c>
    </row>
    <row r="503" spans="1:29"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7" t="str">
        <f ca="1">IF(OFFSET('4. Work'!$A$1,ROW(D503)-1,COLUMN(D503)-1)="","",OFFSET('4. Work'!$A$1,ROW(D503)-1,COLUMN(D503)-1))</f>
        <v/>
      </c>
      <c r="E503" s="147"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I503" s="3" t="str">
        <f ca="1">IF(OFFSET('4. Work'!$A$1,ROW(I503)-1,COLUMN(I503)-1)="","",OFFSET('4. Work'!$A$1,ROW(I503)-1,COLUMN(I503)-1))</f>
        <v/>
      </c>
      <c r="T503" s="3" t="str">
        <f ca="1">IF(A503&lt;&gt;"",MAX('Initiative Indirect'!$T:$T)+(ROW(A503)-1),"")</f>
        <v/>
      </c>
      <c r="U503" s="3" t="str">
        <f ca="1">IF(B503&lt;&gt;"",INDEX('Initiative Indirect'!$T:$T,MATCH(B503,'Initiative Indirect'!$A:$A,0)),"")</f>
        <v/>
      </c>
      <c r="V503" s="3" t="str">
        <f ca="1">IF(C503&lt;&gt;"",INDEX('Team Indirect'!$T:$T,MATCH(C503,'Team Indirect'!$A:$A,0)),"")</f>
        <v/>
      </c>
      <c r="W503" s="3"/>
      <c r="X503" s="3"/>
      <c r="Y503" s="3" t="str">
        <f ca="1">IF($C503&lt;&gt;"",INDEX('Team Indirect'!$D:$D,MATCH($C503,'Team Indirect'!$A:$A,0)),"")</f>
        <v/>
      </c>
      <c r="Z503" s="3" t="str">
        <f ca="1">IF($C503&lt;&gt;"",INDEX('Team Indirect'!$E:$E,MATCH($C503,'Team Indirect'!$A:$A,0)),"")</f>
        <v/>
      </c>
      <c r="AA503" s="3" t="str">
        <f ca="1">IF($C503&lt;&gt;"",INDEX('Team Indirect'!$F:$F,MATCH($C503,'Team Indirect'!$A:$A,0)),"")</f>
        <v/>
      </c>
      <c r="AB503" s="3" t="str">
        <f t="shared" ca="1" si="7"/>
        <v/>
      </c>
      <c r="AC503" s="3">
        <f ca="1">IF(OR(AllocationUnits="Stories", AllocationUnits="Points"),'Work Indirect'!F503,F503/MAX('Work Indirect'!AB503,1))</f>
        <v>1</v>
      </c>
    </row>
    <row r="504" spans="1:29"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7" t="str">
        <f ca="1">IF(OFFSET('4. Work'!$A$1,ROW(D504)-1,COLUMN(D504)-1)="","",OFFSET('4. Work'!$A$1,ROW(D504)-1,COLUMN(D504)-1))</f>
        <v/>
      </c>
      <c r="E504" s="147"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I504" s="3" t="str">
        <f ca="1">IF(OFFSET('4. Work'!$A$1,ROW(I504)-1,COLUMN(I504)-1)="","",OFFSET('4. Work'!$A$1,ROW(I504)-1,COLUMN(I504)-1))</f>
        <v/>
      </c>
      <c r="T504" s="3" t="str">
        <f ca="1">IF(A504&lt;&gt;"",MAX('Initiative Indirect'!$T:$T)+(ROW(A504)-1),"")</f>
        <v/>
      </c>
      <c r="U504" s="3" t="str">
        <f ca="1">IF(B504&lt;&gt;"",INDEX('Initiative Indirect'!$T:$T,MATCH(B504,'Initiative Indirect'!$A:$A,0)),"")</f>
        <v/>
      </c>
      <c r="V504" s="3" t="str">
        <f ca="1">IF(C504&lt;&gt;"",INDEX('Team Indirect'!$T:$T,MATCH(C504,'Team Indirect'!$A:$A,0)),"")</f>
        <v/>
      </c>
      <c r="W504" s="3"/>
      <c r="X504" s="3"/>
      <c r="Y504" s="3" t="str">
        <f ca="1">IF($C504&lt;&gt;"",INDEX('Team Indirect'!$D:$D,MATCH($C504,'Team Indirect'!$A:$A,0)),"")</f>
        <v/>
      </c>
      <c r="Z504" s="3" t="str">
        <f ca="1">IF($C504&lt;&gt;"",INDEX('Team Indirect'!$E:$E,MATCH($C504,'Team Indirect'!$A:$A,0)),"")</f>
        <v/>
      </c>
      <c r="AA504" s="3" t="str">
        <f ca="1">IF($C504&lt;&gt;"",INDEX('Team Indirect'!$F:$F,MATCH($C504,'Team Indirect'!$A:$A,0)),"")</f>
        <v/>
      </c>
      <c r="AB504" s="3" t="str">
        <f t="shared" ca="1" si="7"/>
        <v/>
      </c>
      <c r="AC504" s="3">
        <f ca="1">IF(OR(AllocationUnits="Stories", AllocationUnits="Points"),'Work Indirect'!F504,F504/MAX('Work Indirect'!AB504,1))</f>
        <v>1</v>
      </c>
    </row>
    <row r="505" spans="1:29"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7" t="str">
        <f ca="1">IF(OFFSET('4. Work'!$A$1,ROW(D505)-1,COLUMN(D505)-1)="","",OFFSET('4. Work'!$A$1,ROW(D505)-1,COLUMN(D505)-1))</f>
        <v/>
      </c>
      <c r="E505" s="147"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I505" s="3" t="str">
        <f ca="1">IF(OFFSET('4. Work'!$A$1,ROW(I505)-1,COLUMN(I505)-1)="","",OFFSET('4. Work'!$A$1,ROW(I505)-1,COLUMN(I505)-1))</f>
        <v/>
      </c>
      <c r="T505" s="3" t="str">
        <f ca="1">IF(A505&lt;&gt;"",MAX('Initiative Indirect'!$T:$T)+(ROW(A505)-1),"")</f>
        <v/>
      </c>
      <c r="U505" s="3" t="str">
        <f ca="1">IF(B505&lt;&gt;"",INDEX('Initiative Indirect'!$T:$T,MATCH(B505,'Initiative Indirect'!$A:$A,0)),"")</f>
        <v/>
      </c>
      <c r="V505" s="3" t="str">
        <f ca="1">IF(C505&lt;&gt;"",INDEX('Team Indirect'!$T:$T,MATCH(C505,'Team Indirect'!$A:$A,0)),"")</f>
        <v/>
      </c>
      <c r="W505" s="3"/>
      <c r="X505" s="3"/>
      <c r="Y505" s="3" t="str">
        <f ca="1">IF($C505&lt;&gt;"",INDEX('Team Indirect'!$D:$D,MATCH($C505,'Team Indirect'!$A:$A,0)),"")</f>
        <v/>
      </c>
      <c r="Z505" s="3" t="str">
        <f ca="1">IF($C505&lt;&gt;"",INDEX('Team Indirect'!$E:$E,MATCH($C505,'Team Indirect'!$A:$A,0)),"")</f>
        <v/>
      </c>
      <c r="AA505" s="3" t="str">
        <f ca="1">IF($C505&lt;&gt;"",INDEX('Team Indirect'!$F:$F,MATCH($C505,'Team Indirect'!$A:$A,0)),"")</f>
        <v/>
      </c>
      <c r="AB505" s="3" t="str">
        <f t="shared" ca="1" si="7"/>
        <v/>
      </c>
      <c r="AC505" s="3">
        <f ca="1">IF(OR(AllocationUnits="Stories", AllocationUnits="Points"),'Work Indirect'!F505,F505/MAX('Work Indirect'!AB505,1))</f>
        <v>1</v>
      </c>
    </row>
    <row r="506" spans="1:29"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7" t="str">
        <f ca="1">IF(OFFSET('4. Work'!$A$1,ROW(D506)-1,COLUMN(D506)-1)="","",OFFSET('4. Work'!$A$1,ROW(D506)-1,COLUMN(D506)-1))</f>
        <v/>
      </c>
      <c r="E506" s="147"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I506" s="3" t="str">
        <f ca="1">IF(OFFSET('4. Work'!$A$1,ROW(I506)-1,COLUMN(I506)-1)="","",OFFSET('4. Work'!$A$1,ROW(I506)-1,COLUMN(I506)-1))</f>
        <v/>
      </c>
      <c r="T506" s="3" t="str">
        <f ca="1">IF(A506&lt;&gt;"",MAX('Initiative Indirect'!$T:$T)+(ROW(A506)-1),"")</f>
        <v/>
      </c>
      <c r="U506" s="3" t="str">
        <f ca="1">IF(B506&lt;&gt;"",INDEX('Initiative Indirect'!$T:$T,MATCH(B506,'Initiative Indirect'!$A:$A,0)),"")</f>
        <v/>
      </c>
      <c r="V506" s="3" t="str">
        <f ca="1">IF(C506&lt;&gt;"",INDEX('Team Indirect'!$T:$T,MATCH(C506,'Team Indirect'!$A:$A,0)),"")</f>
        <v/>
      </c>
      <c r="W506" s="3"/>
      <c r="X506" s="3"/>
      <c r="Y506" s="3" t="str">
        <f ca="1">IF($C506&lt;&gt;"",INDEX('Team Indirect'!$D:$D,MATCH($C506,'Team Indirect'!$A:$A,0)),"")</f>
        <v/>
      </c>
      <c r="Z506" s="3" t="str">
        <f ca="1">IF($C506&lt;&gt;"",INDEX('Team Indirect'!$E:$E,MATCH($C506,'Team Indirect'!$A:$A,0)),"")</f>
        <v/>
      </c>
      <c r="AA506" s="3" t="str">
        <f ca="1">IF($C506&lt;&gt;"",INDEX('Team Indirect'!$F:$F,MATCH($C506,'Team Indirect'!$A:$A,0)),"")</f>
        <v/>
      </c>
      <c r="AB506" s="3" t="str">
        <f t="shared" ca="1" si="7"/>
        <v/>
      </c>
      <c r="AC506" s="3">
        <f ca="1">IF(OR(AllocationUnits="Stories", AllocationUnits="Points"),'Work Indirect'!F506,F506/MAX('Work Indirect'!AB506,1))</f>
        <v>1</v>
      </c>
    </row>
    <row r="507" spans="1:29"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7" t="str">
        <f ca="1">IF(OFFSET('4. Work'!$A$1,ROW(D507)-1,COLUMN(D507)-1)="","",OFFSET('4. Work'!$A$1,ROW(D507)-1,COLUMN(D507)-1))</f>
        <v/>
      </c>
      <c r="E507" s="147"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I507" s="3" t="str">
        <f ca="1">IF(OFFSET('4. Work'!$A$1,ROW(I507)-1,COLUMN(I507)-1)="","",OFFSET('4. Work'!$A$1,ROW(I507)-1,COLUMN(I507)-1))</f>
        <v/>
      </c>
      <c r="T507" s="3" t="str">
        <f ca="1">IF(A507&lt;&gt;"",MAX('Initiative Indirect'!$T:$T)+(ROW(A507)-1),"")</f>
        <v/>
      </c>
      <c r="U507" s="3" t="str">
        <f ca="1">IF(B507&lt;&gt;"",INDEX('Initiative Indirect'!$T:$T,MATCH(B507,'Initiative Indirect'!$A:$A,0)),"")</f>
        <v/>
      </c>
      <c r="V507" s="3" t="str">
        <f ca="1">IF(C507&lt;&gt;"",INDEX('Team Indirect'!$T:$T,MATCH(C507,'Team Indirect'!$A:$A,0)),"")</f>
        <v/>
      </c>
      <c r="W507" s="3"/>
      <c r="X507" s="3"/>
      <c r="Y507" s="3" t="str">
        <f ca="1">IF($C507&lt;&gt;"",INDEX('Team Indirect'!$D:$D,MATCH($C507,'Team Indirect'!$A:$A,0)),"")</f>
        <v/>
      </c>
      <c r="Z507" s="3" t="str">
        <f ca="1">IF($C507&lt;&gt;"",INDEX('Team Indirect'!$E:$E,MATCH($C507,'Team Indirect'!$A:$A,0)),"")</f>
        <v/>
      </c>
      <c r="AA507" s="3" t="str">
        <f ca="1">IF($C507&lt;&gt;"",INDEX('Team Indirect'!$F:$F,MATCH($C507,'Team Indirect'!$A:$A,0)),"")</f>
        <v/>
      </c>
      <c r="AB507" s="3" t="str">
        <f t="shared" ca="1" si="7"/>
        <v/>
      </c>
      <c r="AC507" s="3">
        <f ca="1">IF(OR(AllocationUnits="Stories", AllocationUnits="Points"),'Work Indirect'!F507,F507/MAX('Work Indirect'!AB507,1))</f>
        <v>1</v>
      </c>
    </row>
    <row r="508" spans="1:29"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7" t="str">
        <f ca="1">IF(OFFSET('4. Work'!$A$1,ROW(D508)-1,COLUMN(D508)-1)="","",OFFSET('4. Work'!$A$1,ROW(D508)-1,COLUMN(D508)-1))</f>
        <v/>
      </c>
      <c r="E508" s="147"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I508" s="3" t="str">
        <f ca="1">IF(OFFSET('4. Work'!$A$1,ROW(I508)-1,COLUMN(I508)-1)="","",OFFSET('4. Work'!$A$1,ROW(I508)-1,COLUMN(I508)-1))</f>
        <v/>
      </c>
      <c r="T508" s="3" t="str">
        <f ca="1">IF(A508&lt;&gt;"",MAX('Initiative Indirect'!$T:$T)+(ROW(A508)-1),"")</f>
        <v/>
      </c>
      <c r="U508" s="3" t="str">
        <f ca="1">IF(B508&lt;&gt;"",INDEX('Initiative Indirect'!$T:$T,MATCH(B508,'Initiative Indirect'!$A:$A,0)),"")</f>
        <v/>
      </c>
      <c r="V508" s="3" t="str">
        <f ca="1">IF(C508&lt;&gt;"",INDEX('Team Indirect'!$T:$T,MATCH(C508,'Team Indirect'!$A:$A,0)),"")</f>
        <v/>
      </c>
      <c r="W508" s="3"/>
      <c r="X508" s="3"/>
      <c r="Y508" s="3" t="str">
        <f ca="1">IF($C508&lt;&gt;"",INDEX('Team Indirect'!$D:$D,MATCH($C508,'Team Indirect'!$A:$A,0)),"")</f>
        <v/>
      </c>
      <c r="Z508" s="3" t="str">
        <f ca="1">IF($C508&lt;&gt;"",INDEX('Team Indirect'!$E:$E,MATCH($C508,'Team Indirect'!$A:$A,0)),"")</f>
        <v/>
      </c>
      <c r="AA508" s="3" t="str">
        <f ca="1">IF($C508&lt;&gt;"",INDEX('Team Indirect'!$F:$F,MATCH($C508,'Team Indirect'!$A:$A,0)),"")</f>
        <v/>
      </c>
      <c r="AB508" s="3" t="str">
        <f t="shared" ca="1" si="7"/>
        <v/>
      </c>
      <c r="AC508" s="3">
        <f ca="1">IF(OR(AllocationUnits="Stories", AllocationUnits="Points"),'Work Indirect'!F508,F508/MAX('Work Indirect'!AB508,1))</f>
        <v>1</v>
      </c>
    </row>
    <row r="509" spans="1:29"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7" t="str">
        <f ca="1">IF(OFFSET('4. Work'!$A$1,ROW(D509)-1,COLUMN(D509)-1)="","",OFFSET('4. Work'!$A$1,ROW(D509)-1,COLUMN(D509)-1))</f>
        <v/>
      </c>
      <c r="E509" s="147"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I509" s="3" t="str">
        <f ca="1">IF(OFFSET('4. Work'!$A$1,ROW(I509)-1,COLUMN(I509)-1)="","",OFFSET('4. Work'!$A$1,ROW(I509)-1,COLUMN(I509)-1))</f>
        <v/>
      </c>
      <c r="T509" s="3" t="str">
        <f ca="1">IF(A509&lt;&gt;"",MAX('Initiative Indirect'!$T:$T)+(ROW(A509)-1),"")</f>
        <v/>
      </c>
      <c r="U509" s="3" t="str">
        <f ca="1">IF(B509&lt;&gt;"",INDEX('Initiative Indirect'!$T:$T,MATCH(B509,'Initiative Indirect'!$A:$A,0)),"")</f>
        <v/>
      </c>
      <c r="V509" s="3" t="str">
        <f ca="1">IF(C509&lt;&gt;"",INDEX('Team Indirect'!$T:$T,MATCH(C509,'Team Indirect'!$A:$A,0)),"")</f>
        <v/>
      </c>
      <c r="W509" s="3"/>
      <c r="X509" s="3"/>
      <c r="Y509" s="3" t="str">
        <f ca="1">IF($C509&lt;&gt;"",INDEX('Team Indirect'!$D:$D,MATCH($C509,'Team Indirect'!$A:$A,0)),"")</f>
        <v/>
      </c>
      <c r="Z509" s="3" t="str">
        <f ca="1">IF($C509&lt;&gt;"",INDEX('Team Indirect'!$E:$E,MATCH($C509,'Team Indirect'!$A:$A,0)),"")</f>
        <v/>
      </c>
      <c r="AA509" s="3" t="str">
        <f ca="1">IF($C509&lt;&gt;"",INDEX('Team Indirect'!$F:$F,MATCH($C509,'Team Indirect'!$A:$A,0)),"")</f>
        <v/>
      </c>
      <c r="AB509" s="3" t="str">
        <f t="shared" ca="1" si="7"/>
        <v/>
      </c>
      <c r="AC509" s="3">
        <f ca="1">IF(OR(AllocationUnits="Stories", AllocationUnits="Points"),'Work Indirect'!F509,F509/MAX('Work Indirect'!AB509,1))</f>
        <v>1</v>
      </c>
    </row>
    <row r="510" spans="1:29"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7" t="str">
        <f ca="1">IF(OFFSET('4. Work'!$A$1,ROW(D510)-1,COLUMN(D510)-1)="","",OFFSET('4. Work'!$A$1,ROW(D510)-1,COLUMN(D510)-1))</f>
        <v/>
      </c>
      <c r="E510" s="147"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I510" s="3" t="str">
        <f ca="1">IF(OFFSET('4. Work'!$A$1,ROW(I510)-1,COLUMN(I510)-1)="","",OFFSET('4. Work'!$A$1,ROW(I510)-1,COLUMN(I510)-1))</f>
        <v/>
      </c>
      <c r="T510" s="3" t="str">
        <f ca="1">IF(A510&lt;&gt;"",MAX('Initiative Indirect'!$T:$T)+(ROW(A510)-1),"")</f>
        <v/>
      </c>
      <c r="U510" s="3" t="str">
        <f ca="1">IF(B510&lt;&gt;"",INDEX('Initiative Indirect'!$T:$T,MATCH(B510,'Initiative Indirect'!$A:$A,0)),"")</f>
        <v/>
      </c>
      <c r="V510" s="3" t="str">
        <f ca="1">IF(C510&lt;&gt;"",INDEX('Team Indirect'!$T:$T,MATCH(C510,'Team Indirect'!$A:$A,0)),"")</f>
        <v/>
      </c>
      <c r="W510" s="3"/>
      <c r="X510" s="3"/>
      <c r="Y510" s="3" t="str">
        <f ca="1">IF($C510&lt;&gt;"",INDEX('Team Indirect'!$D:$D,MATCH($C510,'Team Indirect'!$A:$A,0)),"")</f>
        <v/>
      </c>
      <c r="Z510" s="3" t="str">
        <f ca="1">IF($C510&lt;&gt;"",INDEX('Team Indirect'!$E:$E,MATCH($C510,'Team Indirect'!$A:$A,0)),"")</f>
        <v/>
      </c>
      <c r="AA510" s="3" t="str">
        <f ca="1">IF($C510&lt;&gt;"",INDEX('Team Indirect'!$F:$F,MATCH($C510,'Team Indirect'!$A:$A,0)),"")</f>
        <v/>
      </c>
      <c r="AB510" s="3" t="str">
        <f t="shared" ca="1" si="7"/>
        <v/>
      </c>
      <c r="AC510" s="3">
        <f ca="1">IF(OR(AllocationUnits="Stories", AllocationUnits="Points"),'Work Indirect'!F510,F510/MAX('Work Indirect'!AB510,1))</f>
        <v>1</v>
      </c>
    </row>
    <row r="511" spans="1:29"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7" t="str">
        <f ca="1">IF(OFFSET('4. Work'!$A$1,ROW(D511)-1,COLUMN(D511)-1)="","",OFFSET('4. Work'!$A$1,ROW(D511)-1,COLUMN(D511)-1))</f>
        <v/>
      </c>
      <c r="E511" s="147"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I511" s="3" t="str">
        <f ca="1">IF(OFFSET('4. Work'!$A$1,ROW(I511)-1,COLUMN(I511)-1)="","",OFFSET('4. Work'!$A$1,ROW(I511)-1,COLUMN(I511)-1))</f>
        <v/>
      </c>
      <c r="T511" s="3" t="str">
        <f ca="1">IF(A511&lt;&gt;"",MAX('Initiative Indirect'!$T:$T)+(ROW(A511)-1),"")</f>
        <v/>
      </c>
      <c r="U511" s="3" t="str">
        <f ca="1">IF(B511&lt;&gt;"",INDEX('Initiative Indirect'!$T:$T,MATCH(B511,'Initiative Indirect'!$A:$A,0)),"")</f>
        <v/>
      </c>
      <c r="V511" s="3" t="str">
        <f ca="1">IF(C511&lt;&gt;"",INDEX('Team Indirect'!$T:$T,MATCH(C511,'Team Indirect'!$A:$A,0)),"")</f>
        <v/>
      </c>
      <c r="W511" s="3"/>
      <c r="X511" s="3"/>
      <c r="Y511" s="3" t="str">
        <f ca="1">IF($C511&lt;&gt;"",INDEX('Team Indirect'!$D:$D,MATCH($C511,'Team Indirect'!$A:$A,0)),"")</f>
        <v/>
      </c>
      <c r="Z511" s="3" t="str">
        <f ca="1">IF($C511&lt;&gt;"",INDEX('Team Indirect'!$E:$E,MATCH($C511,'Team Indirect'!$A:$A,0)),"")</f>
        <v/>
      </c>
      <c r="AA511" s="3" t="str">
        <f ca="1">IF($C511&lt;&gt;"",INDEX('Team Indirect'!$F:$F,MATCH($C511,'Team Indirect'!$A:$A,0)),"")</f>
        <v/>
      </c>
      <c r="AB511" s="3" t="str">
        <f t="shared" ca="1" si="7"/>
        <v/>
      </c>
      <c r="AC511" s="3">
        <f ca="1">IF(OR(AllocationUnits="Stories", AllocationUnits="Points"),'Work Indirect'!F511,F511/MAX('Work Indirect'!AB511,1))</f>
        <v>1</v>
      </c>
    </row>
    <row r="512" spans="1:29"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7" t="str">
        <f ca="1">IF(OFFSET('4. Work'!$A$1,ROW(D512)-1,COLUMN(D512)-1)="","",OFFSET('4. Work'!$A$1,ROW(D512)-1,COLUMN(D512)-1))</f>
        <v/>
      </c>
      <c r="E512" s="147"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I512" s="3" t="str">
        <f ca="1">IF(OFFSET('4. Work'!$A$1,ROW(I512)-1,COLUMN(I512)-1)="","",OFFSET('4. Work'!$A$1,ROW(I512)-1,COLUMN(I512)-1))</f>
        <v/>
      </c>
      <c r="T512" s="3" t="str">
        <f ca="1">IF(A512&lt;&gt;"",MAX('Initiative Indirect'!$T:$T)+(ROW(A512)-1),"")</f>
        <v/>
      </c>
      <c r="U512" s="3" t="str">
        <f ca="1">IF(B512&lt;&gt;"",INDEX('Initiative Indirect'!$T:$T,MATCH(B512,'Initiative Indirect'!$A:$A,0)),"")</f>
        <v/>
      </c>
      <c r="V512" s="3" t="str">
        <f ca="1">IF(C512&lt;&gt;"",INDEX('Team Indirect'!$T:$T,MATCH(C512,'Team Indirect'!$A:$A,0)),"")</f>
        <v/>
      </c>
      <c r="W512" s="3"/>
      <c r="X512" s="3"/>
      <c r="Y512" s="3" t="str">
        <f ca="1">IF($C512&lt;&gt;"",INDEX('Team Indirect'!$D:$D,MATCH($C512,'Team Indirect'!$A:$A,0)),"")</f>
        <v/>
      </c>
      <c r="Z512" s="3" t="str">
        <f ca="1">IF($C512&lt;&gt;"",INDEX('Team Indirect'!$E:$E,MATCH($C512,'Team Indirect'!$A:$A,0)),"")</f>
        <v/>
      </c>
      <c r="AA512" s="3" t="str">
        <f ca="1">IF($C512&lt;&gt;"",INDEX('Team Indirect'!$F:$F,MATCH($C512,'Team Indirect'!$A:$A,0)),"")</f>
        <v/>
      </c>
      <c r="AB512" s="3" t="str">
        <f t="shared" ca="1" si="7"/>
        <v/>
      </c>
      <c r="AC512" s="3">
        <f ca="1">IF(OR(AllocationUnits="Stories", AllocationUnits="Points"),'Work Indirect'!F512,F512/MAX('Work Indirect'!AB512,1))</f>
        <v>1</v>
      </c>
    </row>
    <row r="513" spans="1:29"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7" t="str">
        <f ca="1">IF(OFFSET('4. Work'!$A$1,ROW(D513)-1,COLUMN(D513)-1)="","",OFFSET('4. Work'!$A$1,ROW(D513)-1,COLUMN(D513)-1))</f>
        <v/>
      </c>
      <c r="E513" s="147"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I513" s="3" t="str">
        <f ca="1">IF(OFFSET('4. Work'!$A$1,ROW(I513)-1,COLUMN(I513)-1)="","",OFFSET('4. Work'!$A$1,ROW(I513)-1,COLUMN(I513)-1))</f>
        <v/>
      </c>
      <c r="T513" s="3" t="str">
        <f ca="1">IF(A513&lt;&gt;"",MAX('Initiative Indirect'!$T:$T)+(ROW(A513)-1),"")</f>
        <v/>
      </c>
      <c r="U513" s="3" t="str">
        <f ca="1">IF(B513&lt;&gt;"",INDEX('Initiative Indirect'!$T:$T,MATCH(B513,'Initiative Indirect'!$A:$A,0)),"")</f>
        <v/>
      </c>
      <c r="V513" s="3" t="str">
        <f ca="1">IF(C513&lt;&gt;"",INDEX('Team Indirect'!$T:$T,MATCH(C513,'Team Indirect'!$A:$A,0)),"")</f>
        <v/>
      </c>
      <c r="W513" s="3"/>
      <c r="X513" s="3"/>
      <c r="Y513" s="3" t="str">
        <f ca="1">IF($C513&lt;&gt;"",INDEX('Team Indirect'!$D:$D,MATCH($C513,'Team Indirect'!$A:$A,0)),"")</f>
        <v/>
      </c>
      <c r="Z513" s="3" t="str">
        <f ca="1">IF($C513&lt;&gt;"",INDEX('Team Indirect'!$E:$E,MATCH($C513,'Team Indirect'!$A:$A,0)),"")</f>
        <v/>
      </c>
      <c r="AA513" s="3" t="str">
        <f ca="1">IF($C513&lt;&gt;"",INDEX('Team Indirect'!$F:$F,MATCH($C513,'Team Indirect'!$A:$A,0)),"")</f>
        <v/>
      </c>
      <c r="AB513" s="3" t="str">
        <f t="shared" ca="1" si="7"/>
        <v/>
      </c>
      <c r="AC513" s="3">
        <f ca="1">IF(OR(AllocationUnits="Stories", AllocationUnits="Points"),'Work Indirect'!F513,F513/MAX('Work Indirect'!AB513,1))</f>
        <v>1</v>
      </c>
    </row>
    <row r="514" spans="1:29"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7" t="str">
        <f ca="1">IF(OFFSET('4. Work'!$A$1,ROW(D514)-1,COLUMN(D514)-1)="","",OFFSET('4. Work'!$A$1,ROW(D514)-1,COLUMN(D514)-1))</f>
        <v/>
      </c>
      <c r="E514" s="147"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I514" s="3" t="str">
        <f ca="1">IF(OFFSET('4. Work'!$A$1,ROW(I514)-1,COLUMN(I514)-1)="","",OFFSET('4. Work'!$A$1,ROW(I514)-1,COLUMN(I514)-1))</f>
        <v/>
      </c>
      <c r="T514" s="3" t="str">
        <f ca="1">IF(A514&lt;&gt;"",MAX('Initiative Indirect'!$T:$T)+(ROW(A514)-1),"")</f>
        <v/>
      </c>
      <c r="U514" s="3" t="str">
        <f ca="1">IF(B514&lt;&gt;"",INDEX('Initiative Indirect'!$T:$T,MATCH(B514,'Initiative Indirect'!$A:$A,0)),"")</f>
        <v/>
      </c>
      <c r="V514" s="3" t="str">
        <f ca="1">IF(C514&lt;&gt;"",INDEX('Team Indirect'!$T:$T,MATCH(C514,'Team Indirect'!$A:$A,0)),"")</f>
        <v/>
      </c>
      <c r="W514" s="3"/>
      <c r="X514" s="3"/>
      <c r="Y514" s="3" t="str">
        <f ca="1">IF($C514&lt;&gt;"",INDEX('Team Indirect'!$D:$D,MATCH($C514,'Team Indirect'!$A:$A,0)),"")</f>
        <v/>
      </c>
      <c r="Z514" s="3" t="str">
        <f ca="1">IF($C514&lt;&gt;"",INDEX('Team Indirect'!$E:$E,MATCH($C514,'Team Indirect'!$A:$A,0)),"")</f>
        <v/>
      </c>
      <c r="AA514" s="3" t="str">
        <f ca="1">IF($C514&lt;&gt;"",INDEX('Team Indirect'!$F:$F,MATCH($C514,'Team Indirect'!$A:$A,0)),"")</f>
        <v/>
      </c>
      <c r="AB514" s="3" t="str">
        <f t="shared" ref="AB514:AB577" ca="1" si="8">IF(AND(Y514&lt;&gt;"",Z514&lt;&gt;""),Y514+((Z514-Y514)*(1-MAX(0,AA514))*(1-Probability)),"")</f>
        <v/>
      </c>
      <c r="AC514" s="3">
        <f ca="1">IF(OR(AllocationUnits="Stories", AllocationUnits="Points"),'Work Indirect'!F514,F514/MAX('Work Indirect'!AB514,1))</f>
        <v>1</v>
      </c>
    </row>
    <row r="515" spans="1:29"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7" t="str">
        <f ca="1">IF(OFFSET('4. Work'!$A$1,ROW(D515)-1,COLUMN(D515)-1)="","",OFFSET('4. Work'!$A$1,ROW(D515)-1,COLUMN(D515)-1))</f>
        <v/>
      </c>
      <c r="E515" s="147"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I515" s="3" t="str">
        <f ca="1">IF(OFFSET('4. Work'!$A$1,ROW(I515)-1,COLUMN(I515)-1)="","",OFFSET('4. Work'!$A$1,ROW(I515)-1,COLUMN(I515)-1))</f>
        <v/>
      </c>
      <c r="T515" s="3" t="str">
        <f ca="1">IF(A515&lt;&gt;"",MAX('Initiative Indirect'!$T:$T)+(ROW(A515)-1),"")</f>
        <v/>
      </c>
      <c r="U515" s="3" t="str">
        <f ca="1">IF(B515&lt;&gt;"",INDEX('Initiative Indirect'!$T:$T,MATCH(B515,'Initiative Indirect'!$A:$A,0)),"")</f>
        <v/>
      </c>
      <c r="V515" s="3" t="str">
        <f ca="1">IF(C515&lt;&gt;"",INDEX('Team Indirect'!$T:$T,MATCH(C515,'Team Indirect'!$A:$A,0)),"")</f>
        <v/>
      </c>
      <c r="W515" s="3"/>
      <c r="X515" s="3"/>
      <c r="Y515" s="3" t="str">
        <f ca="1">IF($C515&lt;&gt;"",INDEX('Team Indirect'!$D:$D,MATCH($C515,'Team Indirect'!$A:$A,0)),"")</f>
        <v/>
      </c>
      <c r="Z515" s="3" t="str">
        <f ca="1">IF($C515&lt;&gt;"",INDEX('Team Indirect'!$E:$E,MATCH($C515,'Team Indirect'!$A:$A,0)),"")</f>
        <v/>
      </c>
      <c r="AA515" s="3" t="str">
        <f ca="1">IF($C515&lt;&gt;"",INDEX('Team Indirect'!$F:$F,MATCH($C515,'Team Indirect'!$A:$A,0)),"")</f>
        <v/>
      </c>
      <c r="AB515" s="3" t="str">
        <f t="shared" ca="1" si="8"/>
        <v/>
      </c>
      <c r="AC515" s="3">
        <f ca="1">IF(OR(AllocationUnits="Stories", AllocationUnits="Points"),'Work Indirect'!F515,F515/MAX('Work Indirect'!AB515,1))</f>
        <v>1</v>
      </c>
    </row>
    <row r="516" spans="1:29"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7" t="str">
        <f ca="1">IF(OFFSET('4. Work'!$A$1,ROW(D516)-1,COLUMN(D516)-1)="","",OFFSET('4. Work'!$A$1,ROW(D516)-1,COLUMN(D516)-1))</f>
        <v/>
      </c>
      <c r="E516" s="147"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I516" s="3" t="str">
        <f ca="1">IF(OFFSET('4. Work'!$A$1,ROW(I516)-1,COLUMN(I516)-1)="","",OFFSET('4. Work'!$A$1,ROW(I516)-1,COLUMN(I516)-1))</f>
        <v/>
      </c>
      <c r="T516" s="3" t="str">
        <f ca="1">IF(A516&lt;&gt;"",MAX('Initiative Indirect'!$T:$T)+(ROW(A516)-1),"")</f>
        <v/>
      </c>
      <c r="U516" s="3" t="str">
        <f ca="1">IF(B516&lt;&gt;"",INDEX('Initiative Indirect'!$T:$T,MATCH(B516,'Initiative Indirect'!$A:$A,0)),"")</f>
        <v/>
      </c>
      <c r="V516" s="3" t="str">
        <f ca="1">IF(C516&lt;&gt;"",INDEX('Team Indirect'!$T:$T,MATCH(C516,'Team Indirect'!$A:$A,0)),"")</f>
        <v/>
      </c>
      <c r="W516" s="3"/>
      <c r="X516" s="3"/>
      <c r="Y516" s="3" t="str">
        <f ca="1">IF($C516&lt;&gt;"",INDEX('Team Indirect'!$D:$D,MATCH($C516,'Team Indirect'!$A:$A,0)),"")</f>
        <v/>
      </c>
      <c r="Z516" s="3" t="str">
        <f ca="1">IF($C516&lt;&gt;"",INDEX('Team Indirect'!$E:$E,MATCH($C516,'Team Indirect'!$A:$A,0)),"")</f>
        <v/>
      </c>
      <c r="AA516" s="3" t="str">
        <f ca="1">IF($C516&lt;&gt;"",INDEX('Team Indirect'!$F:$F,MATCH($C516,'Team Indirect'!$A:$A,0)),"")</f>
        <v/>
      </c>
      <c r="AB516" s="3" t="str">
        <f t="shared" ca="1" si="8"/>
        <v/>
      </c>
      <c r="AC516" s="3">
        <f ca="1">IF(OR(AllocationUnits="Stories", AllocationUnits="Points"),'Work Indirect'!F516,F516/MAX('Work Indirect'!AB516,1))</f>
        <v>1</v>
      </c>
    </row>
    <row r="517" spans="1:29"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7" t="str">
        <f ca="1">IF(OFFSET('4. Work'!$A$1,ROW(D517)-1,COLUMN(D517)-1)="","",OFFSET('4. Work'!$A$1,ROW(D517)-1,COLUMN(D517)-1))</f>
        <v/>
      </c>
      <c r="E517" s="147"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I517" s="3" t="str">
        <f ca="1">IF(OFFSET('4. Work'!$A$1,ROW(I517)-1,COLUMN(I517)-1)="","",OFFSET('4. Work'!$A$1,ROW(I517)-1,COLUMN(I517)-1))</f>
        <v/>
      </c>
      <c r="T517" s="3" t="str">
        <f ca="1">IF(A517&lt;&gt;"",MAX('Initiative Indirect'!$T:$T)+(ROW(A517)-1),"")</f>
        <v/>
      </c>
      <c r="U517" s="3" t="str">
        <f ca="1">IF(B517&lt;&gt;"",INDEX('Initiative Indirect'!$T:$T,MATCH(B517,'Initiative Indirect'!$A:$A,0)),"")</f>
        <v/>
      </c>
      <c r="V517" s="3" t="str">
        <f ca="1">IF(C517&lt;&gt;"",INDEX('Team Indirect'!$T:$T,MATCH(C517,'Team Indirect'!$A:$A,0)),"")</f>
        <v/>
      </c>
      <c r="W517" s="3"/>
      <c r="X517" s="3"/>
      <c r="Y517" s="3" t="str">
        <f ca="1">IF($C517&lt;&gt;"",INDEX('Team Indirect'!$D:$D,MATCH($C517,'Team Indirect'!$A:$A,0)),"")</f>
        <v/>
      </c>
      <c r="Z517" s="3" t="str">
        <f ca="1">IF($C517&lt;&gt;"",INDEX('Team Indirect'!$E:$E,MATCH($C517,'Team Indirect'!$A:$A,0)),"")</f>
        <v/>
      </c>
      <c r="AA517" s="3" t="str">
        <f ca="1">IF($C517&lt;&gt;"",INDEX('Team Indirect'!$F:$F,MATCH($C517,'Team Indirect'!$A:$A,0)),"")</f>
        <v/>
      </c>
      <c r="AB517" s="3" t="str">
        <f t="shared" ca="1" si="8"/>
        <v/>
      </c>
      <c r="AC517" s="3">
        <f ca="1">IF(OR(AllocationUnits="Stories", AllocationUnits="Points"),'Work Indirect'!F517,F517/MAX('Work Indirect'!AB517,1))</f>
        <v>1</v>
      </c>
    </row>
    <row r="518" spans="1:29"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7" t="str">
        <f ca="1">IF(OFFSET('4. Work'!$A$1,ROW(D518)-1,COLUMN(D518)-1)="","",OFFSET('4. Work'!$A$1,ROW(D518)-1,COLUMN(D518)-1))</f>
        <v/>
      </c>
      <c r="E518" s="147"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I518" s="3" t="str">
        <f ca="1">IF(OFFSET('4. Work'!$A$1,ROW(I518)-1,COLUMN(I518)-1)="","",OFFSET('4. Work'!$A$1,ROW(I518)-1,COLUMN(I518)-1))</f>
        <v/>
      </c>
      <c r="T518" s="3" t="str">
        <f ca="1">IF(A518&lt;&gt;"",MAX('Initiative Indirect'!$T:$T)+(ROW(A518)-1),"")</f>
        <v/>
      </c>
      <c r="U518" s="3" t="str">
        <f ca="1">IF(B518&lt;&gt;"",INDEX('Initiative Indirect'!$T:$T,MATCH(B518,'Initiative Indirect'!$A:$A,0)),"")</f>
        <v/>
      </c>
      <c r="V518" s="3" t="str">
        <f ca="1">IF(C518&lt;&gt;"",INDEX('Team Indirect'!$T:$T,MATCH(C518,'Team Indirect'!$A:$A,0)),"")</f>
        <v/>
      </c>
      <c r="W518" s="3"/>
      <c r="X518" s="3"/>
      <c r="Y518" s="3" t="str">
        <f ca="1">IF($C518&lt;&gt;"",INDEX('Team Indirect'!$D:$D,MATCH($C518,'Team Indirect'!$A:$A,0)),"")</f>
        <v/>
      </c>
      <c r="Z518" s="3" t="str">
        <f ca="1">IF($C518&lt;&gt;"",INDEX('Team Indirect'!$E:$E,MATCH($C518,'Team Indirect'!$A:$A,0)),"")</f>
        <v/>
      </c>
      <c r="AA518" s="3" t="str">
        <f ca="1">IF($C518&lt;&gt;"",INDEX('Team Indirect'!$F:$F,MATCH($C518,'Team Indirect'!$A:$A,0)),"")</f>
        <v/>
      </c>
      <c r="AB518" s="3" t="str">
        <f t="shared" ca="1" si="8"/>
        <v/>
      </c>
      <c r="AC518" s="3">
        <f ca="1">IF(OR(AllocationUnits="Stories", AllocationUnits="Points"),'Work Indirect'!F518,F518/MAX('Work Indirect'!AB518,1))</f>
        <v>1</v>
      </c>
    </row>
    <row r="519" spans="1:29"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7" t="str">
        <f ca="1">IF(OFFSET('4. Work'!$A$1,ROW(D519)-1,COLUMN(D519)-1)="","",OFFSET('4. Work'!$A$1,ROW(D519)-1,COLUMN(D519)-1))</f>
        <v/>
      </c>
      <c r="E519" s="147"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I519" s="3" t="str">
        <f ca="1">IF(OFFSET('4. Work'!$A$1,ROW(I519)-1,COLUMN(I519)-1)="","",OFFSET('4. Work'!$A$1,ROW(I519)-1,COLUMN(I519)-1))</f>
        <v/>
      </c>
      <c r="T519" s="3" t="str">
        <f ca="1">IF(A519&lt;&gt;"",MAX('Initiative Indirect'!$T:$T)+(ROW(A519)-1),"")</f>
        <v/>
      </c>
      <c r="U519" s="3" t="str">
        <f ca="1">IF(B519&lt;&gt;"",INDEX('Initiative Indirect'!$T:$T,MATCH(B519,'Initiative Indirect'!$A:$A,0)),"")</f>
        <v/>
      </c>
      <c r="V519" s="3" t="str">
        <f ca="1">IF(C519&lt;&gt;"",INDEX('Team Indirect'!$T:$T,MATCH(C519,'Team Indirect'!$A:$A,0)),"")</f>
        <v/>
      </c>
      <c r="W519" s="3"/>
      <c r="X519" s="3"/>
      <c r="Y519" s="3" t="str">
        <f ca="1">IF($C519&lt;&gt;"",INDEX('Team Indirect'!$D:$D,MATCH($C519,'Team Indirect'!$A:$A,0)),"")</f>
        <v/>
      </c>
      <c r="Z519" s="3" t="str">
        <f ca="1">IF($C519&lt;&gt;"",INDEX('Team Indirect'!$E:$E,MATCH($C519,'Team Indirect'!$A:$A,0)),"")</f>
        <v/>
      </c>
      <c r="AA519" s="3" t="str">
        <f ca="1">IF($C519&lt;&gt;"",INDEX('Team Indirect'!$F:$F,MATCH($C519,'Team Indirect'!$A:$A,0)),"")</f>
        <v/>
      </c>
      <c r="AB519" s="3" t="str">
        <f t="shared" ca="1" si="8"/>
        <v/>
      </c>
      <c r="AC519" s="3">
        <f ca="1">IF(OR(AllocationUnits="Stories", AllocationUnits="Points"),'Work Indirect'!F519,F519/MAX('Work Indirect'!AB519,1))</f>
        <v>1</v>
      </c>
    </row>
    <row r="520" spans="1:29"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7" t="str">
        <f ca="1">IF(OFFSET('4. Work'!$A$1,ROW(D520)-1,COLUMN(D520)-1)="","",OFFSET('4. Work'!$A$1,ROW(D520)-1,COLUMN(D520)-1))</f>
        <v/>
      </c>
      <c r="E520" s="147"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I520" s="3" t="str">
        <f ca="1">IF(OFFSET('4. Work'!$A$1,ROW(I520)-1,COLUMN(I520)-1)="","",OFFSET('4. Work'!$A$1,ROW(I520)-1,COLUMN(I520)-1))</f>
        <v/>
      </c>
      <c r="T520" s="3" t="str">
        <f ca="1">IF(A520&lt;&gt;"",MAX('Initiative Indirect'!$T:$T)+(ROW(A520)-1),"")</f>
        <v/>
      </c>
      <c r="U520" s="3" t="str">
        <f ca="1">IF(B520&lt;&gt;"",INDEX('Initiative Indirect'!$T:$T,MATCH(B520,'Initiative Indirect'!$A:$A,0)),"")</f>
        <v/>
      </c>
      <c r="V520" s="3" t="str">
        <f ca="1">IF(C520&lt;&gt;"",INDEX('Team Indirect'!$T:$T,MATCH(C520,'Team Indirect'!$A:$A,0)),"")</f>
        <v/>
      </c>
      <c r="W520" s="3"/>
      <c r="X520" s="3"/>
      <c r="Y520" s="3" t="str">
        <f ca="1">IF($C520&lt;&gt;"",INDEX('Team Indirect'!$D:$D,MATCH($C520,'Team Indirect'!$A:$A,0)),"")</f>
        <v/>
      </c>
      <c r="Z520" s="3" t="str">
        <f ca="1">IF($C520&lt;&gt;"",INDEX('Team Indirect'!$E:$E,MATCH($C520,'Team Indirect'!$A:$A,0)),"")</f>
        <v/>
      </c>
      <c r="AA520" s="3" t="str">
        <f ca="1">IF($C520&lt;&gt;"",INDEX('Team Indirect'!$F:$F,MATCH($C520,'Team Indirect'!$A:$A,0)),"")</f>
        <v/>
      </c>
      <c r="AB520" s="3" t="str">
        <f t="shared" ca="1" si="8"/>
        <v/>
      </c>
      <c r="AC520" s="3">
        <f ca="1">IF(OR(AllocationUnits="Stories", AllocationUnits="Points"),'Work Indirect'!F520,F520/MAX('Work Indirect'!AB520,1))</f>
        <v>1</v>
      </c>
    </row>
    <row r="521" spans="1:29"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7" t="str">
        <f ca="1">IF(OFFSET('4. Work'!$A$1,ROW(D521)-1,COLUMN(D521)-1)="","",OFFSET('4. Work'!$A$1,ROW(D521)-1,COLUMN(D521)-1))</f>
        <v/>
      </c>
      <c r="E521" s="147"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I521" s="3" t="str">
        <f ca="1">IF(OFFSET('4. Work'!$A$1,ROW(I521)-1,COLUMN(I521)-1)="","",OFFSET('4. Work'!$A$1,ROW(I521)-1,COLUMN(I521)-1))</f>
        <v/>
      </c>
      <c r="T521" s="3" t="str">
        <f ca="1">IF(A521&lt;&gt;"",MAX('Initiative Indirect'!$T:$T)+(ROW(A521)-1),"")</f>
        <v/>
      </c>
      <c r="U521" s="3" t="str">
        <f ca="1">IF(B521&lt;&gt;"",INDEX('Initiative Indirect'!$T:$T,MATCH(B521,'Initiative Indirect'!$A:$A,0)),"")</f>
        <v/>
      </c>
      <c r="V521" s="3" t="str">
        <f ca="1">IF(C521&lt;&gt;"",INDEX('Team Indirect'!$T:$T,MATCH(C521,'Team Indirect'!$A:$A,0)),"")</f>
        <v/>
      </c>
      <c r="W521" s="3"/>
      <c r="X521" s="3"/>
      <c r="Y521" s="3" t="str">
        <f ca="1">IF($C521&lt;&gt;"",INDEX('Team Indirect'!$D:$D,MATCH($C521,'Team Indirect'!$A:$A,0)),"")</f>
        <v/>
      </c>
      <c r="Z521" s="3" t="str">
        <f ca="1">IF($C521&lt;&gt;"",INDEX('Team Indirect'!$E:$E,MATCH($C521,'Team Indirect'!$A:$A,0)),"")</f>
        <v/>
      </c>
      <c r="AA521" s="3" t="str">
        <f ca="1">IF($C521&lt;&gt;"",INDEX('Team Indirect'!$F:$F,MATCH($C521,'Team Indirect'!$A:$A,0)),"")</f>
        <v/>
      </c>
      <c r="AB521" s="3" t="str">
        <f t="shared" ca="1" si="8"/>
        <v/>
      </c>
      <c r="AC521" s="3">
        <f ca="1">IF(OR(AllocationUnits="Stories", AllocationUnits="Points"),'Work Indirect'!F521,F521/MAX('Work Indirect'!AB521,1))</f>
        <v>1</v>
      </c>
    </row>
    <row r="522" spans="1:29"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7" t="str">
        <f ca="1">IF(OFFSET('4. Work'!$A$1,ROW(D522)-1,COLUMN(D522)-1)="","",OFFSET('4. Work'!$A$1,ROW(D522)-1,COLUMN(D522)-1))</f>
        <v/>
      </c>
      <c r="E522" s="147"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I522" s="3" t="str">
        <f ca="1">IF(OFFSET('4. Work'!$A$1,ROW(I522)-1,COLUMN(I522)-1)="","",OFFSET('4. Work'!$A$1,ROW(I522)-1,COLUMN(I522)-1))</f>
        <v/>
      </c>
      <c r="T522" s="3" t="str">
        <f ca="1">IF(A522&lt;&gt;"",MAX('Initiative Indirect'!$T:$T)+(ROW(A522)-1),"")</f>
        <v/>
      </c>
      <c r="U522" s="3" t="str">
        <f ca="1">IF(B522&lt;&gt;"",INDEX('Initiative Indirect'!$T:$T,MATCH(B522,'Initiative Indirect'!$A:$A,0)),"")</f>
        <v/>
      </c>
      <c r="V522" s="3" t="str">
        <f ca="1">IF(C522&lt;&gt;"",INDEX('Team Indirect'!$T:$T,MATCH(C522,'Team Indirect'!$A:$A,0)),"")</f>
        <v/>
      </c>
      <c r="W522" s="3"/>
      <c r="X522" s="3"/>
      <c r="Y522" s="3" t="str">
        <f ca="1">IF($C522&lt;&gt;"",INDEX('Team Indirect'!$D:$D,MATCH($C522,'Team Indirect'!$A:$A,0)),"")</f>
        <v/>
      </c>
      <c r="Z522" s="3" t="str">
        <f ca="1">IF($C522&lt;&gt;"",INDEX('Team Indirect'!$E:$E,MATCH($C522,'Team Indirect'!$A:$A,0)),"")</f>
        <v/>
      </c>
      <c r="AA522" s="3" t="str">
        <f ca="1">IF($C522&lt;&gt;"",INDEX('Team Indirect'!$F:$F,MATCH($C522,'Team Indirect'!$A:$A,0)),"")</f>
        <v/>
      </c>
      <c r="AB522" s="3" t="str">
        <f t="shared" ca="1" si="8"/>
        <v/>
      </c>
      <c r="AC522" s="3">
        <f ca="1">IF(OR(AllocationUnits="Stories", AllocationUnits="Points"),'Work Indirect'!F522,F522/MAX('Work Indirect'!AB522,1))</f>
        <v>1</v>
      </c>
    </row>
    <row r="523" spans="1:29"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7" t="str">
        <f ca="1">IF(OFFSET('4. Work'!$A$1,ROW(D523)-1,COLUMN(D523)-1)="","",OFFSET('4. Work'!$A$1,ROW(D523)-1,COLUMN(D523)-1))</f>
        <v/>
      </c>
      <c r="E523" s="147"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I523" s="3" t="str">
        <f ca="1">IF(OFFSET('4. Work'!$A$1,ROW(I523)-1,COLUMN(I523)-1)="","",OFFSET('4. Work'!$A$1,ROW(I523)-1,COLUMN(I523)-1))</f>
        <v/>
      </c>
      <c r="T523" s="3" t="str">
        <f ca="1">IF(A523&lt;&gt;"",MAX('Initiative Indirect'!$T:$T)+(ROW(A523)-1),"")</f>
        <v/>
      </c>
      <c r="U523" s="3" t="str">
        <f ca="1">IF(B523&lt;&gt;"",INDEX('Initiative Indirect'!$T:$T,MATCH(B523,'Initiative Indirect'!$A:$A,0)),"")</f>
        <v/>
      </c>
      <c r="V523" s="3" t="str">
        <f ca="1">IF(C523&lt;&gt;"",INDEX('Team Indirect'!$T:$T,MATCH(C523,'Team Indirect'!$A:$A,0)),"")</f>
        <v/>
      </c>
      <c r="W523" s="3"/>
      <c r="X523" s="3"/>
      <c r="Y523" s="3" t="str">
        <f ca="1">IF($C523&lt;&gt;"",INDEX('Team Indirect'!$D:$D,MATCH($C523,'Team Indirect'!$A:$A,0)),"")</f>
        <v/>
      </c>
      <c r="Z523" s="3" t="str">
        <f ca="1">IF($C523&lt;&gt;"",INDEX('Team Indirect'!$E:$E,MATCH($C523,'Team Indirect'!$A:$A,0)),"")</f>
        <v/>
      </c>
      <c r="AA523" s="3" t="str">
        <f ca="1">IF($C523&lt;&gt;"",INDEX('Team Indirect'!$F:$F,MATCH($C523,'Team Indirect'!$A:$A,0)),"")</f>
        <v/>
      </c>
      <c r="AB523" s="3" t="str">
        <f t="shared" ca="1" si="8"/>
        <v/>
      </c>
      <c r="AC523" s="3">
        <f ca="1">IF(OR(AllocationUnits="Stories", AllocationUnits="Points"),'Work Indirect'!F523,F523/MAX('Work Indirect'!AB523,1))</f>
        <v>1</v>
      </c>
    </row>
    <row r="524" spans="1:29"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7" t="str">
        <f ca="1">IF(OFFSET('4. Work'!$A$1,ROW(D524)-1,COLUMN(D524)-1)="","",OFFSET('4. Work'!$A$1,ROW(D524)-1,COLUMN(D524)-1))</f>
        <v/>
      </c>
      <c r="E524" s="147"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I524" s="3" t="str">
        <f ca="1">IF(OFFSET('4. Work'!$A$1,ROW(I524)-1,COLUMN(I524)-1)="","",OFFSET('4. Work'!$A$1,ROW(I524)-1,COLUMN(I524)-1))</f>
        <v/>
      </c>
      <c r="T524" s="3" t="str">
        <f ca="1">IF(A524&lt;&gt;"",MAX('Initiative Indirect'!$T:$T)+(ROW(A524)-1),"")</f>
        <v/>
      </c>
      <c r="U524" s="3" t="str">
        <f ca="1">IF(B524&lt;&gt;"",INDEX('Initiative Indirect'!$T:$T,MATCH(B524,'Initiative Indirect'!$A:$A,0)),"")</f>
        <v/>
      </c>
      <c r="V524" s="3" t="str">
        <f ca="1">IF(C524&lt;&gt;"",INDEX('Team Indirect'!$T:$T,MATCH(C524,'Team Indirect'!$A:$A,0)),"")</f>
        <v/>
      </c>
      <c r="W524" s="3"/>
      <c r="X524" s="3"/>
      <c r="Y524" s="3" t="str">
        <f ca="1">IF($C524&lt;&gt;"",INDEX('Team Indirect'!$D:$D,MATCH($C524,'Team Indirect'!$A:$A,0)),"")</f>
        <v/>
      </c>
      <c r="Z524" s="3" t="str">
        <f ca="1">IF($C524&lt;&gt;"",INDEX('Team Indirect'!$E:$E,MATCH($C524,'Team Indirect'!$A:$A,0)),"")</f>
        <v/>
      </c>
      <c r="AA524" s="3" t="str">
        <f ca="1">IF($C524&lt;&gt;"",INDEX('Team Indirect'!$F:$F,MATCH($C524,'Team Indirect'!$A:$A,0)),"")</f>
        <v/>
      </c>
      <c r="AB524" s="3" t="str">
        <f t="shared" ca="1" si="8"/>
        <v/>
      </c>
      <c r="AC524" s="3">
        <f ca="1">IF(OR(AllocationUnits="Stories", AllocationUnits="Points"),'Work Indirect'!F524,F524/MAX('Work Indirect'!AB524,1))</f>
        <v>1</v>
      </c>
    </row>
    <row r="525" spans="1:29"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7" t="str">
        <f ca="1">IF(OFFSET('4. Work'!$A$1,ROW(D525)-1,COLUMN(D525)-1)="","",OFFSET('4. Work'!$A$1,ROW(D525)-1,COLUMN(D525)-1))</f>
        <v/>
      </c>
      <c r="E525" s="147"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I525" s="3" t="str">
        <f ca="1">IF(OFFSET('4. Work'!$A$1,ROW(I525)-1,COLUMN(I525)-1)="","",OFFSET('4. Work'!$A$1,ROW(I525)-1,COLUMN(I525)-1))</f>
        <v/>
      </c>
      <c r="T525" s="3" t="str">
        <f ca="1">IF(A525&lt;&gt;"",MAX('Initiative Indirect'!$T:$T)+(ROW(A525)-1),"")</f>
        <v/>
      </c>
      <c r="U525" s="3" t="str">
        <f ca="1">IF(B525&lt;&gt;"",INDEX('Initiative Indirect'!$T:$T,MATCH(B525,'Initiative Indirect'!$A:$A,0)),"")</f>
        <v/>
      </c>
      <c r="V525" s="3" t="str">
        <f ca="1">IF(C525&lt;&gt;"",INDEX('Team Indirect'!$T:$T,MATCH(C525,'Team Indirect'!$A:$A,0)),"")</f>
        <v/>
      </c>
      <c r="W525" s="3"/>
      <c r="X525" s="3"/>
      <c r="Y525" s="3" t="str">
        <f ca="1">IF($C525&lt;&gt;"",INDEX('Team Indirect'!$D:$D,MATCH($C525,'Team Indirect'!$A:$A,0)),"")</f>
        <v/>
      </c>
      <c r="Z525" s="3" t="str">
        <f ca="1">IF($C525&lt;&gt;"",INDEX('Team Indirect'!$E:$E,MATCH($C525,'Team Indirect'!$A:$A,0)),"")</f>
        <v/>
      </c>
      <c r="AA525" s="3" t="str">
        <f ca="1">IF($C525&lt;&gt;"",INDEX('Team Indirect'!$F:$F,MATCH($C525,'Team Indirect'!$A:$A,0)),"")</f>
        <v/>
      </c>
      <c r="AB525" s="3" t="str">
        <f t="shared" ca="1" si="8"/>
        <v/>
      </c>
      <c r="AC525" s="3">
        <f ca="1">IF(OR(AllocationUnits="Stories", AllocationUnits="Points"),'Work Indirect'!F525,F525/MAX('Work Indirect'!AB525,1))</f>
        <v>1</v>
      </c>
    </row>
    <row r="526" spans="1:29"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7" t="str">
        <f ca="1">IF(OFFSET('4. Work'!$A$1,ROW(D526)-1,COLUMN(D526)-1)="","",OFFSET('4. Work'!$A$1,ROW(D526)-1,COLUMN(D526)-1))</f>
        <v/>
      </c>
      <c r="E526" s="147"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I526" s="3" t="str">
        <f ca="1">IF(OFFSET('4. Work'!$A$1,ROW(I526)-1,COLUMN(I526)-1)="","",OFFSET('4. Work'!$A$1,ROW(I526)-1,COLUMN(I526)-1))</f>
        <v/>
      </c>
      <c r="T526" s="3" t="str">
        <f ca="1">IF(A526&lt;&gt;"",MAX('Initiative Indirect'!$T:$T)+(ROW(A526)-1),"")</f>
        <v/>
      </c>
      <c r="U526" s="3" t="str">
        <f ca="1">IF(B526&lt;&gt;"",INDEX('Initiative Indirect'!$T:$T,MATCH(B526,'Initiative Indirect'!$A:$A,0)),"")</f>
        <v/>
      </c>
      <c r="V526" s="3" t="str">
        <f ca="1">IF(C526&lt;&gt;"",INDEX('Team Indirect'!$T:$T,MATCH(C526,'Team Indirect'!$A:$A,0)),"")</f>
        <v/>
      </c>
      <c r="W526" s="3"/>
      <c r="X526" s="3"/>
      <c r="Y526" s="3" t="str">
        <f ca="1">IF($C526&lt;&gt;"",INDEX('Team Indirect'!$D:$D,MATCH($C526,'Team Indirect'!$A:$A,0)),"")</f>
        <v/>
      </c>
      <c r="Z526" s="3" t="str">
        <f ca="1">IF($C526&lt;&gt;"",INDEX('Team Indirect'!$E:$E,MATCH($C526,'Team Indirect'!$A:$A,0)),"")</f>
        <v/>
      </c>
      <c r="AA526" s="3" t="str">
        <f ca="1">IF($C526&lt;&gt;"",INDEX('Team Indirect'!$F:$F,MATCH($C526,'Team Indirect'!$A:$A,0)),"")</f>
        <v/>
      </c>
      <c r="AB526" s="3" t="str">
        <f t="shared" ca="1" si="8"/>
        <v/>
      </c>
      <c r="AC526" s="3">
        <f ca="1">IF(OR(AllocationUnits="Stories", AllocationUnits="Points"),'Work Indirect'!F526,F526/MAX('Work Indirect'!AB526,1))</f>
        <v>1</v>
      </c>
    </row>
    <row r="527" spans="1:29"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7" t="str">
        <f ca="1">IF(OFFSET('4. Work'!$A$1,ROW(D527)-1,COLUMN(D527)-1)="","",OFFSET('4. Work'!$A$1,ROW(D527)-1,COLUMN(D527)-1))</f>
        <v/>
      </c>
      <c r="E527" s="147"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I527" s="3" t="str">
        <f ca="1">IF(OFFSET('4. Work'!$A$1,ROW(I527)-1,COLUMN(I527)-1)="","",OFFSET('4. Work'!$A$1,ROW(I527)-1,COLUMN(I527)-1))</f>
        <v/>
      </c>
      <c r="T527" s="3" t="str">
        <f ca="1">IF(A527&lt;&gt;"",MAX('Initiative Indirect'!$T:$T)+(ROW(A527)-1),"")</f>
        <v/>
      </c>
      <c r="U527" s="3" t="str">
        <f ca="1">IF(B527&lt;&gt;"",INDEX('Initiative Indirect'!$T:$T,MATCH(B527,'Initiative Indirect'!$A:$A,0)),"")</f>
        <v/>
      </c>
      <c r="V527" s="3" t="str">
        <f ca="1">IF(C527&lt;&gt;"",INDEX('Team Indirect'!$T:$T,MATCH(C527,'Team Indirect'!$A:$A,0)),"")</f>
        <v/>
      </c>
      <c r="W527" s="3"/>
      <c r="X527" s="3"/>
      <c r="Y527" s="3" t="str">
        <f ca="1">IF($C527&lt;&gt;"",INDEX('Team Indirect'!$D:$D,MATCH($C527,'Team Indirect'!$A:$A,0)),"")</f>
        <v/>
      </c>
      <c r="Z527" s="3" t="str">
        <f ca="1">IF($C527&lt;&gt;"",INDEX('Team Indirect'!$E:$E,MATCH($C527,'Team Indirect'!$A:$A,0)),"")</f>
        <v/>
      </c>
      <c r="AA527" s="3" t="str">
        <f ca="1">IF($C527&lt;&gt;"",INDEX('Team Indirect'!$F:$F,MATCH($C527,'Team Indirect'!$A:$A,0)),"")</f>
        <v/>
      </c>
      <c r="AB527" s="3" t="str">
        <f t="shared" ca="1" si="8"/>
        <v/>
      </c>
      <c r="AC527" s="3">
        <f ca="1">IF(OR(AllocationUnits="Stories", AllocationUnits="Points"),'Work Indirect'!F527,F527/MAX('Work Indirect'!AB527,1))</f>
        <v>1</v>
      </c>
    </row>
    <row r="528" spans="1:29"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7" t="str">
        <f ca="1">IF(OFFSET('4. Work'!$A$1,ROW(D528)-1,COLUMN(D528)-1)="","",OFFSET('4. Work'!$A$1,ROW(D528)-1,COLUMN(D528)-1))</f>
        <v/>
      </c>
      <c r="E528" s="147"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I528" s="3" t="str">
        <f ca="1">IF(OFFSET('4. Work'!$A$1,ROW(I528)-1,COLUMN(I528)-1)="","",OFFSET('4. Work'!$A$1,ROW(I528)-1,COLUMN(I528)-1))</f>
        <v/>
      </c>
      <c r="T528" s="3" t="str">
        <f ca="1">IF(A528&lt;&gt;"",MAX('Initiative Indirect'!$T:$T)+(ROW(A528)-1),"")</f>
        <v/>
      </c>
      <c r="U528" s="3" t="str">
        <f ca="1">IF(B528&lt;&gt;"",INDEX('Initiative Indirect'!$T:$T,MATCH(B528,'Initiative Indirect'!$A:$A,0)),"")</f>
        <v/>
      </c>
      <c r="V528" s="3" t="str">
        <f ca="1">IF(C528&lt;&gt;"",INDEX('Team Indirect'!$T:$T,MATCH(C528,'Team Indirect'!$A:$A,0)),"")</f>
        <v/>
      </c>
      <c r="W528" s="3"/>
      <c r="X528" s="3"/>
      <c r="Y528" s="3" t="str">
        <f ca="1">IF($C528&lt;&gt;"",INDEX('Team Indirect'!$D:$D,MATCH($C528,'Team Indirect'!$A:$A,0)),"")</f>
        <v/>
      </c>
      <c r="Z528" s="3" t="str">
        <f ca="1">IF($C528&lt;&gt;"",INDEX('Team Indirect'!$E:$E,MATCH($C528,'Team Indirect'!$A:$A,0)),"")</f>
        <v/>
      </c>
      <c r="AA528" s="3" t="str">
        <f ca="1">IF($C528&lt;&gt;"",INDEX('Team Indirect'!$F:$F,MATCH($C528,'Team Indirect'!$A:$A,0)),"")</f>
        <v/>
      </c>
      <c r="AB528" s="3" t="str">
        <f t="shared" ca="1" si="8"/>
        <v/>
      </c>
      <c r="AC528" s="3">
        <f ca="1">IF(OR(AllocationUnits="Stories", AllocationUnits="Points"),'Work Indirect'!F528,F528/MAX('Work Indirect'!AB528,1))</f>
        <v>1</v>
      </c>
    </row>
    <row r="529" spans="1:29"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7" t="str">
        <f ca="1">IF(OFFSET('4. Work'!$A$1,ROW(D529)-1,COLUMN(D529)-1)="","",OFFSET('4. Work'!$A$1,ROW(D529)-1,COLUMN(D529)-1))</f>
        <v/>
      </c>
      <c r="E529" s="147"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I529" s="3" t="str">
        <f ca="1">IF(OFFSET('4. Work'!$A$1,ROW(I529)-1,COLUMN(I529)-1)="","",OFFSET('4. Work'!$A$1,ROW(I529)-1,COLUMN(I529)-1))</f>
        <v/>
      </c>
      <c r="T529" s="3" t="str">
        <f ca="1">IF(A529&lt;&gt;"",MAX('Initiative Indirect'!$T:$T)+(ROW(A529)-1),"")</f>
        <v/>
      </c>
      <c r="U529" s="3" t="str">
        <f ca="1">IF(B529&lt;&gt;"",INDEX('Initiative Indirect'!$T:$T,MATCH(B529,'Initiative Indirect'!$A:$A,0)),"")</f>
        <v/>
      </c>
      <c r="V529" s="3" t="str">
        <f ca="1">IF(C529&lt;&gt;"",INDEX('Team Indirect'!$T:$T,MATCH(C529,'Team Indirect'!$A:$A,0)),"")</f>
        <v/>
      </c>
      <c r="W529" s="3"/>
      <c r="X529" s="3"/>
      <c r="Y529" s="3" t="str">
        <f ca="1">IF($C529&lt;&gt;"",INDEX('Team Indirect'!$D:$D,MATCH($C529,'Team Indirect'!$A:$A,0)),"")</f>
        <v/>
      </c>
      <c r="Z529" s="3" t="str">
        <f ca="1">IF($C529&lt;&gt;"",INDEX('Team Indirect'!$E:$E,MATCH($C529,'Team Indirect'!$A:$A,0)),"")</f>
        <v/>
      </c>
      <c r="AA529" s="3" t="str">
        <f ca="1">IF($C529&lt;&gt;"",INDEX('Team Indirect'!$F:$F,MATCH($C529,'Team Indirect'!$A:$A,0)),"")</f>
        <v/>
      </c>
      <c r="AB529" s="3" t="str">
        <f t="shared" ca="1" si="8"/>
        <v/>
      </c>
      <c r="AC529" s="3">
        <f ca="1">IF(OR(AllocationUnits="Stories", AllocationUnits="Points"),'Work Indirect'!F529,F529/MAX('Work Indirect'!AB529,1))</f>
        <v>1</v>
      </c>
    </row>
    <row r="530" spans="1:29"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7" t="str">
        <f ca="1">IF(OFFSET('4. Work'!$A$1,ROW(D530)-1,COLUMN(D530)-1)="","",OFFSET('4. Work'!$A$1,ROW(D530)-1,COLUMN(D530)-1))</f>
        <v/>
      </c>
      <c r="E530" s="147"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I530" s="3" t="str">
        <f ca="1">IF(OFFSET('4. Work'!$A$1,ROW(I530)-1,COLUMN(I530)-1)="","",OFFSET('4. Work'!$A$1,ROW(I530)-1,COLUMN(I530)-1))</f>
        <v/>
      </c>
      <c r="T530" s="3" t="str">
        <f ca="1">IF(A530&lt;&gt;"",MAX('Initiative Indirect'!$T:$T)+(ROW(A530)-1),"")</f>
        <v/>
      </c>
      <c r="U530" s="3" t="str">
        <f ca="1">IF(B530&lt;&gt;"",INDEX('Initiative Indirect'!$T:$T,MATCH(B530,'Initiative Indirect'!$A:$A,0)),"")</f>
        <v/>
      </c>
      <c r="V530" s="3" t="str">
        <f ca="1">IF(C530&lt;&gt;"",INDEX('Team Indirect'!$T:$T,MATCH(C530,'Team Indirect'!$A:$A,0)),"")</f>
        <v/>
      </c>
      <c r="W530" s="3"/>
      <c r="X530" s="3"/>
      <c r="Y530" s="3" t="str">
        <f ca="1">IF($C530&lt;&gt;"",INDEX('Team Indirect'!$D:$D,MATCH($C530,'Team Indirect'!$A:$A,0)),"")</f>
        <v/>
      </c>
      <c r="Z530" s="3" t="str">
        <f ca="1">IF($C530&lt;&gt;"",INDEX('Team Indirect'!$E:$E,MATCH($C530,'Team Indirect'!$A:$A,0)),"")</f>
        <v/>
      </c>
      <c r="AA530" s="3" t="str">
        <f ca="1">IF($C530&lt;&gt;"",INDEX('Team Indirect'!$F:$F,MATCH($C530,'Team Indirect'!$A:$A,0)),"")</f>
        <v/>
      </c>
      <c r="AB530" s="3" t="str">
        <f t="shared" ca="1" si="8"/>
        <v/>
      </c>
      <c r="AC530" s="3">
        <f ca="1">IF(OR(AllocationUnits="Stories", AllocationUnits="Points"),'Work Indirect'!F530,F530/MAX('Work Indirect'!AB530,1))</f>
        <v>1</v>
      </c>
    </row>
    <row r="531" spans="1:29"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7" t="str">
        <f ca="1">IF(OFFSET('4. Work'!$A$1,ROW(D531)-1,COLUMN(D531)-1)="","",OFFSET('4. Work'!$A$1,ROW(D531)-1,COLUMN(D531)-1))</f>
        <v/>
      </c>
      <c r="E531" s="147"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I531" s="3" t="str">
        <f ca="1">IF(OFFSET('4. Work'!$A$1,ROW(I531)-1,COLUMN(I531)-1)="","",OFFSET('4. Work'!$A$1,ROW(I531)-1,COLUMN(I531)-1))</f>
        <v/>
      </c>
      <c r="T531" s="3" t="str">
        <f ca="1">IF(A531&lt;&gt;"",MAX('Initiative Indirect'!$T:$T)+(ROW(A531)-1),"")</f>
        <v/>
      </c>
      <c r="U531" s="3" t="str">
        <f ca="1">IF(B531&lt;&gt;"",INDEX('Initiative Indirect'!$T:$T,MATCH(B531,'Initiative Indirect'!$A:$A,0)),"")</f>
        <v/>
      </c>
      <c r="V531" s="3" t="str">
        <f ca="1">IF(C531&lt;&gt;"",INDEX('Team Indirect'!$T:$T,MATCH(C531,'Team Indirect'!$A:$A,0)),"")</f>
        <v/>
      </c>
      <c r="W531" s="3"/>
      <c r="X531" s="3"/>
      <c r="Y531" s="3" t="str">
        <f ca="1">IF($C531&lt;&gt;"",INDEX('Team Indirect'!$D:$D,MATCH($C531,'Team Indirect'!$A:$A,0)),"")</f>
        <v/>
      </c>
      <c r="Z531" s="3" t="str">
        <f ca="1">IF($C531&lt;&gt;"",INDEX('Team Indirect'!$E:$E,MATCH($C531,'Team Indirect'!$A:$A,0)),"")</f>
        <v/>
      </c>
      <c r="AA531" s="3" t="str">
        <f ca="1">IF($C531&lt;&gt;"",INDEX('Team Indirect'!$F:$F,MATCH($C531,'Team Indirect'!$A:$A,0)),"")</f>
        <v/>
      </c>
      <c r="AB531" s="3" t="str">
        <f t="shared" ca="1" si="8"/>
        <v/>
      </c>
      <c r="AC531" s="3">
        <f ca="1">IF(OR(AllocationUnits="Stories", AllocationUnits="Points"),'Work Indirect'!F531,F531/MAX('Work Indirect'!AB531,1))</f>
        <v>1</v>
      </c>
    </row>
    <row r="532" spans="1:29"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7" t="str">
        <f ca="1">IF(OFFSET('4. Work'!$A$1,ROW(D532)-1,COLUMN(D532)-1)="","",OFFSET('4. Work'!$A$1,ROW(D532)-1,COLUMN(D532)-1))</f>
        <v/>
      </c>
      <c r="E532" s="147"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I532" s="3" t="str">
        <f ca="1">IF(OFFSET('4. Work'!$A$1,ROW(I532)-1,COLUMN(I532)-1)="","",OFFSET('4. Work'!$A$1,ROW(I532)-1,COLUMN(I532)-1))</f>
        <v/>
      </c>
      <c r="T532" s="3" t="str">
        <f ca="1">IF(A532&lt;&gt;"",MAX('Initiative Indirect'!$T:$T)+(ROW(A532)-1),"")</f>
        <v/>
      </c>
      <c r="U532" s="3" t="str">
        <f ca="1">IF(B532&lt;&gt;"",INDEX('Initiative Indirect'!$T:$T,MATCH(B532,'Initiative Indirect'!$A:$A,0)),"")</f>
        <v/>
      </c>
      <c r="V532" s="3" t="str">
        <f ca="1">IF(C532&lt;&gt;"",INDEX('Team Indirect'!$T:$T,MATCH(C532,'Team Indirect'!$A:$A,0)),"")</f>
        <v/>
      </c>
      <c r="W532" s="3"/>
      <c r="X532" s="3"/>
      <c r="Y532" s="3" t="str">
        <f ca="1">IF($C532&lt;&gt;"",INDEX('Team Indirect'!$D:$D,MATCH($C532,'Team Indirect'!$A:$A,0)),"")</f>
        <v/>
      </c>
      <c r="Z532" s="3" t="str">
        <f ca="1">IF($C532&lt;&gt;"",INDEX('Team Indirect'!$E:$E,MATCH($C532,'Team Indirect'!$A:$A,0)),"")</f>
        <v/>
      </c>
      <c r="AA532" s="3" t="str">
        <f ca="1">IF($C532&lt;&gt;"",INDEX('Team Indirect'!$F:$F,MATCH($C532,'Team Indirect'!$A:$A,0)),"")</f>
        <v/>
      </c>
      <c r="AB532" s="3" t="str">
        <f t="shared" ca="1" si="8"/>
        <v/>
      </c>
      <c r="AC532" s="3">
        <f ca="1">IF(OR(AllocationUnits="Stories", AllocationUnits="Points"),'Work Indirect'!F532,F532/MAX('Work Indirect'!AB532,1))</f>
        <v>1</v>
      </c>
    </row>
    <row r="533" spans="1:29"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7" t="str">
        <f ca="1">IF(OFFSET('4. Work'!$A$1,ROW(D533)-1,COLUMN(D533)-1)="","",OFFSET('4. Work'!$A$1,ROW(D533)-1,COLUMN(D533)-1))</f>
        <v/>
      </c>
      <c r="E533" s="147"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I533" s="3" t="str">
        <f ca="1">IF(OFFSET('4. Work'!$A$1,ROW(I533)-1,COLUMN(I533)-1)="","",OFFSET('4. Work'!$A$1,ROW(I533)-1,COLUMN(I533)-1))</f>
        <v/>
      </c>
      <c r="T533" s="3" t="str">
        <f ca="1">IF(A533&lt;&gt;"",MAX('Initiative Indirect'!$T:$T)+(ROW(A533)-1),"")</f>
        <v/>
      </c>
      <c r="U533" s="3" t="str">
        <f ca="1">IF(B533&lt;&gt;"",INDEX('Initiative Indirect'!$T:$T,MATCH(B533,'Initiative Indirect'!$A:$A,0)),"")</f>
        <v/>
      </c>
      <c r="V533" s="3" t="str">
        <f ca="1">IF(C533&lt;&gt;"",INDEX('Team Indirect'!$T:$T,MATCH(C533,'Team Indirect'!$A:$A,0)),"")</f>
        <v/>
      </c>
      <c r="W533" s="3"/>
      <c r="X533" s="3"/>
      <c r="Y533" s="3" t="str">
        <f ca="1">IF($C533&lt;&gt;"",INDEX('Team Indirect'!$D:$D,MATCH($C533,'Team Indirect'!$A:$A,0)),"")</f>
        <v/>
      </c>
      <c r="Z533" s="3" t="str">
        <f ca="1">IF($C533&lt;&gt;"",INDEX('Team Indirect'!$E:$E,MATCH($C533,'Team Indirect'!$A:$A,0)),"")</f>
        <v/>
      </c>
      <c r="AA533" s="3" t="str">
        <f ca="1">IF($C533&lt;&gt;"",INDEX('Team Indirect'!$F:$F,MATCH($C533,'Team Indirect'!$A:$A,0)),"")</f>
        <v/>
      </c>
      <c r="AB533" s="3" t="str">
        <f t="shared" ca="1" si="8"/>
        <v/>
      </c>
      <c r="AC533" s="3">
        <f ca="1">IF(OR(AllocationUnits="Stories", AllocationUnits="Points"),'Work Indirect'!F533,F533/MAX('Work Indirect'!AB533,1))</f>
        <v>1</v>
      </c>
    </row>
    <row r="534" spans="1:29"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7" t="str">
        <f ca="1">IF(OFFSET('4. Work'!$A$1,ROW(D534)-1,COLUMN(D534)-1)="","",OFFSET('4. Work'!$A$1,ROW(D534)-1,COLUMN(D534)-1))</f>
        <v/>
      </c>
      <c r="E534" s="147"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I534" s="3" t="str">
        <f ca="1">IF(OFFSET('4. Work'!$A$1,ROW(I534)-1,COLUMN(I534)-1)="","",OFFSET('4. Work'!$A$1,ROW(I534)-1,COLUMN(I534)-1))</f>
        <v/>
      </c>
      <c r="T534" s="3" t="str">
        <f ca="1">IF(A534&lt;&gt;"",MAX('Initiative Indirect'!$T:$T)+(ROW(A534)-1),"")</f>
        <v/>
      </c>
      <c r="U534" s="3" t="str">
        <f ca="1">IF(B534&lt;&gt;"",INDEX('Initiative Indirect'!$T:$T,MATCH(B534,'Initiative Indirect'!$A:$A,0)),"")</f>
        <v/>
      </c>
      <c r="V534" s="3" t="str">
        <f ca="1">IF(C534&lt;&gt;"",INDEX('Team Indirect'!$T:$T,MATCH(C534,'Team Indirect'!$A:$A,0)),"")</f>
        <v/>
      </c>
      <c r="W534" s="3"/>
      <c r="X534" s="3"/>
      <c r="Y534" s="3" t="str">
        <f ca="1">IF($C534&lt;&gt;"",INDEX('Team Indirect'!$D:$D,MATCH($C534,'Team Indirect'!$A:$A,0)),"")</f>
        <v/>
      </c>
      <c r="Z534" s="3" t="str">
        <f ca="1">IF($C534&lt;&gt;"",INDEX('Team Indirect'!$E:$E,MATCH($C534,'Team Indirect'!$A:$A,0)),"")</f>
        <v/>
      </c>
      <c r="AA534" s="3" t="str">
        <f ca="1">IF($C534&lt;&gt;"",INDEX('Team Indirect'!$F:$F,MATCH($C534,'Team Indirect'!$A:$A,0)),"")</f>
        <v/>
      </c>
      <c r="AB534" s="3" t="str">
        <f t="shared" ca="1" si="8"/>
        <v/>
      </c>
      <c r="AC534" s="3">
        <f ca="1">IF(OR(AllocationUnits="Stories", AllocationUnits="Points"),'Work Indirect'!F534,F534/MAX('Work Indirect'!AB534,1))</f>
        <v>1</v>
      </c>
    </row>
    <row r="535" spans="1:29"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7" t="str">
        <f ca="1">IF(OFFSET('4. Work'!$A$1,ROW(D535)-1,COLUMN(D535)-1)="","",OFFSET('4. Work'!$A$1,ROW(D535)-1,COLUMN(D535)-1))</f>
        <v/>
      </c>
      <c r="E535" s="147"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I535" s="3" t="str">
        <f ca="1">IF(OFFSET('4. Work'!$A$1,ROW(I535)-1,COLUMN(I535)-1)="","",OFFSET('4. Work'!$A$1,ROW(I535)-1,COLUMN(I535)-1))</f>
        <v/>
      </c>
      <c r="T535" s="3" t="str">
        <f ca="1">IF(A535&lt;&gt;"",MAX('Initiative Indirect'!$T:$T)+(ROW(A535)-1),"")</f>
        <v/>
      </c>
      <c r="U535" s="3" t="str">
        <f ca="1">IF(B535&lt;&gt;"",INDEX('Initiative Indirect'!$T:$T,MATCH(B535,'Initiative Indirect'!$A:$A,0)),"")</f>
        <v/>
      </c>
      <c r="V535" s="3" t="str">
        <f ca="1">IF(C535&lt;&gt;"",INDEX('Team Indirect'!$T:$T,MATCH(C535,'Team Indirect'!$A:$A,0)),"")</f>
        <v/>
      </c>
      <c r="W535" s="3"/>
      <c r="X535" s="3"/>
      <c r="Y535" s="3" t="str">
        <f ca="1">IF($C535&lt;&gt;"",INDEX('Team Indirect'!$D:$D,MATCH($C535,'Team Indirect'!$A:$A,0)),"")</f>
        <v/>
      </c>
      <c r="Z535" s="3" t="str">
        <f ca="1">IF($C535&lt;&gt;"",INDEX('Team Indirect'!$E:$E,MATCH($C535,'Team Indirect'!$A:$A,0)),"")</f>
        <v/>
      </c>
      <c r="AA535" s="3" t="str">
        <f ca="1">IF($C535&lt;&gt;"",INDEX('Team Indirect'!$F:$F,MATCH($C535,'Team Indirect'!$A:$A,0)),"")</f>
        <v/>
      </c>
      <c r="AB535" s="3" t="str">
        <f t="shared" ca="1" si="8"/>
        <v/>
      </c>
      <c r="AC535" s="3">
        <f ca="1">IF(OR(AllocationUnits="Stories", AllocationUnits="Points"),'Work Indirect'!F535,F535/MAX('Work Indirect'!AB535,1))</f>
        <v>1</v>
      </c>
    </row>
    <row r="536" spans="1:29"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7" t="str">
        <f ca="1">IF(OFFSET('4. Work'!$A$1,ROW(D536)-1,COLUMN(D536)-1)="","",OFFSET('4. Work'!$A$1,ROW(D536)-1,COLUMN(D536)-1))</f>
        <v/>
      </c>
      <c r="E536" s="147"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I536" s="3" t="str">
        <f ca="1">IF(OFFSET('4. Work'!$A$1,ROW(I536)-1,COLUMN(I536)-1)="","",OFFSET('4. Work'!$A$1,ROW(I536)-1,COLUMN(I536)-1))</f>
        <v/>
      </c>
      <c r="T536" s="3" t="str">
        <f ca="1">IF(A536&lt;&gt;"",MAX('Initiative Indirect'!$T:$T)+(ROW(A536)-1),"")</f>
        <v/>
      </c>
      <c r="U536" s="3" t="str">
        <f ca="1">IF(B536&lt;&gt;"",INDEX('Initiative Indirect'!$T:$T,MATCH(B536,'Initiative Indirect'!$A:$A,0)),"")</f>
        <v/>
      </c>
      <c r="V536" s="3" t="str">
        <f ca="1">IF(C536&lt;&gt;"",INDEX('Team Indirect'!$T:$T,MATCH(C536,'Team Indirect'!$A:$A,0)),"")</f>
        <v/>
      </c>
      <c r="W536" s="3"/>
      <c r="X536" s="3"/>
      <c r="Y536" s="3" t="str">
        <f ca="1">IF($C536&lt;&gt;"",INDEX('Team Indirect'!$D:$D,MATCH($C536,'Team Indirect'!$A:$A,0)),"")</f>
        <v/>
      </c>
      <c r="Z536" s="3" t="str">
        <f ca="1">IF($C536&lt;&gt;"",INDEX('Team Indirect'!$E:$E,MATCH($C536,'Team Indirect'!$A:$A,0)),"")</f>
        <v/>
      </c>
      <c r="AA536" s="3" t="str">
        <f ca="1">IF($C536&lt;&gt;"",INDEX('Team Indirect'!$F:$F,MATCH($C536,'Team Indirect'!$A:$A,0)),"")</f>
        <v/>
      </c>
      <c r="AB536" s="3" t="str">
        <f t="shared" ca="1" si="8"/>
        <v/>
      </c>
      <c r="AC536" s="3">
        <f ca="1">IF(OR(AllocationUnits="Stories", AllocationUnits="Points"),'Work Indirect'!F536,F536/MAX('Work Indirect'!AB536,1))</f>
        <v>1</v>
      </c>
    </row>
    <row r="537" spans="1:29"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7" t="str">
        <f ca="1">IF(OFFSET('4. Work'!$A$1,ROW(D537)-1,COLUMN(D537)-1)="","",OFFSET('4. Work'!$A$1,ROW(D537)-1,COLUMN(D537)-1))</f>
        <v/>
      </c>
      <c r="E537" s="147"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I537" s="3" t="str">
        <f ca="1">IF(OFFSET('4. Work'!$A$1,ROW(I537)-1,COLUMN(I537)-1)="","",OFFSET('4. Work'!$A$1,ROW(I537)-1,COLUMN(I537)-1))</f>
        <v/>
      </c>
      <c r="T537" s="3" t="str">
        <f ca="1">IF(A537&lt;&gt;"",MAX('Initiative Indirect'!$T:$T)+(ROW(A537)-1),"")</f>
        <v/>
      </c>
      <c r="U537" s="3" t="str">
        <f ca="1">IF(B537&lt;&gt;"",INDEX('Initiative Indirect'!$T:$T,MATCH(B537,'Initiative Indirect'!$A:$A,0)),"")</f>
        <v/>
      </c>
      <c r="V537" s="3" t="str">
        <f ca="1">IF(C537&lt;&gt;"",INDEX('Team Indirect'!$T:$T,MATCH(C537,'Team Indirect'!$A:$A,0)),"")</f>
        <v/>
      </c>
      <c r="W537" s="3"/>
      <c r="X537" s="3"/>
      <c r="Y537" s="3" t="str">
        <f ca="1">IF($C537&lt;&gt;"",INDEX('Team Indirect'!$D:$D,MATCH($C537,'Team Indirect'!$A:$A,0)),"")</f>
        <v/>
      </c>
      <c r="Z537" s="3" t="str">
        <f ca="1">IF($C537&lt;&gt;"",INDEX('Team Indirect'!$E:$E,MATCH($C537,'Team Indirect'!$A:$A,0)),"")</f>
        <v/>
      </c>
      <c r="AA537" s="3" t="str">
        <f ca="1">IF($C537&lt;&gt;"",INDEX('Team Indirect'!$F:$F,MATCH($C537,'Team Indirect'!$A:$A,0)),"")</f>
        <v/>
      </c>
      <c r="AB537" s="3" t="str">
        <f t="shared" ca="1" si="8"/>
        <v/>
      </c>
      <c r="AC537" s="3">
        <f ca="1">IF(OR(AllocationUnits="Stories", AllocationUnits="Points"),'Work Indirect'!F537,F537/MAX('Work Indirect'!AB537,1))</f>
        <v>1</v>
      </c>
    </row>
    <row r="538" spans="1:29"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7" t="str">
        <f ca="1">IF(OFFSET('4. Work'!$A$1,ROW(D538)-1,COLUMN(D538)-1)="","",OFFSET('4. Work'!$A$1,ROW(D538)-1,COLUMN(D538)-1))</f>
        <v/>
      </c>
      <c r="E538" s="147"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I538" s="3" t="str">
        <f ca="1">IF(OFFSET('4. Work'!$A$1,ROW(I538)-1,COLUMN(I538)-1)="","",OFFSET('4. Work'!$A$1,ROW(I538)-1,COLUMN(I538)-1))</f>
        <v/>
      </c>
      <c r="T538" s="3" t="str">
        <f ca="1">IF(A538&lt;&gt;"",MAX('Initiative Indirect'!$T:$T)+(ROW(A538)-1),"")</f>
        <v/>
      </c>
      <c r="U538" s="3" t="str">
        <f ca="1">IF(B538&lt;&gt;"",INDEX('Initiative Indirect'!$T:$T,MATCH(B538,'Initiative Indirect'!$A:$A,0)),"")</f>
        <v/>
      </c>
      <c r="V538" s="3" t="str">
        <f ca="1">IF(C538&lt;&gt;"",INDEX('Team Indirect'!$T:$T,MATCH(C538,'Team Indirect'!$A:$A,0)),"")</f>
        <v/>
      </c>
      <c r="W538" s="3"/>
      <c r="X538" s="3"/>
      <c r="Y538" s="3" t="str">
        <f ca="1">IF($C538&lt;&gt;"",INDEX('Team Indirect'!$D:$D,MATCH($C538,'Team Indirect'!$A:$A,0)),"")</f>
        <v/>
      </c>
      <c r="Z538" s="3" t="str">
        <f ca="1">IF($C538&lt;&gt;"",INDEX('Team Indirect'!$E:$E,MATCH($C538,'Team Indirect'!$A:$A,0)),"")</f>
        <v/>
      </c>
      <c r="AA538" s="3" t="str">
        <f ca="1">IF($C538&lt;&gt;"",INDEX('Team Indirect'!$F:$F,MATCH($C538,'Team Indirect'!$A:$A,0)),"")</f>
        <v/>
      </c>
      <c r="AB538" s="3" t="str">
        <f t="shared" ca="1" si="8"/>
        <v/>
      </c>
      <c r="AC538" s="3">
        <f ca="1">IF(OR(AllocationUnits="Stories", AllocationUnits="Points"),'Work Indirect'!F538,F538/MAX('Work Indirect'!AB538,1))</f>
        <v>1</v>
      </c>
    </row>
    <row r="539" spans="1:29"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7" t="str">
        <f ca="1">IF(OFFSET('4. Work'!$A$1,ROW(D539)-1,COLUMN(D539)-1)="","",OFFSET('4. Work'!$A$1,ROW(D539)-1,COLUMN(D539)-1))</f>
        <v/>
      </c>
      <c r="E539" s="147"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I539" s="3" t="str">
        <f ca="1">IF(OFFSET('4. Work'!$A$1,ROW(I539)-1,COLUMN(I539)-1)="","",OFFSET('4. Work'!$A$1,ROW(I539)-1,COLUMN(I539)-1))</f>
        <v/>
      </c>
      <c r="T539" s="3" t="str">
        <f ca="1">IF(A539&lt;&gt;"",MAX('Initiative Indirect'!$T:$T)+(ROW(A539)-1),"")</f>
        <v/>
      </c>
      <c r="U539" s="3" t="str">
        <f ca="1">IF(B539&lt;&gt;"",INDEX('Initiative Indirect'!$T:$T,MATCH(B539,'Initiative Indirect'!$A:$A,0)),"")</f>
        <v/>
      </c>
      <c r="V539" s="3" t="str">
        <f ca="1">IF(C539&lt;&gt;"",INDEX('Team Indirect'!$T:$T,MATCH(C539,'Team Indirect'!$A:$A,0)),"")</f>
        <v/>
      </c>
      <c r="W539" s="3"/>
      <c r="X539" s="3"/>
      <c r="Y539" s="3" t="str">
        <f ca="1">IF($C539&lt;&gt;"",INDEX('Team Indirect'!$D:$D,MATCH($C539,'Team Indirect'!$A:$A,0)),"")</f>
        <v/>
      </c>
      <c r="Z539" s="3" t="str">
        <f ca="1">IF($C539&lt;&gt;"",INDEX('Team Indirect'!$E:$E,MATCH($C539,'Team Indirect'!$A:$A,0)),"")</f>
        <v/>
      </c>
      <c r="AA539" s="3" t="str">
        <f ca="1">IF($C539&lt;&gt;"",INDEX('Team Indirect'!$F:$F,MATCH($C539,'Team Indirect'!$A:$A,0)),"")</f>
        <v/>
      </c>
      <c r="AB539" s="3" t="str">
        <f t="shared" ca="1" si="8"/>
        <v/>
      </c>
      <c r="AC539" s="3">
        <f ca="1">IF(OR(AllocationUnits="Stories", AllocationUnits="Points"),'Work Indirect'!F539,F539/MAX('Work Indirect'!AB539,1))</f>
        <v>1</v>
      </c>
    </row>
    <row r="540" spans="1:29"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7" t="str">
        <f ca="1">IF(OFFSET('4. Work'!$A$1,ROW(D540)-1,COLUMN(D540)-1)="","",OFFSET('4. Work'!$A$1,ROW(D540)-1,COLUMN(D540)-1))</f>
        <v/>
      </c>
      <c r="E540" s="147"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I540" s="3" t="str">
        <f ca="1">IF(OFFSET('4. Work'!$A$1,ROW(I540)-1,COLUMN(I540)-1)="","",OFFSET('4. Work'!$A$1,ROW(I540)-1,COLUMN(I540)-1))</f>
        <v/>
      </c>
      <c r="T540" s="3" t="str">
        <f ca="1">IF(A540&lt;&gt;"",MAX('Initiative Indirect'!$T:$T)+(ROW(A540)-1),"")</f>
        <v/>
      </c>
      <c r="U540" s="3" t="str">
        <f ca="1">IF(B540&lt;&gt;"",INDEX('Initiative Indirect'!$T:$T,MATCH(B540,'Initiative Indirect'!$A:$A,0)),"")</f>
        <v/>
      </c>
      <c r="V540" s="3" t="str">
        <f ca="1">IF(C540&lt;&gt;"",INDEX('Team Indirect'!$T:$T,MATCH(C540,'Team Indirect'!$A:$A,0)),"")</f>
        <v/>
      </c>
      <c r="W540" s="3"/>
      <c r="X540" s="3"/>
      <c r="Y540" s="3" t="str">
        <f ca="1">IF($C540&lt;&gt;"",INDEX('Team Indirect'!$D:$D,MATCH($C540,'Team Indirect'!$A:$A,0)),"")</f>
        <v/>
      </c>
      <c r="Z540" s="3" t="str">
        <f ca="1">IF($C540&lt;&gt;"",INDEX('Team Indirect'!$E:$E,MATCH($C540,'Team Indirect'!$A:$A,0)),"")</f>
        <v/>
      </c>
      <c r="AA540" s="3" t="str">
        <f ca="1">IF($C540&lt;&gt;"",INDEX('Team Indirect'!$F:$F,MATCH($C540,'Team Indirect'!$A:$A,0)),"")</f>
        <v/>
      </c>
      <c r="AB540" s="3" t="str">
        <f t="shared" ca="1" si="8"/>
        <v/>
      </c>
      <c r="AC540" s="3">
        <f ca="1">IF(OR(AllocationUnits="Stories", AllocationUnits="Points"),'Work Indirect'!F540,F540/MAX('Work Indirect'!AB540,1))</f>
        <v>1</v>
      </c>
    </row>
    <row r="541" spans="1:29"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7" t="str">
        <f ca="1">IF(OFFSET('4. Work'!$A$1,ROW(D541)-1,COLUMN(D541)-1)="","",OFFSET('4. Work'!$A$1,ROW(D541)-1,COLUMN(D541)-1))</f>
        <v/>
      </c>
      <c r="E541" s="147"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I541" s="3" t="str">
        <f ca="1">IF(OFFSET('4. Work'!$A$1,ROW(I541)-1,COLUMN(I541)-1)="","",OFFSET('4. Work'!$A$1,ROW(I541)-1,COLUMN(I541)-1))</f>
        <v/>
      </c>
      <c r="T541" s="3" t="str">
        <f ca="1">IF(A541&lt;&gt;"",MAX('Initiative Indirect'!$T:$T)+(ROW(A541)-1),"")</f>
        <v/>
      </c>
      <c r="U541" s="3" t="str">
        <f ca="1">IF(B541&lt;&gt;"",INDEX('Initiative Indirect'!$T:$T,MATCH(B541,'Initiative Indirect'!$A:$A,0)),"")</f>
        <v/>
      </c>
      <c r="V541" s="3" t="str">
        <f ca="1">IF(C541&lt;&gt;"",INDEX('Team Indirect'!$T:$T,MATCH(C541,'Team Indirect'!$A:$A,0)),"")</f>
        <v/>
      </c>
      <c r="W541" s="3"/>
      <c r="X541" s="3"/>
      <c r="Y541" s="3" t="str">
        <f ca="1">IF($C541&lt;&gt;"",INDEX('Team Indirect'!$D:$D,MATCH($C541,'Team Indirect'!$A:$A,0)),"")</f>
        <v/>
      </c>
      <c r="Z541" s="3" t="str">
        <f ca="1">IF($C541&lt;&gt;"",INDEX('Team Indirect'!$E:$E,MATCH($C541,'Team Indirect'!$A:$A,0)),"")</f>
        <v/>
      </c>
      <c r="AA541" s="3" t="str">
        <f ca="1">IF($C541&lt;&gt;"",INDEX('Team Indirect'!$F:$F,MATCH($C541,'Team Indirect'!$A:$A,0)),"")</f>
        <v/>
      </c>
      <c r="AB541" s="3" t="str">
        <f t="shared" ca="1" si="8"/>
        <v/>
      </c>
      <c r="AC541" s="3">
        <f ca="1">IF(OR(AllocationUnits="Stories", AllocationUnits="Points"),'Work Indirect'!F541,F541/MAX('Work Indirect'!AB541,1))</f>
        <v>1</v>
      </c>
    </row>
    <row r="542" spans="1:29"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7" t="str">
        <f ca="1">IF(OFFSET('4. Work'!$A$1,ROW(D542)-1,COLUMN(D542)-1)="","",OFFSET('4. Work'!$A$1,ROW(D542)-1,COLUMN(D542)-1))</f>
        <v/>
      </c>
      <c r="E542" s="147"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I542" s="3" t="str">
        <f ca="1">IF(OFFSET('4. Work'!$A$1,ROW(I542)-1,COLUMN(I542)-1)="","",OFFSET('4. Work'!$A$1,ROW(I542)-1,COLUMN(I542)-1))</f>
        <v/>
      </c>
      <c r="T542" s="3" t="str">
        <f ca="1">IF(A542&lt;&gt;"",MAX('Initiative Indirect'!$T:$T)+(ROW(A542)-1),"")</f>
        <v/>
      </c>
      <c r="U542" s="3" t="str">
        <f ca="1">IF(B542&lt;&gt;"",INDEX('Initiative Indirect'!$T:$T,MATCH(B542,'Initiative Indirect'!$A:$A,0)),"")</f>
        <v/>
      </c>
      <c r="V542" s="3" t="str">
        <f ca="1">IF(C542&lt;&gt;"",INDEX('Team Indirect'!$T:$T,MATCH(C542,'Team Indirect'!$A:$A,0)),"")</f>
        <v/>
      </c>
      <c r="W542" s="3"/>
      <c r="X542" s="3"/>
      <c r="Y542" s="3" t="str">
        <f ca="1">IF($C542&lt;&gt;"",INDEX('Team Indirect'!$D:$D,MATCH($C542,'Team Indirect'!$A:$A,0)),"")</f>
        <v/>
      </c>
      <c r="Z542" s="3" t="str">
        <f ca="1">IF($C542&lt;&gt;"",INDEX('Team Indirect'!$E:$E,MATCH($C542,'Team Indirect'!$A:$A,0)),"")</f>
        <v/>
      </c>
      <c r="AA542" s="3" t="str">
        <f ca="1">IF($C542&lt;&gt;"",INDEX('Team Indirect'!$F:$F,MATCH($C542,'Team Indirect'!$A:$A,0)),"")</f>
        <v/>
      </c>
      <c r="AB542" s="3" t="str">
        <f t="shared" ca="1" si="8"/>
        <v/>
      </c>
      <c r="AC542" s="3">
        <f ca="1">IF(OR(AllocationUnits="Stories", AllocationUnits="Points"),'Work Indirect'!F542,F542/MAX('Work Indirect'!AB542,1))</f>
        <v>1</v>
      </c>
    </row>
    <row r="543" spans="1:29"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7" t="str">
        <f ca="1">IF(OFFSET('4. Work'!$A$1,ROW(D543)-1,COLUMN(D543)-1)="","",OFFSET('4. Work'!$A$1,ROW(D543)-1,COLUMN(D543)-1))</f>
        <v/>
      </c>
      <c r="E543" s="147"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I543" s="3" t="str">
        <f ca="1">IF(OFFSET('4. Work'!$A$1,ROW(I543)-1,COLUMN(I543)-1)="","",OFFSET('4. Work'!$A$1,ROW(I543)-1,COLUMN(I543)-1))</f>
        <v/>
      </c>
      <c r="T543" s="3" t="str">
        <f ca="1">IF(A543&lt;&gt;"",MAX('Initiative Indirect'!$T:$T)+(ROW(A543)-1),"")</f>
        <v/>
      </c>
      <c r="U543" s="3" t="str">
        <f ca="1">IF(B543&lt;&gt;"",INDEX('Initiative Indirect'!$T:$T,MATCH(B543,'Initiative Indirect'!$A:$A,0)),"")</f>
        <v/>
      </c>
      <c r="V543" s="3" t="str">
        <f ca="1">IF(C543&lt;&gt;"",INDEX('Team Indirect'!$T:$T,MATCH(C543,'Team Indirect'!$A:$A,0)),"")</f>
        <v/>
      </c>
      <c r="W543" s="3"/>
      <c r="X543" s="3"/>
      <c r="Y543" s="3" t="str">
        <f ca="1">IF($C543&lt;&gt;"",INDEX('Team Indirect'!$D:$D,MATCH($C543,'Team Indirect'!$A:$A,0)),"")</f>
        <v/>
      </c>
      <c r="Z543" s="3" t="str">
        <f ca="1">IF($C543&lt;&gt;"",INDEX('Team Indirect'!$E:$E,MATCH($C543,'Team Indirect'!$A:$A,0)),"")</f>
        <v/>
      </c>
      <c r="AA543" s="3" t="str">
        <f ca="1">IF($C543&lt;&gt;"",INDEX('Team Indirect'!$F:$F,MATCH($C543,'Team Indirect'!$A:$A,0)),"")</f>
        <v/>
      </c>
      <c r="AB543" s="3" t="str">
        <f t="shared" ca="1" si="8"/>
        <v/>
      </c>
      <c r="AC543" s="3">
        <f ca="1">IF(OR(AllocationUnits="Stories", AllocationUnits="Points"),'Work Indirect'!F543,F543/MAX('Work Indirect'!AB543,1))</f>
        <v>1</v>
      </c>
    </row>
    <row r="544" spans="1:29"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7" t="str">
        <f ca="1">IF(OFFSET('4. Work'!$A$1,ROW(D544)-1,COLUMN(D544)-1)="","",OFFSET('4. Work'!$A$1,ROW(D544)-1,COLUMN(D544)-1))</f>
        <v/>
      </c>
      <c r="E544" s="147"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I544" s="3" t="str">
        <f ca="1">IF(OFFSET('4. Work'!$A$1,ROW(I544)-1,COLUMN(I544)-1)="","",OFFSET('4. Work'!$A$1,ROW(I544)-1,COLUMN(I544)-1))</f>
        <v/>
      </c>
      <c r="T544" s="3" t="str">
        <f ca="1">IF(A544&lt;&gt;"",MAX('Initiative Indirect'!$T:$T)+(ROW(A544)-1),"")</f>
        <v/>
      </c>
      <c r="U544" s="3" t="str">
        <f ca="1">IF(B544&lt;&gt;"",INDEX('Initiative Indirect'!$T:$T,MATCH(B544,'Initiative Indirect'!$A:$A,0)),"")</f>
        <v/>
      </c>
      <c r="V544" s="3" t="str">
        <f ca="1">IF(C544&lt;&gt;"",INDEX('Team Indirect'!$T:$T,MATCH(C544,'Team Indirect'!$A:$A,0)),"")</f>
        <v/>
      </c>
      <c r="W544" s="3"/>
      <c r="X544" s="3"/>
      <c r="Y544" s="3" t="str">
        <f ca="1">IF($C544&lt;&gt;"",INDEX('Team Indirect'!$D:$D,MATCH($C544,'Team Indirect'!$A:$A,0)),"")</f>
        <v/>
      </c>
      <c r="Z544" s="3" t="str">
        <f ca="1">IF($C544&lt;&gt;"",INDEX('Team Indirect'!$E:$E,MATCH($C544,'Team Indirect'!$A:$A,0)),"")</f>
        <v/>
      </c>
      <c r="AA544" s="3" t="str">
        <f ca="1">IF($C544&lt;&gt;"",INDEX('Team Indirect'!$F:$F,MATCH($C544,'Team Indirect'!$A:$A,0)),"")</f>
        <v/>
      </c>
      <c r="AB544" s="3" t="str">
        <f t="shared" ca="1" si="8"/>
        <v/>
      </c>
      <c r="AC544" s="3">
        <f ca="1">IF(OR(AllocationUnits="Stories", AllocationUnits="Points"),'Work Indirect'!F544,F544/MAX('Work Indirect'!AB544,1))</f>
        <v>1</v>
      </c>
    </row>
    <row r="545" spans="1:29"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7" t="str">
        <f ca="1">IF(OFFSET('4. Work'!$A$1,ROW(D545)-1,COLUMN(D545)-1)="","",OFFSET('4. Work'!$A$1,ROW(D545)-1,COLUMN(D545)-1))</f>
        <v/>
      </c>
      <c r="E545" s="147"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I545" s="3" t="str">
        <f ca="1">IF(OFFSET('4. Work'!$A$1,ROW(I545)-1,COLUMN(I545)-1)="","",OFFSET('4. Work'!$A$1,ROW(I545)-1,COLUMN(I545)-1))</f>
        <v/>
      </c>
      <c r="T545" s="3" t="str">
        <f ca="1">IF(A545&lt;&gt;"",MAX('Initiative Indirect'!$T:$T)+(ROW(A545)-1),"")</f>
        <v/>
      </c>
      <c r="U545" s="3" t="str">
        <f ca="1">IF(B545&lt;&gt;"",INDEX('Initiative Indirect'!$T:$T,MATCH(B545,'Initiative Indirect'!$A:$A,0)),"")</f>
        <v/>
      </c>
      <c r="V545" s="3" t="str">
        <f ca="1">IF(C545&lt;&gt;"",INDEX('Team Indirect'!$T:$T,MATCH(C545,'Team Indirect'!$A:$A,0)),"")</f>
        <v/>
      </c>
      <c r="W545" s="3"/>
      <c r="X545" s="3"/>
      <c r="Y545" s="3" t="str">
        <f ca="1">IF($C545&lt;&gt;"",INDEX('Team Indirect'!$D:$D,MATCH($C545,'Team Indirect'!$A:$A,0)),"")</f>
        <v/>
      </c>
      <c r="Z545" s="3" t="str">
        <f ca="1">IF($C545&lt;&gt;"",INDEX('Team Indirect'!$E:$E,MATCH($C545,'Team Indirect'!$A:$A,0)),"")</f>
        <v/>
      </c>
      <c r="AA545" s="3" t="str">
        <f ca="1">IF($C545&lt;&gt;"",INDEX('Team Indirect'!$F:$F,MATCH($C545,'Team Indirect'!$A:$A,0)),"")</f>
        <v/>
      </c>
      <c r="AB545" s="3" t="str">
        <f t="shared" ca="1" si="8"/>
        <v/>
      </c>
      <c r="AC545" s="3">
        <f ca="1">IF(OR(AllocationUnits="Stories", AllocationUnits="Points"),'Work Indirect'!F545,F545/MAX('Work Indirect'!AB545,1))</f>
        <v>1</v>
      </c>
    </row>
    <row r="546" spans="1:29"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7" t="str">
        <f ca="1">IF(OFFSET('4. Work'!$A$1,ROW(D546)-1,COLUMN(D546)-1)="","",OFFSET('4. Work'!$A$1,ROW(D546)-1,COLUMN(D546)-1))</f>
        <v/>
      </c>
      <c r="E546" s="147"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I546" s="3" t="str">
        <f ca="1">IF(OFFSET('4. Work'!$A$1,ROW(I546)-1,COLUMN(I546)-1)="","",OFFSET('4. Work'!$A$1,ROW(I546)-1,COLUMN(I546)-1))</f>
        <v/>
      </c>
      <c r="T546" s="3" t="str">
        <f ca="1">IF(A546&lt;&gt;"",MAX('Initiative Indirect'!$T:$T)+(ROW(A546)-1),"")</f>
        <v/>
      </c>
      <c r="U546" s="3" t="str">
        <f ca="1">IF(B546&lt;&gt;"",INDEX('Initiative Indirect'!$T:$T,MATCH(B546,'Initiative Indirect'!$A:$A,0)),"")</f>
        <v/>
      </c>
      <c r="V546" s="3" t="str">
        <f ca="1">IF(C546&lt;&gt;"",INDEX('Team Indirect'!$T:$T,MATCH(C546,'Team Indirect'!$A:$A,0)),"")</f>
        <v/>
      </c>
      <c r="W546" s="3"/>
      <c r="X546" s="3"/>
      <c r="Y546" s="3" t="str">
        <f ca="1">IF($C546&lt;&gt;"",INDEX('Team Indirect'!$D:$D,MATCH($C546,'Team Indirect'!$A:$A,0)),"")</f>
        <v/>
      </c>
      <c r="Z546" s="3" t="str">
        <f ca="1">IF($C546&lt;&gt;"",INDEX('Team Indirect'!$E:$E,MATCH($C546,'Team Indirect'!$A:$A,0)),"")</f>
        <v/>
      </c>
      <c r="AA546" s="3" t="str">
        <f ca="1">IF($C546&lt;&gt;"",INDEX('Team Indirect'!$F:$F,MATCH($C546,'Team Indirect'!$A:$A,0)),"")</f>
        <v/>
      </c>
      <c r="AB546" s="3" t="str">
        <f t="shared" ca="1" si="8"/>
        <v/>
      </c>
      <c r="AC546" s="3">
        <f ca="1">IF(OR(AllocationUnits="Stories", AllocationUnits="Points"),'Work Indirect'!F546,F546/MAX('Work Indirect'!AB546,1))</f>
        <v>1</v>
      </c>
    </row>
    <row r="547" spans="1:29"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7" t="str">
        <f ca="1">IF(OFFSET('4. Work'!$A$1,ROW(D547)-1,COLUMN(D547)-1)="","",OFFSET('4. Work'!$A$1,ROW(D547)-1,COLUMN(D547)-1))</f>
        <v/>
      </c>
      <c r="E547" s="147"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I547" s="3" t="str">
        <f ca="1">IF(OFFSET('4. Work'!$A$1,ROW(I547)-1,COLUMN(I547)-1)="","",OFFSET('4. Work'!$A$1,ROW(I547)-1,COLUMN(I547)-1))</f>
        <v/>
      </c>
      <c r="T547" s="3" t="str">
        <f ca="1">IF(A547&lt;&gt;"",MAX('Initiative Indirect'!$T:$T)+(ROW(A547)-1),"")</f>
        <v/>
      </c>
      <c r="U547" s="3" t="str">
        <f ca="1">IF(B547&lt;&gt;"",INDEX('Initiative Indirect'!$T:$T,MATCH(B547,'Initiative Indirect'!$A:$A,0)),"")</f>
        <v/>
      </c>
      <c r="V547" s="3" t="str">
        <f ca="1">IF(C547&lt;&gt;"",INDEX('Team Indirect'!$T:$T,MATCH(C547,'Team Indirect'!$A:$A,0)),"")</f>
        <v/>
      </c>
      <c r="W547" s="3"/>
      <c r="X547" s="3"/>
      <c r="Y547" s="3" t="str">
        <f ca="1">IF($C547&lt;&gt;"",INDEX('Team Indirect'!$D:$D,MATCH($C547,'Team Indirect'!$A:$A,0)),"")</f>
        <v/>
      </c>
      <c r="Z547" s="3" t="str">
        <f ca="1">IF($C547&lt;&gt;"",INDEX('Team Indirect'!$E:$E,MATCH($C547,'Team Indirect'!$A:$A,0)),"")</f>
        <v/>
      </c>
      <c r="AA547" s="3" t="str">
        <f ca="1">IF($C547&lt;&gt;"",INDEX('Team Indirect'!$F:$F,MATCH($C547,'Team Indirect'!$A:$A,0)),"")</f>
        <v/>
      </c>
      <c r="AB547" s="3" t="str">
        <f t="shared" ca="1" si="8"/>
        <v/>
      </c>
      <c r="AC547" s="3">
        <f ca="1">IF(OR(AllocationUnits="Stories", AllocationUnits="Points"),'Work Indirect'!F547,F547/MAX('Work Indirect'!AB547,1))</f>
        <v>1</v>
      </c>
    </row>
    <row r="548" spans="1:29"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7" t="str">
        <f ca="1">IF(OFFSET('4. Work'!$A$1,ROW(D548)-1,COLUMN(D548)-1)="","",OFFSET('4. Work'!$A$1,ROW(D548)-1,COLUMN(D548)-1))</f>
        <v/>
      </c>
      <c r="E548" s="147"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I548" s="3" t="str">
        <f ca="1">IF(OFFSET('4. Work'!$A$1,ROW(I548)-1,COLUMN(I548)-1)="","",OFFSET('4. Work'!$A$1,ROW(I548)-1,COLUMN(I548)-1))</f>
        <v/>
      </c>
      <c r="T548" s="3" t="str">
        <f ca="1">IF(A548&lt;&gt;"",MAX('Initiative Indirect'!$T:$T)+(ROW(A548)-1),"")</f>
        <v/>
      </c>
      <c r="U548" s="3" t="str">
        <f ca="1">IF(B548&lt;&gt;"",INDEX('Initiative Indirect'!$T:$T,MATCH(B548,'Initiative Indirect'!$A:$A,0)),"")</f>
        <v/>
      </c>
      <c r="V548" s="3" t="str">
        <f ca="1">IF(C548&lt;&gt;"",INDEX('Team Indirect'!$T:$T,MATCH(C548,'Team Indirect'!$A:$A,0)),"")</f>
        <v/>
      </c>
      <c r="W548" s="3"/>
      <c r="X548" s="3"/>
      <c r="Y548" s="3" t="str">
        <f ca="1">IF($C548&lt;&gt;"",INDEX('Team Indirect'!$D:$D,MATCH($C548,'Team Indirect'!$A:$A,0)),"")</f>
        <v/>
      </c>
      <c r="Z548" s="3" t="str">
        <f ca="1">IF($C548&lt;&gt;"",INDEX('Team Indirect'!$E:$E,MATCH($C548,'Team Indirect'!$A:$A,0)),"")</f>
        <v/>
      </c>
      <c r="AA548" s="3" t="str">
        <f ca="1">IF($C548&lt;&gt;"",INDEX('Team Indirect'!$F:$F,MATCH($C548,'Team Indirect'!$A:$A,0)),"")</f>
        <v/>
      </c>
      <c r="AB548" s="3" t="str">
        <f t="shared" ca="1" si="8"/>
        <v/>
      </c>
      <c r="AC548" s="3">
        <f ca="1">IF(OR(AllocationUnits="Stories", AllocationUnits="Points"),'Work Indirect'!F548,F548/MAX('Work Indirect'!AB548,1))</f>
        <v>1</v>
      </c>
    </row>
    <row r="549" spans="1:29"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7" t="str">
        <f ca="1">IF(OFFSET('4. Work'!$A$1,ROW(D549)-1,COLUMN(D549)-1)="","",OFFSET('4. Work'!$A$1,ROW(D549)-1,COLUMN(D549)-1))</f>
        <v/>
      </c>
      <c r="E549" s="147"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I549" s="3" t="str">
        <f ca="1">IF(OFFSET('4. Work'!$A$1,ROW(I549)-1,COLUMN(I549)-1)="","",OFFSET('4. Work'!$A$1,ROW(I549)-1,COLUMN(I549)-1))</f>
        <v/>
      </c>
      <c r="T549" s="3" t="str">
        <f ca="1">IF(A549&lt;&gt;"",MAX('Initiative Indirect'!$T:$T)+(ROW(A549)-1),"")</f>
        <v/>
      </c>
      <c r="U549" s="3" t="str">
        <f ca="1">IF(B549&lt;&gt;"",INDEX('Initiative Indirect'!$T:$T,MATCH(B549,'Initiative Indirect'!$A:$A,0)),"")</f>
        <v/>
      </c>
      <c r="V549" s="3" t="str">
        <f ca="1">IF(C549&lt;&gt;"",INDEX('Team Indirect'!$T:$T,MATCH(C549,'Team Indirect'!$A:$A,0)),"")</f>
        <v/>
      </c>
      <c r="W549" s="3"/>
      <c r="X549" s="3"/>
      <c r="Y549" s="3" t="str">
        <f ca="1">IF($C549&lt;&gt;"",INDEX('Team Indirect'!$D:$D,MATCH($C549,'Team Indirect'!$A:$A,0)),"")</f>
        <v/>
      </c>
      <c r="Z549" s="3" t="str">
        <f ca="1">IF($C549&lt;&gt;"",INDEX('Team Indirect'!$E:$E,MATCH($C549,'Team Indirect'!$A:$A,0)),"")</f>
        <v/>
      </c>
      <c r="AA549" s="3" t="str">
        <f ca="1">IF($C549&lt;&gt;"",INDEX('Team Indirect'!$F:$F,MATCH($C549,'Team Indirect'!$A:$A,0)),"")</f>
        <v/>
      </c>
      <c r="AB549" s="3" t="str">
        <f t="shared" ca="1" si="8"/>
        <v/>
      </c>
      <c r="AC549" s="3">
        <f ca="1">IF(OR(AllocationUnits="Stories", AllocationUnits="Points"),'Work Indirect'!F549,F549/MAX('Work Indirect'!AB549,1))</f>
        <v>1</v>
      </c>
    </row>
    <row r="550" spans="1:29"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7" t="str">
        <f ca="1">IF(OFFSET('4. Work'!$A$1,ROW(D550)-1,COLUMN(D550)-1)="","",OFFSET('4. Work'!$A$1,ROW(D550)-1,COLUMN(D550)-1))</f>
        <v/>
      </c>
      <c r="E550" s="147"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I550" s="3" t="str">
        <f ca="1">IF(OFFSET('4. Work'!$A$1,ROW(I550)-1,COLUMN(I550)-1)="","",OFFSET('4. Work'!$A$1,ROW(I550)-1,COLUMN(I550)-1))</f>
        <v/>
      </c>
      <c r="T550" s="3" t="str">
        <f ca="1">IF(A550&lt;&gt;"",MAX('Initiative Indirect'!$T:$T)+(ROW(A550)-1),"")</f>
        <v/>
      </c>
      <c r="U550" s="3" t="str">
        <f ca="1">IF(B550&lt;&gt;"",INDEX('Initiative Indirect'!$T:$T,MATCH(B550,'Initiative Indirect'!$A:$A,0)),"")</f>
        <v/>
      </c>
      <c r="V550" s="3" t="str">
        <f ca="1">IF(C550&lt;&gt;"",INDEX('Team Indirect'!$T:$T,MATCH(C550,'Team Indirect'!$A:$A,0)),"")</f>
        <v/>
      </c>
      <c r="W550" s="3"/>
      <c r="X550" s="3"/>
      <c r="Y550" s="3" t="str">
        <f ca="1">IF($C550&lt;&gt;"",INDEX('Team Indirect'!$D:$D,MATCH($C550,'Team Indirect'!$A:$A,0)),"")</f>
        <v/>
      </c>
      <c r="Z550" s="3" t="str">
        <f ca="1">IF($C550&lt;&gt;"",INDEX('Team Indirect'!$E:$E,MATCH($C550,'Team Indirect'!$A:$A,0)),"")</f>
        <v/>
      </c>
      <c r="AA550" s="3" t="str">
        <f ca="1">IF($C550&lt;&gt;"",INDEX('Team Indirect'!$F:$F,MATCH($C550,'Team Indirect'!$A:$A,0)),"")</f>
        <v/>
      </c>
      <c r="AB550" s="3" t="str">
        <f t="shared" ca="1" si="8"/>
        <v/>
      </c>
      <c r="AC550" s="3">
        <f ca="1">IF(OR(AllocationUnits="Stories", AllocationUnits="Points"),'Work Indirect'!F550,F550/MAX('Work Indirect'!AB550,1))</f>
        <v>1</v>
      </c>
    </row>
    <row r="551" spans="1:29"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7" t="str">
        <f ca="1">IF(OFFSET('4. Work'!$A$1,ROW(D551)-1,COLUMN(D551)-1)="","",OFFSET('4. Work'!$A$1,ROW(D551)-1,COLUMN(D551)-1))</f>
        <v/>
      </c>
      <c r="E551" s="147"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I551" s="3" t="str">
        <f ca="1">IF(OFFSET('4. Work'!$A$1,ROW(I551)-1,COLUMN(I551)-1)="","",OFFSET('4. Work'!$A$1,ROW(I551)-1,COLUMN(I551)-1))</f>
        <v/>
      </c>
      <c r="T551" s="3" t="str">
        <f ca="1">IF(A551&lt;&gt;"",MAX('Initiative Indirect'!$T:$T)+(ROW(A551)-1),"")</f>
        <v/>
      </c>
      <c r="U551" s="3" t="str">
        <f ca="1">IF(B551&lt;&gt;"",INDEX('Initiative Indirect'!$T:$T,MATCH(B551,'Initiative Indirect'!$A:$A,0)),"")</f>
        <v/>
      </c>
      <c r="V551" s="3" t="str">
        <f ca="1">IF(C551&lt;&gt;"",INDEX('Team Indirect'!$T:$T,MATCH(C551,'Team Indirect'!$A:$A,0)),"")</f>
        <v/>
      </c>
      <c r="W551" s="3"/>
      <c r="X551" s="3"/>
      <c r="Y551" s="3" t="str">
        <f ca="1">IF($C551&lt;&gt;"",INDEX('Team Indirect'!$D:$D,MATCH($C551,'Team Indirect'!$A:$A,0)),"")</f>
        <v/>
      </c>
      <c r="Z551" s="3" t="str">
        <f ca="1">IF($C551&lt;&gt;"",INDEX('Team Indirect'!$E:$E,MATCH($C551,'Team Indirect'!$A:$A,0)),"")</f>
        <v/>
      </c>
      <c r="AA551" s="3" t="str">
        <f ca="1">IF($C551&lt;&gt;"",INDEX('Team Indirect'!$F:$F,MATCH($C551,'Team Indirect'!$A:$A,0)),"")</f>
        <v/>
      </c>
      <c r="AB551" s="3" t="str">
        <f t="shared" ca="1" si="8"/>
        <v/>
      </c>
      <c r="AC551" s="3">
        <f ca="1">IF(OR(AllocationUnits="Stories", AllocationUnits="Points"),'Work Indirect'!F551,F551/MAX('Work Indirect'!AB551,1))</f>
        <v>1</v>
      </c>
    </row>
    <row r="552" spans="1:29"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7" t="str">
        <f ca="1">IF(OFFSET('4. Work'!$A$1,ROW(D552)-1,COLUMN(D552)-1)="","",OFFSET('4. Work'!$A$1,ROW(D552)-1,COLUMN(D552)-1))</f>
        <v/>
      </c>
      <c r="E552" s="147"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I552" s="3" t="str">
        <f ca="1">IF(OFFSET('4. Work'!$A$1,ROW(I552)-1,COLUMN(I552)-1)="","",OFFSET('4. Work'!$A$1,ROW(I552)-1,COLUMN(I552)-1))</f>
        <v/>
      </c>
      <c r="T552" s="3" t="str">
        <f ca="1">IF(A552&lt;&gt;"",MAX('Initiative Indirect'!$T:$T)+(ROW(A552)-1),"")</f>
        <v/>
      </c>
      <c r="U552" s="3" t="str">
        <f ca="1">IF(B552&lt;&gt;"",INDEX('Initiative Indirect'!$T:$T,MATCH(B552,'Initiative Indirect'!$A:$A,0)),"")</f>
        <v/>
      </c>
      <c r="V552" s="3" t="str">
        <f ca="1">IF(C552&lt;&gt;"",INDEX('Team Indirect'!$T:$T,MATCH(C552,'Team Indirect'!$A:$A,0)),"")</f>
        <v/>
      </c>
      <c r="W552" s="3"/>
      <c r="X552" s="3"/>
      <c r="Y552" s="3" t="str">
        <f ca="1">IF($C552&lt;&gt;"",INDEX('Team Indirect'!$D:$D,MATCH($C552,'Team Indirect'!$A:$A,0)),"")</f>
        <v/>
      </c>
      <c r="Z552" s="3" t="str">
        <f ca="1">IF($C552&lt;&gt;"",INDEX('Team Indirect'!$E:$E,MATCH($C552,'Team Indirect'!$A:$A,0)),"")</f>
        <v/>
      </c>
      <c r="AA552" s="3" t="str">
        <f ca="1">IF($C552&lt;&gt;"",INDEX('Team Indirect'!$F:$F,MATCH($C552,'Team Indirect'!$A:$A,0)),"")</f>
        <v/>
      </c>
      <c r="AB552" s="3" t="str">
        <f t="shared" ca="1" si="8"/>
        <v/>
      </c>
      <c r="AC552" s="3">
        <f ca="1">IF(OR(AllocationUnits="Stories", AllocationUnits="Points"),'Work Indirect'!F552,F552/MAX('Work Indirect'!AB552,1))</f>
        <v>1</v>
      </c>
    </row>
    <row r="553" spans="1:29"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7" t="str">
        <f ca="1">IF(OFFSET('4. Work'!$A$1,ROW(D553)-1,COLUMN(D553)-1)="","",OFFSET('4. Work'!$A$1,ROW(D553)-1,COLUMN(D553)-1))</f>
        <v/>
      </c>
      <c r="E553" s="147"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I553" s="3" t="str">
        <f ca="1">IF(OFFSET('4. Work'!$A$1,ROW(I553)-1,COLUMN(I553)-1)="","",OFFSET('4. Work'!$A$1,ROW(I553)-1,COLUMN(I553)-1))</f>
        <v/>
      </c>
      <c r="T553" s="3" t="str">
        <f ca="1">IF(A553&lt;&gt;"",MAX('Initiative Indirect'!$T:$T)+(ROW(A553)-1),"")</f>
        <v/>
      </c>
      <c r="U553" s="3" t="str">
        <f ca="1">IF(B553&lt;&gt;"",INDEX('Initiative Indirect'!$T:$T,MATCH(B553,'Initiative Indirect'!$A:$A,0)),"")</f>
        <v/>
      </c>
      <c r="V553" s="3" t="str">
        <f ca="1">IF(C553&lt;&gt;"",INDEX('Team Indirect'!$T:$T,MATCH(C553,'Team Indirect'!$A:$A,0)),"")</f>
        <v/>
      </c>
      <c r="W553" s="3"/>
      <c r="X553" s="3"/>
      <c r="Y553" s="3" t="str">
        <f ca="1">IF($C553&lt;&gt;"",INDEX('Team Indirect'!$D:$D,MATCH($C553,'Team Indirect'!$A:$A,0)),"")</f>
        <v/>
      </c>
      <c r="Z553" s="3" t="str">
        <f ca="1">IF($C553&lt;&gt;"",INDEX('Team Indirect'!$E:$E,MATCH($C553,'Team Indirect'!$A:$A,0)),"")</f>
        <v/>
      </c>
      <c r="AA553" s="3" t="str">
        <f ca="1">IF($C553&lt;&gt;"",INDEX('Team Indirect'!$F:$F,MATCH($C553,'Team Indirect'!$A:$A,0)),"")</f>
        <v/>
      </c>
      <c r="AB553" s="3" t="str">
        <f t="shared" ca="1" si="8"/>
        <v/>
      </c>
      <c r="AC553" s="3">
        <f ca="1">IF(OR(AllocationUnits="Stories", AllocationUnits="Points"),'Work Indirect'!F553,F553/MAX('Work Indirect'!AB553,1))</f>
        <v>1</v>
      </c>
    </row>
    <row r="554" spans="1:29"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7" t="str">
        <f ca="1">IF(OFFSET('4. Work'!$A$1,ROW(D554)-1,COLUMN(D554)-1)="","",OFFSET('4. Work'!$A$1,ROW(D554)-1,COLUMN(D554)-1))</f>
        <v/>
      </c>
      <c r="E554" s="147"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I554" s="3" t="str">
        <f ca="1">IF(OFFSET('4. Work'!$A$1,ROW(I554)-1,COLUMN(I554)-1)="","",OFFSET('4. Work'!$A$1,ROW(I554)-1,COLUMN(I554)-1))</f>
        <v/>
      </c>
      <c r="T554" s="3" t="str">
        <f ca="1">IF(A554&lt;&gt;"",MAX('Initiative Indirect'!$T:$T)+(ROW(A554)-1),"")</f>
        <v/>
      </c>
      <c r="U554" s="3" t="str">
        <f ca="1">IF(B554&lt;&gt;"",INDEX('Initiative Indirect'!$T:$T,MATCH(B554,'Initiative Indirect'!$A:$A,0)),"")</f>
        <v/>
      </c>
      <c r="V554" s="3" t="str">
        <f ca="1">IF(C554&lt;&gt;"",INDEX('Team Indirect'!$T:$T,MATCH(C554,'Team Indirect'!$A:$A,0)),"")</f>
        <v/>
      </c>
      <c r="W554" s="3"/>
      <c r="X554" s="3"/>
      <c r="Y554" s="3" t="str">
        <f ca="1">IF($C554&lt;&gt;"",INDEX('Team Indirect'!$D:$D,MATCH($C554,'Team Indirect'!$A:$A,0)),"")</f>
        <v/>
      </c>
      <c r="Z554" s="3" t="str">
        <f ca="1">IF($C554&lt;&gt;"",INDEX('Team Indirect'!$E:$E,MATCH($C554,'Team Indirect'!$A:$A,0)),"")</f>
        <v/>
      </c>
      <c r="AA554" s="3" t="str">
        <f ca="1">IF($C554&lt;&gt;"",INDEX('Team Indirect'!$F:$F,MATCH($C554,'Team Indirect'!$A:$A,0)),"")</f>
        <v/>
      </c>
      <c r="AB554" s="3" t="str">
        <f t="shared" ca="1" si="8"/>
        <v/>
      </c>
      <c r="AC554" s="3">
        <f ca="1">IF(OR(AllocationUnits="Stories", AllocationUnits="Points"),'Work Indirect'!F554,F554/MAX('Work Indirect'!AB554,1))</f>
        <v>1</v>
      </c>
    </row>
    <row r="555" spans="1:29"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7" t="str">
        <f ca="1">IF(OFFSET('4. Work'!$A$1,ROW(D555)-1,COLUMN(D555)-1)="","",OFFSET('4. Work'!$A$1,ROW(D555)-1,COLUMN(D555)-1))</f>
        <v/>
      </c>
      <c r="E555" s="147"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I555" s="3" t="str">
        <f ca="1">IF(OFFSET('4. Work'!$A$1,ROW(I555)-1,COLUMN(I555)-1)="","",OFFSET('4. Work'!$A$1,ROW(I555)-1,COLUMN(I555)-1))</f>
        <v/>
      </c>
      <c r="T555" s="3" t="str">
        <f ca="1">IF(A555&lt;&gt;"",MAX('Initiative Indirect'!$T:$T)+(ROW(A555)-1),"")</f>
        <v/>
      </c>
      <c r="U555" s="3" t="str">
        <f ca="1">IF(B555&lt;&gt;"",INDEX('Initiative Indirect'!$T:$T,MATCH(B555,'Initiative Indirect'!$A:$A,0)),"")</f>
        <v/>
      </c>
      <c r="V555" s="3" t="str">
        <f ca="1">IF(C555&lt;&gt;"",INDEX('Team Indirect'!$T:$T,MATCH(C555,'Team Indirect'!$A:$A,0)),"")</f>
        <v/>
      </c>
      <c r="W555" s="3"/>
      <c r="X555" s="3"/>
      <c r="Y555" s="3" t="str">
        <f ca="1">IF($C555&lt;&gt;"",INDEX('Team Indirect'!$D:$D,MATCH($C555,'Team Indirect'!$A:$A,0)),"")</f>
        <v/>
      </c>
      <c r="Z555" s="3" t="str">
        <f ca="1">IF($C555&lt;&gt;"",INDEX('Team Indirect'!$E:$E,MATCH($C555,'Team Indirect'!$A:$A,0)),"")</f>
        <v/>
      </c>
      <c r="AA555" s="3" t="str">
        <f ca="1">IF($C555&lt;&gt;"",INDEX('Team Indirect'!$F:$F,MATCH($C555,'Team Indirect'!$A:$A,0)),"")</f>
        <v/>
      </c>
      <c r="AB555" s="3" t="str">
        <f t="shared" ca="1" si="8"/>
        <v/>
      </c>
      <c r="AC555" s="3">
        <f ca="1">IF(OR(AllocationUnits="Stories", AllocationUnits="Points"),'Work Indirect'!F555,F555/MAX('Work Indirect'!AB555,1))</f>
        <v>1</v>
      </c>
    </row>
    <row r="556" spans="1:29"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7" t="str">
        <f ca="1">IF(OFFSET('4. Work'!$A$1,ROW(D556)-1,COLUMN(D556)-1)="","",OFFSET('4. Work'!$A$1,ROW(D556)-1,COLUMN(D556)-1))</f>
        <v/>
      </c>
      <c r="E556" s="147"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I556" s="3" t="str">
        <f ca="1">IF(OFFSET('4. Work'!$A$1,ROW(I556)-1,COLUMN(I556)-1)="","",OFFSET('4. Work'!$A$1,ROW(I556)-1,COLUMN(I556)-1))</f>
        <v/>
      </c>
      <c r="T556" s="3" t="str">
        <f ca="1">IF(A556&lt;&gt;"",MAX('Initiative Indirect'!$T:$T)+(ROW(A556)-1),"")</f>
        <v/>
      </c>
      <c r="U556" s="3" t="str">
        <f ca="1">IF(B556&lt;&gt;"",INDEX('Initiative Indirect'!$T:$T,MATCH(B556,'Initiative Indirect'!$A:$A,0)),"")</f>
        <v/>
      </c>
      <c r="V556" s="3" t="str">
        <f ca="1">IF(C556&lt;&gt;"",INDEX('Team Indirect'!$T:$T,MATCH(C556,'Team Indirect'!$A:$A,0)),"")</f>
        <v/>
      </c>
      <c r="W556" s="3"/>
      <c r="X556" s="3"/>
      <c r="Y556" s="3" t="str">
        <f ca="1">IF($C556&lt;&gt;"",INDEX('Team Indirect'!$D:$D,MATCH($C556,'Team Indirect'!$A:$A,0)),"")</f>
        <v/>
      </c>
      <c r="Z556" s="3" t="str">
        <f ca="1">IF($C556&lt;&gt;"",INDEX('Team Indirect'!$E:$E,MATCH($C556,'Team Indirect'!$A:$A,0)),"")</f>
        <v/>
      </c>
      <c r="AA556" s="3" t="str">
        <f ca="1">IF($C556&lt;&gt;"",INDEX('Team Indirect'!$F:$F,MATCH($C556,'Team Indirect'!$A:$A,0)),"")</f>
        <v/>
      </c>
      <c r="AB556" s="3" t="str">
        <f t="shared" ca="1" si="8"/>
        <v/>
      </c>
      <c r="AC556" s="3">
        <f ca="1">IF(OR(AllocationUnits="Stories", AllocationUnits="Points"),'Work Indirect'!F556,F556/MAX('Work Indirect'!AB556,1))</f>
        <v>1</v>
      </c>
    </row>
    <row r="557" spans="1:29"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7" t="str">
        <f ca="1">IF(OFFSET('4. Work'!$A$1,ROW(D557)-1,COLUMN(D557)-1)="","",OFFSET('4. Work'!$A$1,ROW(D557)-1,COLUMN(D557)-1))</f>
        <v/>
      </c>
      <c r="E557" s="147"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I557" s="3" t="str">
        <f ca="1">IF(OFFSET('4. Work'!$A$1,ROW(I557)-1,COLUMN(I557)-1)="","",OFFSET('4. Work'!$A$1,ROW(I557)-1,COLUMN(I557)-1))</f>
        <v/>
      </c>
      <c r="T557" s="3" t="str">
        <f ca="1">IF(A557&lt;&gt;"",MAX('Initiative Indirect'!$T:$T)+(ROW(A557)-1),"")</f>
        <v/>
      </c>
      <c r="U557" s="3" t="str">
        <f ca="1">IF(B557&lt;&gt;"",INDEX('Initiative Indirect'!$T:$T,MATCH(B557,'Initiative Indirect'!$A:$A,0)),"")</f>
        <v/>
      </c>
      <c r="V557" s="3" t="str">
        <f ca="1">IF(C557&lt;&gt;"",INDEX('Team Indirect'!$T:$T,MATCH(C557,'Team Indirect'!$A:$A,0)),"")</f>
        <v/>
      </c>
      <c r="W557" s="3"/>
      <c r="X557" s="3"/>
      <c r="Y557" s="3" t="str">
        <f ca="1">IF($C557&lt;&gt;"",INDEX('Team Indirect'!$D:$D,MATCH($C557,'Team Indirect'!$A:$A,0)),"")</f>
        <v/>
      </c>
      <c r="Z557" s="3" t="str">
        <f ca="1">IF($C557&lt;&gt;"",INDEX('Team Indirect'!$E:$E,MATCH($C557,'Team Indirect'!$A:$A,0)),"")</f>
        <v/>
      </c>
      <c r="AA557" s="3" t="str">
        <f ca="1">IF($C557&lt;&gt;"",INDEX('Team Indirect'!$F:$F,MATCH($C557,'Team Indirect'!$A:$A,0)),"")</f>
        <v/>
      </c>
      <c r="AB557" s="3" t="str">
        <f t="shared" ca="1" si="8"/>
        <v/>
      </c>
      <c r="AC557" s="3">
        <f ca="1">IF(OR(AllocationUnits="Stories", AllocationUnits="Points"),'Work Indirect'!F557,F557/MAX('Work Indirect'!AB557,1))</f>
        <v>1</v>
      </c>
    </row>
    <row r="558" spans="1:29"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7" t="str">
        <f ca="1">IF(OFFSET('4. Work'!$A$1,ROW(D558)-1,COLUMN(D558)-1)="","",OFFSET('4. Work'!$A$1,ROW(D558)-1,COLUMN(D558)-1))</f>
        <v/>
      </c>
      <c r="E558" s="147"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I558" s="3" t="str">
        <f ca="1">IF(OFFSET('4. Work'!$A$1,ROW(I558)-1,COLUMN(I558)-1)="","",OFFSET('4. Work'!$A$1,ROW(I558)-1,COLUMN(I558)-1))</f>
        <v/>
      </c>
      <c r="T558" s="3" t="str">
        <f ca="1">IF(A558&lt;&gt;"",MAX('Initiative Indirect'!$T:$T)+(ROW(A558)-1),"")</f>
        <v/>
      </c>
      <c r="U558" s="3" t="str">
        <f ca="1">IF(B558&lt;&gt;"",INDEX('Initiative Indirect'!$T:$T,MATCH(B558,'Initiative Indirect'!$A:$A,0)),"")</f>
        <v/>
      </c>
      <c r="V558" s="3" t="str">
        <f ca="1">IF(C558&lt;&gt;"",INDEX('Team Indirect'!$T:$T,MATCH(C558,'Team Indirect'!$A:$A,0)),"")</f>
        <v/>
      </c>
      <c r="W558" s="3"/>
      <c r="X558" s="3"/>
      <c r="Y558" s="3" t="str">
        <f ca="1">IF($C558&lt;&gt;"",INDEX('Team Indirect'!$D:$D,MATCH($C558,'Team Indirect'!$A:$A,0)),"")</f>
        <v/>
      </c>
      <c r="Z558" s="3" t="str">
        <f ca="1">IF($C558&lt;&gt;"",INDEX('Team Indirect'!$E:$E,MATCH($C558,'Team Indirect'!$A:$A,0)),"")</f>
        <v/>
      </c>
      <c r="AA558" s="3" t="str">
        <f ca="1">IF($C558&lt;&gt;"",INDEX('Team Indirect'!$F:$F,MATCH($C558,'Team Indirect'!$A:$A,0)),"")</f>
        <v/>
      </c>
      <c r="AB558" s="3" t="str">
        <f t="shared" ca="1" si="8"/>
        <v/>
      </c>
      <c r="AC558" s="3">
        <f ca="1">IF(OR(AllocationUnits="Stories", AllocationUnits="Points"),'Work Indirect'!F558,F558/MAX('Work Indirect'!AB558,1))</f>
        <v>1</v>
      </c>
    </row>
    <row r="559" spans="1:29"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7" t="str">
        <f ca="1">IF(OFFSET('4. Work'!$A$1,ROW(D559)-1,COLUMN(D559)-1)="","",OFFSET('4. Work'!$A$1,ROW(D559)-1,COLUMN(D559)-1))</f>
        <v/>
      </c>
      <c r="E559" s="147"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I559" s="3" t="str">
        <f ca="1">IF(OFFSET('4. Work'!$A$1,ROW(I559)-1,COLUMN(I559)-1)="","",OFFSET('4. Work'!$A$1,ROW(I559)-1,COLUMN(I559)-1))</f>
        <v/>
      </c>
      <c r="T559" s="3" t="str">
        <f ca="1">IF(A559&lt;&gt;"",MAX('Initiative Indirect'!$T:$T)+(ROW(A559)-1),"")</f>
        <v/>
      </c>
      <c r="U559" s="3" t="str">
        <f ca="1">IF(B559&lt;&gt;"",INDEX('Initiative Indirect'!$T:$T,MATCH(B559,'Initiative Indirect'!$A:$A,0)),"")</f>
        <v/>
      </c>
      <c r="V559" s="3" t="str">
        <f ca="1">IF(C559&lt;&gt;"",INDEX('Team Indirect'!$T:$T,MATCH(C559,'Team Indirect'!$A:$A,0)),"")</f>
        <v/>
      </c>
      <c r="W559" s="3"/>
      <c r="X559" s="3"/>
      <c r="Y559" s="3" t="str">
        <f ca="1">IF($C559&lt;&gt;"",INDEX('Team Indirect'!$D:$D,MATCH($C559,'Team Indirect'!$A:$A,0)),"")</f>
        <v/>
      </c>
      <c r="Z559" s="3" t="str">
        <f ca="1">IF($C559&lt;&gt;"",INDEX('Team Indirect'!$E:$E,MATCH($C559,'Team Indirect'!$A:$A,0)),"")</f>
        <v/>
      </c>
      <c r="AA559" s="3" t="str">
        <f ca="1">IF($C559&lt;&gt;"",INDEX('Team Indirect'!$F:$F,MATCH($C559,'Team Indirect'!$A:$A,0)),"")</f>
        <v/>
      </c>
      <c r="AB559" s="3" t="str">
        <f t="shared" ca="1" si="8"/>
        <v/>
      </c>
      <c r="AC559" s="3">
        <f ca="1">IF(OR(AllocationUnits="Stories", AllocationUnits="Points"),'Work Indirect'!F559,F559/MAX('Work Indirect'!AB559,1))</f>
        <v>1</v>
      </c>
    </row>
    <row r="560" spans="1:29"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7" t="str">
        <f ca="1">IF(OFFSET('4. Work'!$A$1,ROW(D560)-1,COLUMN(D560)-1)="","",OFFSET('4. Work'!$A$1,ROW(D560)-1,COLUMN(D560)-1))</f>
        <v/>
      </c>
      <c r="E560" s="147"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I560" s="3" t="str">
        <f ca="1">IF(OFFSET('4. Work'!$A$1,ROW(I560)-1,COLUMN(I560)-1)="","",OFFSET('4. Work'!$A$1,ROW(I560)-1,COLUMN(I560)-1))</f>
        <v/>
      </c>
      <c r="T560" s="3" t="str">
        <f ca="1">IF(A560&lt;&gt;"",MAX('Initiative Indirect'!$T:$T)+(ROW(A560)-1),"")</f>
        <v/>
      </c>
      <c r="U560" s="3" t="str">
        <f ca="1">IF(B560&lt;&gt;"",INDEX('Initiative Indirect'!$T:$T,MATCH(B560,'Initiative Indirect'!$A:$A,0)),"")</f>
        <v/>
      </c>
      <c r="V560" s="3" t="str">
        <f ca="1">IF(C560&lt;&gt;"",INDEX('Team Indirect'!$T:$T,MATCH(C560,'Team Indirect'!$A:$A,0)),"")</f>
        <v/>
      </c>
      <c r="W560" s="3"/>
      <c r="X560" s="3"/>
      <c r="Y560" s="3" t="str">
        <f ca="1">IF($C560&lt;&gt;"",INDEX('Team Indirect'!$D:$D,MATCH($C560,'Team Indirect'!$A:$A,0)),"")</f>
        <v/>
      </c>
      <c r="Z560" s="3" t="str">
        <f ca="1">IF($C560&lt;&gt;"",INDEX('Team Indirect'!$E:$E,MATCH($C560,'Team Indirect'!$A:$A,0)),"")</f>
        <v/>
      </c>
      <c r="AA560" s="3" t="str">
        <f ca="1">IF($C560&lt;&gt;"",INDEX('Team Indirect'!$F:$F,MATCH($C560,'Team Indirect'!$A:$A,0)),"")</f>
        <v/>
      </c>
      <c r="AB560" s="3" t="str">
        <f t="shared" ca="1" si="8"/>
        <v/>
      </c>
      <c r="AC560" s="3">
        <f ca="1">IF(OR(AllocationUnits="Stories", AllocationUnits="Points"),'Work Indirect'!F560,F560/MAX('Work Indirect'!AB560,1))</f>
        <v>1</v>
      </c>
    </row>
    <row r="561" spans="1:29"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7" t="str">
        <f ca="1">IF(OFFSET('4. Work'!$A$1,ROW(D561)-1,COLUMN(D561)-1)="","",OFFSET('4. Work'!$A$1,ROW(D561)-1,COLUMN(D561)-1))</f>
        <v/>
      </c>
      <c r="E561" s="147"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I561" s="3" t="str">
        <f ca="1">IF(OFFSET('4. Work'!$A$1,ROW(I561)-1,COLUMN(I561)-1)="","",OFFSET('4. Work'!$A$1,ROW(I561)-1,COLUMN(I561)-1))</f>
        <v/>
      </c>
      <c r="T561" s="3" t="str">
        <f ca="1">IF(A561&lt;&gt;"",MAX('Initiative Indirect'!$T:$T)+(ROW(A561)-1),"")</f>
        <v/>
      </c>
      <c r="U561" s="3" t="str">
        <f ca="1">IF(B561&lt;&gt;"",INDEX('Initiative Indirect'!$T:$T,MATCH(B561,'Initiative Indirect'!$A:$A,0)),"")</f>
        <v/>
      </c>
      <c r="V561" s="3" t="str">
        <f ca="1">IF(C561&lt;&gt;"",INDEX('Team Indirect'!$T:$T,MATCH(C561,'Team Indirect'!$A:$A,0)),"")</f>
        <v/>
      </c>
      <c r="W561" s="3"/>
      <c r="X561" s="3"/>
      <c r="Y561" s="3" t="str">
        <f ca="1">IF($C561&lt;&gt;"",INDEX('Team Indirect'!$D:$D,MATCH($C561,'Team Indirect'!$A:$A,0)),"")</f>
        <v/>
      </c>
      <c r="Z561" s="3" t="str">
        <f ca="1">IF($C561&lt;&gt;"",INDEX('Team Indirect'!$E:$E,MATCH($C561,'Team Indirect'!$A:$A,0)),"")</f>
        <v/>
      </c>
      <c r="AA561" s="3" t="str">
        <f ca="1">IF($C561&lt;&gt;"",INDEX('Team Indirect'!$F:$F,MATCH($C561,'Team Indirect'!$A:$A,0)),"")</f>
        <v/>
      </c>
      <c r="AB561" s="3" t="str">
        <f t="shared" ca="1" si="8"/>
        <v/>
      </c>
      <c r="AC561" s="3">
        <f ca="1">IF(OR(AllocationUnits="Stories", AllocationUnits="Points"),'Work Indirect'!F561,F561/MAX('Work Indirect'!AB561,1))</f>
        <v>1</v>
      </c>
    </row>
    <row r="562" spans="1:29"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7" t="str">
        <f ca="1">IF(OFFSET('4. Work'!$A$1,ROW(D562)-1,COLUMN(D562)-1)="","",OFFSET('4. Work'!$A$1,ROW(D562)-1,COLUMN(D562)-1))</f>
        <v/>
      </c>
      <c r="E562" s="147"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I562" s="3" t="str">
        <f ca="1">IF(OFFSET('4. Work'!$A$1,ROW(I562)-1,COLUMN(I562)-1)="","",OFFSET('4. Work'!$A$1,ROW(I562)-1,COLUMN(I562)-1))</f>
        <v/>
      </c>
      <c r="T562" s="3" t="str">
        <f ca="1">IF(A562&lt;&gt;"",MAX('Initiative Indirect'!$T:$T)+(ROW(A562)-1),"")</f>
        <v/>
      </c>
      <c r="U562" s="3" t="str">
        <f ca="1">IF(B562&lt;&gt;"",INDEX('Initiative Indirect'!$T:$T,MATCH(B562,'Initiative Indirect'!$A:$A,0)),"")</f>
        <v/>
      </c>
      <c r="V562" s="3" t="str">
        <f ca="1">IF(C562&lt;&gt;"",INDEX('Team Indirect'!$T:$T,MATCH(C562,'Team Indirect'!$A:$A,0)),"")</f>
        <v/>
      </c>
      <c r="W562" s="3"/>
      <c r="X562" s="3"/>
      <c r="Y562" s="3" t="str">
        <f ca="1">IF($C562&lt;&gt;"",INDEX('Team Indirect'!$D:$D,MATCH($C562,'Team Indirect'!$A:$A,0)),"")</f>
        <v/>
      </c>
      <c r="Z562" s="3" t="str">
        <f ca="1">IF($C562&lt;&gt;"",INDEX('Team Indirect'!$E:$E,MATCH($C562,'Team Indirect'!$A:$A,0)),"")</f>
        <v/>
      </c>
      <c r="AA562" s="3" t="str">
        <f ca="1">IF($C562&lt;&gt;"",INDEX('Team Indirect'!$F:$F,MATCH($C562,'Team Indirect'!$A:$A,0)),"")</f>
        <v/>
      </c>
      <c r="AB562" s="3" t="str">
        <f t="shared" ca="1" si="8"/>
        <v/>
      </c>
      <c r="AC562" s="3">
        <f ca="1">IF(OR(AllocationUnits="Stories", AllocationUnits="Points"),'Work Indirect'!F562,F562/MAX('Work Indirect'!AB562,1))</f>
        <v>1</v>
      </c>
    </row>
    <row r="563" spans="1:29"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7" t="str">
        <f ca="1">IF(OFFSET('4. Work'!$A$1,ROW(D563)-1,COLUMN(D563)-1)="","",OFFSET('4. Work'!$A$1,ROW(D563)-1,COLUMN(D563)-1))</f>
        <v/>
      </c>
      <c r="E563" s="147"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I563" s="3" t="str">
        <f ca="1">IF(OFFSET('4. Work'!$A$1,ROW(I563)-1,COLUMN(I563)-1)="","",OFFSET('4. Work'!$A$1,ROW(I563)-1,COLUMN(I563)-1))</f>
        <v/>
      </c>
      <c r="T563" s="3" t="str">
        <f ca="1">IF(A563&lt;&gt;"",MAX('Initiative Indirect'!$T:$T)+(ROW(A563)-1),"")</f>
        <v/>
      </c>
      <c r="U563" s="3" t="str">
        <f ca="1">IF(B563&lt;&gt;"",INDEX('Initiative Indirect'!$T:$T,MATCH(B563,'Initiative Indirect'!$A:$A,0)),"")</f>
        <v/>
      </c>
      <c r="V563" s="3" t="str">
        <f ca="1">IF(C563&lt;&gt;"",INDEX('Team Indirect'!$T:$T,MATCH(C563,'Team Indirect'!$A:$A,0)),"")</f>
        <v/>
      </c>
      <c r="W563" s="3"/>
      <c r="X563" s="3"/>
      <c r="Y563" s="3" t="str">
        <f ca="1">IF($C563&lt;&gt;"",INDEX('Team Indirect'!$D:$D,MATCH($C563,'Team Indirect'!$A:$A,0)),"")</f>
        <v/>
      </c>
      <c r="Z563" s="3" t="str">
        <f ca="1">IF($C563&lt;&gt;"",INDEX('Team Indirect'!$E:$E,MATCH($C563,'Team Indirect'!$A:$A,0)),"")</f>
        <v/>
      </c>
      <c r="AA563" s="3" t="str">
        <f ca="1">IF($C563&lt;&gt;"",INDEX('Team Indirect'!$F:$F,MATCH($C563,'Team Indirect'!$A:$A,0)),"")</f>
        <v/>
      </c>
      <c r="AB563" s="3" t="str">
        <f t="shared" ca="1" si="8"/>
        <v/>
      </c>
      <c r="AC563" s="3">
        <f ca="1">IF(OR(AllocationUnits="Stories", AllocationUnits="Points"),'Work Indirect'!F563,F563/MAX('Work Indirect'!AB563,1))</f>
        <v>1</v>
      </c>
    </row>
    <row r="564" spans="1:29"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7" t="str">
        <f ca="1">IF(OFFSET('4. Work'!$A$1,ROW(D564)-1,COLUMN(D564)-1)="","",OFFSET('4. Work'!$A$1,ROW(D564)-1,COLUMN(D564)-1))</f>
        <v/>
      </c>
      <c r="E564" s="147"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I564" s="3" t="str">
        <f ca="1">IF(OFFSET('4. Work'!$A$1,ROW(I564)-1,COLUMN(I564)-1)="","",OFFSET('4. Work'!$A$1,ROW(I564)-1,COLUMN(I564)-1))</f>
        <v/>
      </c>
      <c r="T564" s="3" t="str">
        <f ca="1">IF(A564&lt;&gt;"",MAX('Initiative Indirect'!$T:$T)+(ROW(A564)-1),"")</f>
        <v/>
      </c>
      <c r="U564" s="3" t="str">
        <f ca="1">IF(B564&lt;&gt;"",INDEX('Initiative Indirect'!$T:$T,MATCH(B564,'Initiative Indirect'!$A:$A,0)),"")</f>
        <v/>
      </c>
      <c r="V564" s="3" t="str">
        <f ca="1">IF(C564&lt;&gt;"",INDEX('Team Indirect'!$T:$T,MATCH(C564,'Team Indirect'!$A:$A,0)),"")</f>
        <v/>
      </c>
      <c r="W564" s="3"/>
      <c r="X564" s="3"/>
      <c r="Y564" s="3" t="str">
        <f ca="1">IF($C564&lt;&gt;"",INDEX('Team Indirect'!$D:$D,MATCH($C564,'Team Indirect'!$A:$A,0)),"")</f>
        <v/>
      </c>
      <c r="Z564" s="3" t="str">
        <f ca="1">IF($C564&lt;&gt;"",INDEX('Team Indirect'!$E:$E,MATCH($C564,'Team Indirect'!$A:$A,0)),"")</f>
        <v/>
      </c>
      <c r="AA564" s="3" t="str">
        <f ca="1">IF($C564&lt;&gt;"",INDEX('Team Indirect'!$F:$F,MATCH($C564,'Team Indirect'!$A:$A,0)),"")</f>
        <v/>
      </c>
      <c r="AB564" s="3" t="str">
        <f t="shared" ca="1" si="8"/>
        <v/>
      </c>
      <c r="AC564" s="3">
        <f ca="1">IF(OR(AllocationUnits="Stories", AllocationUnits="Points"),'Work Indirect'!F564,F564/MAX('Work Indirect'!AB564,1))</f>
        <v>1</v>
      </c>
    </row>
    <row r="565" spans="1:29"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7" t="str">
        <f ca="1">IF(OFFSET('4. Work'!$A$1,ROW(D565)-1,COLUMN(D565)-1)="","",OFFSET('4. Work'!$A$1,ROW(D565)-1,COLUMN(D565)-1))</f>
        <v/>
      </c>
      <c r="E565" s="147"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I565" s="3" t="str">
        <f ca="1">IF(OFFSET('4. Work'!$A$1,ROW(I565)-1,COLUMN(I565)-1)="","",OFFSET('4. Work'!$A$1,ROW(I565)-1,COLUMN(I565)-1))</f>
        <v/>
      </c>
      <c r="T565" s="3" t="str">
        <f ca="1">IF(A565&lt;&gt;"",MAX('Initiative Indirect'!$T:$T)+(ROW(A565)-1),"")</f>
        <v/>
      </c>
      <c r="U565" s="3" t="str">
        <f ca="1">IF(B565&lt;&gt;"",INDEX('Initiative Indirect'!$T:$T,MATCH(B565,'Initiative Indirect'!$A:$A,0)),"")</f>
        <v/>
      </c>
      <c r="V565" s="3" t="str">
        <f ca="1">IF(C565&lt;&gt;"",INDEX('Team Indirect'!$T:$T,MATCH(C565,'Team Indirect'!$A:$A,0)),"")</f>
        <v/>
      </c>
      <c r="W565" s="3"/>
      <c r="X565" s="3"/>
      <c r="Y565" s="3" t="str">
        <f ca="1">IF($C565&lt;&gt;"",INDEX('Team Indirect'!$D:$D,MATCH($C565,'Team Indirect'!$A:$A,0)),"")</f>
        <v/>
      </c>
      <c r="Z565" s="3" t="str">
        <f ca="1">IF($C565&lt;&gt;"",INDEX('Team Indirect'!$E:$E,MATCH($C565,'Team Indirect'!$A:$A,0)),"")</f>
        <v/>
      </c>
      <c r="AA565" s="3" t="str">
        <f ca="1">IF($C565&lt;&gt;"",INDEX('Team Indirect'!$F:$F,MATCH($C565,'Team Indirect'!$A:$A,0)),"")</f>
        <v/>
      </c>
      <c r="AB565" s="3" t="str">
        <f t="shared" ca="1" si="8"/>
        <v/>
      </c>
      <c r="AC565" s="3">
        <f ca="1">IF(OR(AllocationUnits="Stories", AllocationUnits="Points"),'Work Indirect'!F565,F565/MAX('Work Indirect'!AB565,1))</f>
        <v>1</v>
      </c>
    </row>
    <row r="566" spans="1:29"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7" t="str">
        <f ca="1">IF(OFFSET('4. Work'!$A$1,ROW(D566)-1,COLUMN(D566)-1)="","",OFFSET('4. Work'!$A$1,ROW(D566)-1,COLUMN(D566)-1))</f>
        <v/>
      </c>
      <c r="E566" s="147"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I566" s="3" t="str">
        <f ca="1">IF(OFFSET('4. Work'!$A$1,ROW(I566)-1,COLUMN(I566)-1)="","",OFFSET('4. Work'!$A$1,ROW(I566)-1,COLUMN(I566)-1))</f>
        <v/>
      </c>
      <c r="T566" s="3" t="str">
        <f ca="1">IF(A566&lt;&gt;"",MAX('Initiative Indirect'!$T:$T)+(ROW(A566)-1),"")</f>
        <v/>
      </c>
      <c r="U566" s="3" t="str">
        <f ca="1">IF(B566&lt;&gt;"",INDEX('Initiative Indirect'!$T:$T,MATCH(B566,'Initiative Indirect'!$A:$A,0)),"")</f>
        <v/>
      </c>
      <c r="V566" s="3" t="str">
        <f ca="1">IF(C566&lt;&gt;"",INDEX('Team Indirect'!$T:$T,MATCH(C566,'Team Indirect'!$A:$A,0)),"")</f>
        <v/>
      </c>
      <c r="W566" s="3"/>
      <c r="X566" s="3"/>
      <c r="Y566" s="3" t="str">
        <f ca="1">IF($C566&lt;&gt;"",INDEX('Team Indirect'!$D:$D,MATCH($C566,'Team Indirect'!$A:$A,0)),"")</f>
        <v/>
      </c>
      <c r="Z566" s="3" t="str">
        <f ca="1">IF($C566&lt;&gt;"",INDEX('Team Indirect'!$E:$E,MATCH($C566,'Team Indirect'!$A:$A,0)),"")</f>
        <v/>
      </c>
      <c r="AA566" s="3" t="str">
        <f ca="1">IF($C566&lt;&gt;"",INDEX('Team Indirect'!$F:$F,MATCH($C566,'Team Indirect'!$A:$A,0)),"")</f>
        <v/>
      </c>
      <c r="AB566" s="3" t="str">
        <f t="shared" ca="1" si="8"/>
        <v/>
      </c>
      <c r="AC566" s="3">
        <f ca="1">IF(OR(AllocationUnits="Stories", AllocationUnits="Points"),'Work Indirect'!F566,F566/MAX('Work Indirect'!AB566,1))</f>
        <v>1</v>
      </c>
    </row>
    <row r="567" spans="1:29"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7" t="str">
        <f ca="1">IF(OFFSET('4. Work'!$A$1,ROW(D567)-1,COLUMN(D567)-1)="","",OFFSET('4. Work'!$A$1,ROW(D567)-1,COLUMN(D567)-1))</f>
        <v/>
      </c>
      <c r="E567" s="147"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I567" s="3" t="str">
        <f ca="1">IF(OFFSET('4. Work'!$A$1,ROW(I567)-1,COLUMN(I567)-1)="","",OFFSET('4. Work'!$A$1,ROW(I567)-1,COLUMN(I567)-1))</f>
        <v/>
      </c>
      <c r="T567" s="3" t="str">
        <f ca="1">IF(A567&lt;&gt;"",MAX('Initiative Indirect'!$T:$T)+(ROW(A567)-1),"")</f>
        <v/>
      </c>
      <c r="U567" s="3" t="str">
        <f ca="1">IF(B567&lt;&gt;"",INDEX('Initiative Indirect'!$T:$T,MATCH(B567,'Initiative Indirect'!$A:$A,0)),"")</f>
        <v/>
      </c>
      <c r="V567" s="3" t="str">
        <f ca="1">IF(C567&lt;&gt;"",INDEX('Team Indirect'!$T:$T,MATCH(C567,'Team Indirect'!$A:$A,0)),"")</f>
        <v/>
      </c>
      <c r="W567" s="3"/>
      <c r="X567" s="3"/>
      <c r="Y567" s="3" t="str">
        <f ca="1">IF($C567&lt;&gt;"",INDEX('Team Indirect'!$D:$D,MATCH($C567,'Team Indirect'!$A:$A,0)),"")</f>
        <v/>
      </c>
      <c r="Z567" s="3" t="str">
        <f ca="1">IF($C567&lt;&gt;"",INDEX('Team Indirect'!$E:$E,MATCH($C567,'Team Indirect'!$A:$A,0)),"")</f>
        <v/>
      </c>
      <c r="AA567" s="3" t="str">
        <f ca="1">IF($C567&lt;&gt;"",INDEX('Team Indirect'!$F:$F,MATCH($C567,'Team Indirect'!$A:$A,0)),"")</f>
        <v/>
      </c>
      <c r="AB567" s="3" t="str">
        <f t="shared" ca="1" si="8"/>
        <v/>
      </c>
      <c r="AC567" s="3">
        <f ca="1">IF(OR(AllocationUnits="Stories", AllocationUnits="Points"),'Work Indirect'!F567,F567/MAX('Work Indirect'!AB567,1))</f>
        <v>1</v>
      </c>
    </row>
    <row r="568" spans="1:29"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7" t="str">
        <f ca="1">IF(OFFSET('4. Work'!$A$1,ROW(D568)-1,COLUMN(D568)-1)="","",OFFSET('4. Work'!$A$1,ROW(D568)-1,COLUMN(D568)-1))</f>
        <v/>
      </c>
      <c r="E568" s="147"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I568" s="3" t="str">
        <f ca="1">IF(OFFSET('4. Work'!$A$1,ROW(I568)-1,COLUMN(I568)-1)="","",OFFSET('4. Work'!$A$1,ROW(I568)-1,COLUMN(I568)-1))</f>
        <v/>
      </c>
      <c r="T568" s="3" t="str">
        <f ca="1">IF(A568&lt;&gt;"",MAX('Initiative Indirect'!$T:$T)+(ROW(A568)-1),"")</f>
        <v/>
      </c>
      <c r="U568" s="3" t="str">
        <f ca="1">IF(B568&lt;&gt;"",INDEX('Initiative Indirect'!$T:$T,MATCH(B568,'Initiative Indirect'!$A:$A,0)),"")</f>
        <v/>
      </c>
      <c r="V568" s="3" t="str">
        <f ca="1">IF(C568&lt;&gt;"",INDEX('Team Indirect'!$T:$T,MATCH(C568,'Team Indirect'!$A:$A,0)),"")</f>
        <v/>
      </c>
      <c r="W568" s="3"/>
      <c r="X568" s="3"/>
      <c r="Y568" s="3" t="str">
        <f ca="1">IF($C568&lt;&gt;"",INDEX('Team Indirect'!$D:$D,MATCH($C568,'Team Indirect'!$A:$A,0)),"")</f>
        <v/>
      </c>
      <c r="Z568" s="3" t="str">
        <f ca="1">IF($C568&lt;&gt;"",INDEX('Team Indirect'!$E:$E,MATCH($C568,'Team Indirect'!$A:$A,0)),"")</f>
        <v/>
      </c>
      <c r="AA568" s="3" t="str">
        <f ca="1">IF($C568&lt;&gt;"",INDEX('Team Indirect'!$F:$F,MATCH($C568,'Team Indirect'!$A:$A,0)),"")</f>
        <v/>
      </c>
      <c r="AB568" s="3" t="str">
        <f t="shared" ca="1" si="8"/>
        <v/>
      </c>
      <c r="AC568" s="3">
        <f ca="1">IF(OR(AllocationUnits="Stories", AllocationUnits="Points"),'Work Indirect'!F568,F568/MAX('Work Indirect'!AB568,1))</f>
        <v>1</v>
      </c>
    </row>
    <row r="569" spans="1:29"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7" t="str">
        <f ca="1">IF(OFFSET('4. Work'!$A$1,ROW(D569)-1,COLUMN(D569)-1)="","",OFFSET('4. Work'!$A$1,ROW(D569)-1,COLUMN(D569)-1))</f>
        <v/>
      </c>
      <c r="E569" s="147"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I569" s="3" t="str">
        <f ca="1">IF(OFFSET('4. Work'!$A$1,ROW(I569)-1,COLUMN(I569)-1)="","",OFFSET('4. Work'!$A$1,ROW(I569)-1,COLUMN(I569)-1))</f>
        <v/>
      </c>
      <c r="T569" s="3" t="str">
        <f ca="1">IF(A569&lt;&gt;"",MAX('Initiative Indirect'!$T:$T)+(ROW(A569)-1),"")</f>
        <v/>
      </c>
      <c r="U569" s="3" t="str">
        <f ca="1">IF(B569&lt;&gt;"",INDEX('Initiative Indirect'!$T:$T,MATCH(B569,'Initiative Indirect'!$A:$A,0)),"")</f>
        <v/>
      </c>
      <c r="V569" s="3" t="str">
        <f ca="1">IF(C569&lt;&gt;"",INDEX('Team Indirect'!$T:$T,MATCH(C569,'Team Indirect'!$A:$A,0)),"")</f>
        <v/>
      </c>
      <c r="W569" s="3"/>
      <c r="X569" s="3"/>
      <c r="Y569" s="3" t="str">
        <f ca="1">IF($C569&lt;&gt;"",INDEX('Team Indirect'!$D:$D,MATCH($C569,'Team Indirect'!$A:$A,0)),"")</f>
        <v/>
      </c>
      <c r="Z569" s="3" t="str">
        <f ca="1">IF($C569&lt;&gt;"",INDEX('Team Indirect'!$E:$E,MATCH($C569,'Team Indirect'!$A:$A,0)),"")</f>
        <v/>
      </c>
      <c r="AA569" s="3" t="str">
        <f ca="1">IF($C569&lt;&gt;"",INDEX('Team Indirect'!$F:$F,MATCH($C569,'Team Indirect'!$A:$A,0)),"")</f>
        <v/>
      </c>
      <c r="AB569" s="3" t="str">
        <f t="shared" ca="1" si="8"/>
        <v/>
      </c>
      <c r="AC569" s="3">
        <f ca="1">IF(OR(AllocationUnits="Stories", AllocationUnits="Points"),'Work Indirect'!F569,F569/MAX('Work Indirect'!AB569,1))</f>
        <v>1</v>
      </c>
    </row>
    <row r="570" spans="1:29"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7" t="str">
        <f ca="1">IF(OFFSET('4. Work'!$A$1,ROW(D570)-1,COLUMN(D570)-1)="","",OFFSET('4. Work'!$A$1,ROW(D570)-1,COLUMN(D570)-1))</f>
        <v/>
      </c>
      <c r="E570" s="147"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I570" s="3" t="str">
        <f ca="1">IF(OFFSET('4. Work'!$A$1,ROW(I570)-1,COLUMN(I570)-1)="","",OFFSET('4. Work'!$A$1,ROW(I570)-1,COLUMN(I570)-1))</f>
        <v/>
      </c>
      <c r="T570" s="3" t="str">
        <f ca="1">IF(A570&lt;&gt;"",MAX('Initiative Indirect'!$T:$T)+(ROW(A570)-1),"")</f>
        <v/>
      </c>
      <c r="U570" s="3" t="str">
        <f ca="1">IF(B570&lt;&gt;"",INDEX('Initiative Indirect'!$T:$T,MATCH(B570,'Initiative Indirect'!$A:$A,0)),"")</f>
        <v/>
      </c>
      <c r="V570" s="3" t="str">
        <f ca="1">IF(C570&lt;&gt;"",INDEX('Team Indirect'!$T:$T,MATCH(C570,'Team Indirect'!$A:$A,0)),"")</f>
        <v/>
      </c>
      <c r="W570" s="3"/>
      <c r="X570" s="3"/>
      <c r="Y570" s="3" t="str">
        <f ca="1">IF($C570&lt;&gt;"",INDEX('Team Indirect'!$D:$D,MATCH($C570,'Team Indirect'!$A:$A,0)),"")</f>
        <v/>
      </c>
      <c r="Z570" s="3" t="str">
        <f ca="1">IF($C570&lt;&gt;"",INDEX('Team Indirect'!$E:$E,MATCH($C570,'Team Indirect'!$A:$A,0)),"")</f>
        <v/>
      </c>
      <c r="AA570" s="3" t="str">
        <f ca="1">IF($C570&lt;&gt;"",INDEX('Team Indirect'!$F:$F,MATCH($C570,'Team Indirect'!$A:$A,0)),"")</f>
        <v/>
      </c>
      <c r="AB570" s="3" t="str">
        <f t="shared" ca="1" si="8"/>
        <v/>
      </c>
      <c r="AC570" s="3">
        <f ca="1">IF(OR(AllocationUnits="Stories", AllocationUnits="Points"),'Work Indirect'!F570,F570/MAX('Work Indirect'!AB570,1))</f>
        <v>1</v>
      </c>
    </row>
    <row r="571" spans="1:29"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7" t="str">
        <f ca="1">IF(OFFSET('4. Work'!$A$1,ROW(D571)-1,COLUMN(D571)-1)="","",OFFSET('4. Work'!$A$1,ROW(D571)-1,COLUMN(D571)-1))</f>
        <v/>
      </c>
      <c r="E571" s="147"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I571" s="3" t="str">
        <f ca="1">IF(OFFSET('4. Work'!$A$1,ROW(I571)-1,COLUMN(I571)-1)="","",OFFSET('4. Work'!$A$1,ROW(I571)-1,COLUMN(I571)-1))</f>
        <v/>
      </c>
      <c r="T571" s="3" t="str">
        <f ca="1">IF(A571&lt;&gt;"",MAX('Initiative Indirect'!$T:$T)+(ROW(A571)-1),"")</f>
        <v/>
      </c>
      <c r="U571" s="3" t="str">
        <f ca="1">IF(B571&lt;&gt;"",INDEX('Initiative Indirect'!$T:$T,MATCH(B571,'Initiative Indirect'!$A:$A,0)),"")</f>
        <v/>
      </c>
      <c r="V571" s="3" t="str">
        <f ca="1">IF(C571&lt;&gt;"",INDEX('Team Indirect'!$T:$T,MATCH(C571,'Team Indirect'!$A:$A,0)),"")</f>
        <v/>
      </c>
      <c r="W571" s="3"/>
      <c r="X571" s="3"/>
      <c r="Y571" s="3" t="str">
        <f ca="1">IF($C571&lt;&gt;"",INDEX('Team Indirect'!$D:$D,MATCH($C571,'Team Indirect'!$A:$A,0)),"")</f>
        <v/>
      </c>
      <c r="Z571" s="3" t="str">
        <f ca="1">IF($C571&lt;&gt;"",INDEX('Team Indirect'!$E:$E,MATCH($C571,'Team Indirect'!$A:$A,0)),"")</f>
        <v/>
      </c>
      <c r="AA571" s="3" t="str">
        <f ca="1">IF($C571&lt;&gt;"",INDEX('Team Indirect'!$F:$F,MATCH($C571,'Team Indirect'!$A:$A,0)),"")</f>
        <v/>
      </c>
      <c r="AB571" s="3" t="str">
        <f t="shared" ca="1" si="8"/>
        <v/>
      </c>
      <c r="AC571" s="3">
        <f ca="1">IF(OR(AllocationUnits="Stories", AllocationUnits="Points"),'Work Indirect'!F571,F571/MAX('Work Indirect'!AB571,1))</f>
        <v>1</v>
      </c>
    </row>
    <row r="572" spans="1:29"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7" t="str">
        <f ca="1">IF(OFFSET('4. Work'!$A$1,ROW(D572)-1,COLUMN(D572)-1)="","",OFFSET('4. Work'!$A$1,ROW(D572)-1,COLUMN(D572)-1))</f>
        <v/>
      </c>
      <c r="E572" s="147"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I572" s="3" t="str">
        <f ca="1">IF(OFFSET('4. Work'!$A$1,ROW(I572)-1,COLUMN(I572)-1)="","",OFFSET('4. Work'!$A$1,ROW(I572)-1,COLUMN(I572)-1))</f>
        <v/>
      </c>
      <c r="T572" s="3" t="str">
        <f ca="1">IF(A572&lt;&gt;"",MAX('Initiative Indirect'!$T:$T)+(ROW(A572)-1),"")</f>
        <v/>
      </c>
      <c r="U572" s="3" t="str">
        <f ca="1">IF(B572&lt;&gt;"",INDEX('Initiative Indirect'!$T:$T,MATCH(B572,'Initiative Indirect'!$A:$A,0)),"")</f>
        <v/>
      </c>
      <c r="V572" s="3" t="str">
        <f ca="1">IF(C572&lt;&gt;"",INDEX('Team Indirect'!$T:$T,MATCH(C572,'Team Indirect'!$A:$A,0)),"")</f>
        <v/>
      </c>
      <c r="W572" s="3"/>
      <c r="X572" s="3"/>
      <c r="Y572" s="3" t="str">
        <f ca="1">IF($C572&lt;&gt;"",INDEX('Team Indirect'!$D:$D,MATCH($C572,'Team Indirect'!$A:$A,0)),"")</f>
        <v/>
      </c>
      <c r="Z572" s="3" t="str">
        <f ca="1">IF($C572&lt;&gt;"",INDEX('Team Indirect'!$E:$E,MATCH($C572,'Team Indirect'!$A:$A,0)),"")</f>
        <v/>
      </c>
      <c r="AA572" s="3" t="str">
        <f ca="1">IF($C572&lt;&gt;"",INDEX('Team Indirect'!$F:$F,MATCH($C572,'Team Indirect'!$A:$A,0)),"")</f>
        <v/>
      </c>
      <c r="AB572" s="3" t="str">
        <f t="shared" ca="1" si="8"/>
        <v/>
      </c>
      <c r="AC572" s="3">
        <f ca="1">IF(OR(AllocationUnits="Stories", AllocationUnits="Points"),'Work Indirect'!F572,F572/MAX('Work Indirect'!AB572,1))</f>
        <v>1</v>
      </c>
    </row>
    <row r="573" spans="1:29"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7" t="str">
        <f ca="1">IF(OFFSET('4. Work'!$A$1,ROW(D573)-1,COLUMN(D573)-1)="","",OFFSET('4. Work'!$A$1,ROW(D573)-1,COLUMN(D573)-1))</f>
        <v/>
      </c>
      <c r="E573" s="147"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I573" s="3" t="str">
        <f ca="1">IF(OFFSET('4. Work'!$A$1,ROW(I573)-1,COLUMN(I573)-1)="","",OFFSET('4. Work'!$A$1,ROW(I573)-1,COLUMN(I573)-1))</f>
        <v/>
      </c>
      <c r="T573" s="3" t="str">
        <f ca="1">IF(A573&lt;&gt;"",MAX('Initiative Indirect'!$T:$T)+(ROW(A573)-1),"")</f>
        <v/>
      </c>
      <c r="U573" s="3" t="str">
        <f ca="1">IF(B573&lt;&gt;"",INDEX('Initiative Indirect'!$T:$T,MATCH(B573,'Initiative Indirect'!$A:$A,0)),"")</f>
        <v/>
      </c>
      <c r="V573" s="3" t="str">
        <f ca="1">IF(C573&lt;&gt;"",INDEX('Team Indirect'!$T:$T,MATCH(C573,'Team Indirect'!$A:$A,0)),"")</f>
        <v/>
      </c>
      <c r="W573" s="3"/>
      <c r="X573" s="3"/>
      <c r="Y573" s="3" t="str">
        <f ca="1">IF($C573&lt;&gt;"",INDEX('Team Indirect'!$D:$D,MATCH($C573,'Team Indirect'!$A:$A,0)),"")</f>
        <v/>
      </c>
      <c r="Z573" s="3" t="str">
        <f ca="1">IF($C573&lt;&gt;"",INDEX('Team Indirect'!$E:$E,MATCH($C573,'Team Indirect'!$A:$A,0)),"")</f>
        <v/>
      </c>
      <c r="AA573" s="3" t="str">
        <f ca="1">IF($C573&lt;&gt;"",INDEX('Team Indirect'!$F:$F,MATCH($C573,'Team Indirect'!$A:$A,0)),"")</f>
        <v/>
      </c>
      <c r="AB573" s="3" t="str">
        <f t="shared" ca="1" si="8"/>
        <v/>
      </c>
      <c r="AC573" s="3">
        <f ca="1">IF(OR(AllocationUnits="Stories", AllocationUnits="Points"),'Work Indirect'!F573,F573/MAX('Work Indirect'!AB573,1))</f>
        <v>1</v>
      </c>
    </row>
    <row r="574" spans="1:29"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7" t="str">
        <f ca="1">IF(OFFSET('4. Work'!$A$1,ROW(D574)-1,COLUMN(D574)-1)="","",OFFSET('4. Work'!$A$1,ROW(D574)-1,COLUMN(D574)-1))</f>
        <v/>
      </c>
      <c r="E574" s="147"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I574" s="3" t="str">
        <f ca="1">IF(OFFSET('4. Work'!$A$1,ROW(I574)-1,COLUMN(I574)-1)="","",OFFSET('4. Work'!$A$1,ROW(I574)-1,COLUMN(I574)-1))</f>
        <v/>
      </c>
      <c r="T574" s="3" t="str">
        <f ca="1">IF(A574&lt;&gt;"",MAX('Initiative Indirect'!$T:$T)+(ROW(A574)-1),"")</f>
        <v/>
      </c>
      <c r="U574" s="3" t="str">
        <f ca="1">IF(B574&lt;&gt;"",INDEX('Initiative Indirect'!$T:$T,MATCH(B574,'Initiative Indirect'!$A:$A,0)),"")</f>
        <v/>
      </c>
      <c r="V574" s="3" t="str">
        <f ca="1">IF(C574&lt;&gt;"",INDEX('Team Indirect'!$T:$T,MATCH(C574,'Team Indirect'!$A:$A,0)),"")</f>
        <v/>
      </c>
      <c r="W574" s="3"/>
      <c r="X574" s="3"/>
      <c r="Y574" s="3" t="str">
        <f ca="1">IF($C574&lt;&gt;"",INDEX('Team Indirect'!$D:$D,MATCH($C574,'Team Indirect'!$A:$A,0)),"")</f>
        <v/>
      </c>
      <c r="Z574" s="3" t="str">
        <f ca="1">IF($C574&lt;&gt;"",INDEX('Team Indirect'!$E:$E,MATCH($C574,'Team Indirect'!$A:$A,0)),"")</f>
        <v/>
      </c>
      <c r="AA574" s="3" t="str">
        <f ca="1">IF($C574&lt;&gt;"",INDEX('Team Indirect'!$F:$F,MATCH($C574,'Team Indirect'!$A:$A,0)),"")</f>
        <v/>
      </c>
      <c r="AB574" s="3" t="str">
        <f t="shared" ca="1" si="8"/>
        <v/>
      </c>
      <c r="AC574" s="3">
        <f ca="1">IF(OR(AllocationUnits="Stories", AllocationUnits="Points"),'Work Indirect'!F574,F574/MAX('Work Indirect'!AB574,1))</f>
        <v>1</v>
      </c>
    </row>
    <row r="575" spans="1:29"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7" t="str">
        <f ca="1">IF(OFFSET('4. Work'!$A$1,ROW(D575)-1,COLUMN(D575)-1)="","",OFFSET('4. Work'!$A$1,ROW(D575)-1,COLUMN(D575)-1))</f>
        <v/>
      </c>
      <c r="E575" s="147"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I575" s="3" t="str">
        <f ca="1">IF(OFFSET('4. Work'!$A$1,ROW(I575)-1,COLUMN(I575)-1)="","",OFFSET('4. Work'!$A$1,ROW(I575)-1,COLUMN(I575)-1))</f>
        <v/>
      </c>
      <c r="T575" s="3" t="str">
        <f ca="1">IF(A575&lt;&gt;"",MAX('Initiative Indirect'!$T:$T)+(ROW(A575)-1),"")</f>
        <v/>
      </c>
      <c r="U575" s="3" t="str">
        <f ca="1">IF(B575&lt;&gt;"",INDEX('Initiative Indirect'!$T:$T,MATCH(B575,'Initiative Indirect'!$A:$A,0)),"")</f>
        <v/>
      </c>
      <c r="V575" s="3" t="str">
        <f ca="1">IF(C575&lt;&gt;"",INDEX('Team Indirect'!$T:$T,MATCH(C575,'Team Indirect'!$A:$A,0)),"")</f>
        <v/>
      </c>
      <c r="W575" s="3"/>
      <c r="X575" s="3"/>
      <c r="Y575" s="3" t="str">
        <f ca="1">IF($C575&lt;&gt;"",INDEX('Team Indirect'!$D:$D,MATCH($C575,'Team Indirect'!$A:$A,0)),"")</f>
        <v/>
      </c>
      <c r="Z575" s="3" t="str">
        <f ca="1">IF($C575&lt;&gt;"",INDEX('Team Indirect'!$E:$E,MATCH($C575,'Team Indirect'!$A:$A,0)),"")</f>
        <v/>
      </c>
      <c r="AA575" s="3" t="str">
        <f ca="1">IF($C575&lt;&gt;"",INDEX('Team Indirect'!$F:$F,MATCH($C575,'Team Indirect'!$A:$A,0)),"")</f>
        <v/>
      </c>
      <c r="AB575" s="3" t="str">
        <f t="shared" ca="1" si="8"/>
        <v/>
      </c>
      <c r="AC575" s="3">
        <f ca="1">IF(OR(AllocationUnits="Stories", AllocationUnits="Points"),'Work Indirect'!F575,F575/MAX('Work Indirect'!AB575,1))</f>
        <v>1</v>
      </c>
    </row>
    <row r="576" spans="1:29"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7" t="str">
        <f ca="1">IF(OFFSET('4. Work'!$A$1,ROW(D576)-1,COLUMN(D576)-1)="","",OFFSET('4. Work'!$A$1,ROW(D576)-1,COLUMN(D576)-1))</f>
        <v/>
      </c>
      <c r="E576" s="147"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I576" s="3" t="str">
        <f ca="1">IF(OFFSET('4. Work'!$A$1,ROW(I576)-1,COLUMN(I576)-1)="","",OFFSET('4. Work'!$A$1,ROW(I576)-1,COLUMN(I576)-1))</f>
        <v/>
      </c>
      <c r="T576" s="3" t="str">
        <f ca="1">IF(A576&lt;&gt;"",MAX('Initiative Indirect'!$T:$T)+(ROW(A576)-1),"")</f>
        <v/>
      </c>
      <c r="U576" s="3" t="str">
        <f ca="1">IF(B576&lt;&gt;"",INDEX('Initiative Indirect'!$T:$T,MATCH(B576,'Initiative Indirect'!$A:$A,0)),"")</f>
        <v/>
      </c>
      <c r="V576" s="3" t="str">
        <f ca="1">IF(C576&lt;&gt;"",INDEX('Team Indirect'!$T:$T,MATCH(C576,'Team Indirect'!$A:$A,0)),"")</f>
        <v/>
      </c>
      <c r="W576" s="3"/>
      <c r="X576" s="3"/>
      <c r="Y576" s="3" t="str">
        <f ca="1">IF($C576&lt;&gt;"",INDEX('Team Indirect'!$D:$D,MATCH($C576,'Team Indirect'!$A:$A,0)),"")</f>
        <v/>
      </c>
      <c r="Z576" s="3" t="str">
        <f ca="1">IF($C576&lt;&gt;"",INDEX('Team Indirect'!$E:$E,MATCH($C576,'Team Indirect'!$A:$A,0)),"")</f>
        <v/>
      </c>
      <c r="AA576" s="3" t="str">
        <f ca="1">IF($C576&lt;&gt;"",INDEX('Team Indirect'!$F:$F,MATCH($C576,'Team Indirect'!$A:$A,0)),"")</f>
        <v/>
      </c>
      <c r="AB576" s="3" t="str">
        <f t="shared" ca="1" si="8"/>
        <v/>
      </c>
      <c r="AC576" s="3">
        <f ca="1">IF(OR(AllocationUnits="Stories", AllocationUnits="Points"),'Work Indirect'!F576,F576/MAX('Work Indirect'!AB576,1))</f>
        <v>1</v>
      </c>
    </row>
    <row r="577" spans="1:29"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7" t="str">
        <f ca="1">IF(OFFSET('4. Work'!$A$1,ROW(D577)-1,COLUMN(D577)-1)="","",OFFSET('4. Work'!$A$1,ROW(D577)-1,COLUMN(D577)-1))</f>
        <v/>
      </c>
      <c r="E577" s="147"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I577" s="3" t="str">
        <f ca="1">IF(OFFSET('4. Work'!$A$1,ROW(I577)-1,COLUMN(I577)-1)="","",OFFSET('4. Work'!$A$1,ROW(I577)-1,COLUMN(I577)-1))</f>
        <v/>
      </c>
      <c r="T577" s="3" t="str">
        <f ca="1">IF(A577&lt;&gt;"",MAX('Initiative Indirect'!$T:$T)+(ROW(A577)-1),"")</f>
        <v/>
      </c>
      <c r="U577" s="3" t="str">
        <f ca="1">IF(B577&lt;&gt;"",INDEX('Initiative Indirect'!$T:$T,MATCH(B577,'Initiative Indirect'!$A:$A,0)),"")</f>
        <v/>
      </c>
      <c r="V577" s="3" t="str">
        <f ca="1">IF(C577&lt;&gt;"",INDEX('Team Indirect'!$T:$T,MATCH(C577,'Team Indirect'!$A:$A,0)),"")</f>
        <v/>
      </c>
      <c r="W577" s="3"/>
      <c r="X577" s="3"/>
      <c r="Y577" s="3" t="str">
        <f ca="1">IF($C577&lt;&gt;"",INDEX('Team Indirect'!$D:$D,MATCH($C577,'Team Indirect'!$A:$A,0)),"")</f>
        <v/>
      </c>
      <c r="Z577" s="3" t="str">
        <f ca="1">IF($C577&lt;&gt;"",INDEX('Team Indirect'!$E:$E,MATCH($C577,'Team Indirect'!$A:$A,0)),"")</f>
        <v/>
      </c>
      <c r="AA577" s="3" t="str">
        <f ca="1">IF($C577&lt;&gt;"",INDEX('Team Indirect'!$F:$F,MATCH($C577,'Team Indirect'!$A:$A,0)),"")</f>
        <v/>
      </c>
      <c r="AB577" s="3" t="str">
        <f t="shared" ca="1" si="8"/>
        <v/>
      </c>
      <c r="AC577" s="3">
        <f ca="1">IF(OR(AllocationUnits="Stories", AllocationUnits="Points"),'Work Indirect'!F577,F577/MAX('Work Indirect'!AB577,1))</f>
        <v>1</v>
      </c>
    </row>
    <row r="578" spans="1:29"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7" t="str">
        <f ca="1">IF(OFFSET('4. Work'!$A$1,ROW(D578)-1,COLUMN(D578)-1)="","",OFFSET('4. Work'!$A$1,ROW(D578)-1,COLUMN(D578)-1))</f>
        <v/>
      </c>
      <c r="E578" s="147"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I578" s="3" t="str">
        <f ca="1">IF(OFFSET('4. Work'!$A$1,ROW(I578)-1,COLUMN(I578)-1)="","",OFFSET('4. Work'!$A$1,ROW(I578)-1,COLUMN(I578)-1))</f>
        <v/>
      </c>
      <c r="T578" s="3" t="str">
        <f ca="1">IF(A578&lt;&gt;"",MAX('Initiative Indirect'!$T:$T)+(ROW(A578)-1),"")</f>
        <v/>
      </c>
      <c r="U578" s="3" t="str">
        <f ca="1">IF(B578&lt;&gt;"",INDEX('Initiative Indirect'!$T:$T,MATCH(B578,'Initiative Indirect'!$A:$A,0)),"")</f>
        <v/>
      </c>
      <c r="V578" s="3" t="str">
        <f ca="1">IF(C578&lt;&gt;"",INDEX('Team Indirect'!$T:$T,MATCH(C578,'Team Indirect'!$A:$A,0)),"")</f>
        <v/>
      </c>
      <c r="W578" s="3"/>
      <c r="X578" s="3"/>
      <c r="Y578" s="3" t="str">
        <f ca="1">IF($C578&lt;&gt;"",INDEX('Team Indirect'!$D:$D,MATCH($C578,'Team Indirect'!$A:$A,0)),"")</f>
        <v/>
      </c>
      <c r="Z578" s="3" t="str">
        <f ca="1">IF($C578&lt;&gt;"",INDEX('Team Indirect'!$E:$E,MATCH($C578,'Team Indirect'!$A:$A,0)),"")</f>
        <v/>
      </c>
      <c r="AA578" s="3" t="str">
        <f ca="1">IF($C578&lt;&gt;"",INDEX('Team Indirect'!$F:$F,MATCH($C578,'Team Indirect'!$A:$A,0)),"")</f>
        <v/>
      </c>
      <c r="AB578" s="3" t="str">
        <f t="shared" ref="AB578:AB641" ca="1" si="9">IF(AND(Y578&lt;&gt;"",Z578&lt;&gt;""),Y578+((Z578-Y578)*(1-MAX(0,AA578))*(1-Probability)),"")</f>
        <v/>
      </c>
      <c r="AC578" s="3">
        <f ca="1">IF(OR(AllocationUnits="Stories", AllocationUnits="Points"),'Work Indirect'!F578,F578/MAX('Work Indirect'!AB578,1))</f>
        <v>1</v>
      </c>
    </row>
    <row r="579" spans="1:29"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7" t="str">
        <f ca="1">IF(OFFSET('4. Work'!$A$1,ROW(D579)-1,COLUMN(D579)-1)="","",OFFSET('4. Work'!$A$1,ROW(D579)-1,COLUMN(D579)-1))</f>
        <v/>
      </c>
      <c r="E579" s="147"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I579" s="3" t="str">
        <f ca="1">IF(OFFSET('4. Work'!$A$1,ROW(I579)-1,COLUMN(I579)-1)="","",OFFSET('4. Work'!$A$1,ROW(I579)-1,COLUMN(I579)-1))</f>
        <v/>
      </c>
      <c r="T579" s="3" t="str">
        <f ca="1">IF(A579&lt;&gt;"",MAX('Initiative Indirect'!$T:$T)+(ROW(A579)-1),"")</f>
        <v/>
      </c>
      <c r="U579" s="3" t="str">
        <f ca="1">IF(B579&lt;&gt;"",INDEX('Initiative Indirect'!$T:$T,MATCH(B579,'Initiative Indirect'!$A:$A,0)),"")</f>
        <v/>
      </c>
      <c r="V579" s="3" t="str">
        <f ca="1">IF(C579&lt;&gt;"",INDEX('Team Indirect'!$T:$T,MATCH(C579,'Team Indirect'!$A:$A,0)),"")</f>
        <v/>
      </c>
      <c r="W579" s="3"/>
      <c r="X579" s="3"/>
      <c r="Y579" s="3" t="str">
        <f ca="1">IF($C579&lt;&gt;"",INDEX('Team Indirect'!$D:$D,MATCH($C579,'Team Indirect'!$A:$A,0)),"")</f>
        <v/>
      </c>
      <c r="Z579" s="3" t="str">
        <f ca="1">IF($C579&lt;&gt;"",INDEX('Team Indirect'!$E:$E,MATCH($C579,'Team Indirect'!$A:$A,0)),"")</f>
        <v/>
      </c>
      <c r="AA579" s="3" t="str">
        <f ca="1">IF($C579&lt;&gt;"",INDEX('Team Indirect'!$F:$F,MATCH($C579,'Team Indirect'!$A:$A,0)),"")</f>
        <v/>
      </c>
      <c r="AB579" s="3" t="str">
        <f t="shared" ca="1" si="9"/>
        <v/>
      </c>
      <c r="AC579" s="3">
        <f ca="1">IF(OR(AllocationUnits="Stories", AllocationUnits="Points"),'Work Indirect'!F579,F579/MAX('Work Indirect'!AB579,1))</f>
        <v>1</v>
      </c>
    </row>
    <row r="580" spans="1:29"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7" t="str">
        <f ca="1">IF(OFFSET('4. Work'!$A$1,ROW(D580)-1,COLUMN(D580)-1)="","",OFFSET('4. Work'!$A$1,ROW(D580)-1,COLUMN(D580)-1))</f>
        <v/>
      </c>
      <c r="E580" s="147"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I580" s="3" t="str">
        <f ca="1">IF(OFFSET('4. Work'!$A$1,ROW(I580)-1,COLUMN(I580)-1)="","",OFFSET('4. Work'!$A$1,ROW(I580)-1,COLUMN(I580)-1))</f>
        <v/>
      </c>
      <c r="T580" s="3" t="str">
        <f ca="1">IF(A580&lt;&gt;"",MAX('Initiative Indirect'!$T:$T)+(ROW(A580)-1),"")</f>
        <v/>
      </c>
      <c r="U580" s="3" t="str">
        <f ca="1">IF(B580&lt;&gt;"",INDEX('Initiative Indirect'!$T:$T,MATCH(B580,'Initiative Indirect'!$A:$A,0)),"")</f>
        <v/>
      </c>
      <c r="V580" s="3" t="str">
        <f ca="1">IF(C580&lt;&gt;"",INDEX('Team Indirect'!$T:$T,MATCH(C580,'Team Indirect'!$A:$A,0)),"")</f>
        <v/>
      </c>
      <c r="W580" s="3"/>
      <c r="X580" s="3"/>
      <c r="Y580" s="3" t="str">
        <f ca="1">IF($C580&lt;&gt;"",INDEX('Team Indirect'!$D:$D,MATCH($C580,'Team Indirect'!$A:$A,0)),"")</f>
        <v/>
      </c>
      <c r="Z580" s="3" t="str">
        <f ca="1">IF($C580&lt;&gt;"",INDEX('Team Indirect'!$E:$E,MATCH($C580,'Team Indirect'!$A:$A,0)),"")</f>
        <v/>
      </c>
      <c r="AA580" s="3" t="str">
        <f ca="1">IF($C580&lt;&gt;"",INDEX('Team Indirect'!$F:$F,MATCH($C580,'Team Indirect'!$A:$A,0)),"")</f>
        <v/>
      </c>
      <c r="AB580" s="3" t="str">
        <f t="shared" ca="1" si="9"/>
        <v/>
      </c>
      <c r="AC580" s="3">
        <f ca="1">IF(OR(AllocationUnits="Stories", AllocationUnits="Points"),'Work Indirect'!F580,F580/MAX('Work Indirect'!AB580,1))</f>
        <v>1</v>
      </c>
    </row>
    <row r="581" spans="1:29"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7" t="str">
        <f ca="1">IF(OFFSET('4. Work'!$A$1,ROW(D581)-1,COLUMN(D581)-1)="","",OFFSET('4. Work'!$A$1,ROW(D581)-1,COLUMN(D581)-1))</f>
        <v/>
      </c>
      <c r="E581" s="147"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I581" s="3" t="str">
        <f ca="1">IF(OFFSET('4. Work'!$A$1,ROW(I581)-1,COLUMN(I581)-1)="","",OFFSET('4. Work'!$A$1,ROW(I581)-1,COLUMN(I581)-1))</f>
        <v/>
      </c>
      <c r="T581" s="3" t="str">
        <f ca="1">IF(A581&lt;&gt;"",MAX('Initiative Indirect'!$T:$T)+(ROW(A581)-1),"")</f>
        <v/>
      </c>
      <c r="U581" s="3" t="str">
        <f ca="1">IF(B581&lt;&gt;"",INDEX('Initiative Indirect'!$T:$T,MATCH(B581,'Initiative Indirect'!$A:$A,0)),"")</f>
        <v/>
      </c>
      <c r="V581" s="3" t="str">
        <f ca="1">IF(C581&lt;&gt;"",INDEX('Team Indirect'!$T:$T,MATCH(C581,'Team Indirect'!$A:$A,0)),"")</f>
        <v/>
      </c>
      <c r="W581" s="3"/>
      <c r="X581" s="3"/>
      <c r="Y581" s="3" t="str">
        <f ca="1">IF($C581&lt;&gt;"",INDEX('Team Indirect'!$D:$D,MATCH($C581,'Team Indirect'!$A:$A,0)),"")</f>
        <v/>
      </c>
      <c r="Z581" s="3" t="str">
        <f ca="1">IF($C581&lt;&gt;"",INDEX('Team Indirect'!$E:$E,MATCH($C581,'Team Indirect'!$A:$A,0)),"")</f>
        <v/>
      </c>
      <c r="AA581" s="3" t="str">
        <f ca="1">IF($C581&lt;&gt;"",INDEX('Team Indirect'!$F:$F,MATCH($C581,'Team Indirect'!$A:$A,0)),"")</f>
        <v/>
      </c>
      <c r="AB581" s="3" t="str">
        <f t="shared" ca="1" si="9"/>
        <v/>
      </c>
      <c r="AC581" s="3">
        <f ca="1">IF(OR(AllocationUnits="Stories", AllocationUnits="Points"),'Work Indirect'!F581,F581/MAX('Work Indirect'!AB581,1))</f>
        <v>1</v>
      </c>
    </row>
    <row r="582" spans="1:29"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7" t="str">
        <f ca="1">IF(OFFSET('4. Work'!$A$1,ROW(D582)-1,COLUMN(D582)-1)="","",OFFSET('4. Work'!$A$1,ROW(D582)-1,COLUMN(D582)-1))</f>
        <v/>
      </c>
      <c r="E582" s="147"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I582" s="3" t="str">
        <f ca="1">IF(OFFSET('4. Work'!$A$1,ROW(I582)-1,COLUMN(I582)-1)="","",OFFSET('4. Work'!$A$1,ROW(I582)-1,COLUMN(I582)-1))</f>
        <v/>
      </c>
      <c r="T582" s="3" t="str">
        <f ca="1">IF(A582&lt;&gt;"",MAX('Initiative Indirect'!$T:$T)+(ROW(A582)-1),"")</f>
        <v/>
      </c>
      <c r="U582" s="3" t="str">
        <f ca="1">IF(B582&lt;&gt;"",INDEX('Initiative Indirect'!$T:$T,MATCH(B582,'Initiative Indirect'!$A:$A,0)),"")</f>
        <v/>
      </c>
      <c r="V582" s="3" t="str">
        <f ca="1">IF(C582&lt;&gt;"",INDEX('Team Indirect'!$T:$T,MATCH(C582,'Team Indirect'!$A:$A,0)),"")</f>
        <v/>
      </c>
      <c r="W582" s="3"/>
      <c r="X582" s="3"/>
      <c r="Y582" s="3" t="str">
        <f ca="1">IF($C582&lt;&gt;"",INDEX('Team Indirect'!$D:$D,MATCH($C582,'Team Indirect'!$A:$A,0)),"")</f>
        <v/>
      </c>
      <c r="Z582" s="3" t="str">
        <f ca="1">IF($C582&lt;&gt;"",INDEX('Team Indirect'!$E:$E,MATCH($C582,'Team Indirect'!$A:$A,0)),"")</f>
        <v/>
      </c>
      <c r="AA582" s="3" t="str">
        <f ca="1">IF($C582&lt;&gt;"",INDEX('Team Indirect'!$F:$F,MATCH($C582,'Team Indirect'!$A:$A,0)),"")</f>
        <v/>
      </c>
      <c r="AB582" s="3" t="str">
        <f t="shared" ca="1" si="9"/>
        <v/>
      </c>
      <c r="AC582" s="3">
        <f ca="1">IF(OR(AllocationUnits="Stories", AllocationUnits="Points"),'Work Indirect'!F582,F582/MAX('Work Indirect'!AB582,1))</f>
        <v>1</v>
      </c>
    </row>
    <row r="583" spans="1:29"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7" t="str">
        <f ca="1">IF(OFFSET('4. Work'!$A$1,ROW(D583)-1,COLUMN(D583)-1)="","",OFFSET('4. Work'!$A$1,ROW(D583)-1,COLUMN(D583)-1))</f>
        <v/>
      </c>
      <c r="E583" s="147"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I583" s="3" t="str">
        <f ca="1">IF(OFFSET('4. Work'!$A$1,ROW(I583)-1,COLUMN(I583)-1)="","",OFFSET('4. Work'!$A$1,ROW(I583)-1,COLUMN(I583)-1))</f>
        <v/>
      </c>
      <c r="T583" s="3" t="str">
        <f ca="1">IF(A583&lt;&gt;"",MAX('Initiative Indirect'!$T:$T)+(ROW(A583)-1),"")</f>
        <v/>
      </c>
      <c r="U583" s="3" t="str">
        <f ca="1">IF(B583&lt;&gt;"",INDEX('Initiative Indirect'!$T:$T,MATCH(B583,'Initiative Indirect'!$A:$A,0)),"")</f>
        <v/>
      </c>
      <c r="V583" s="3" t="str">
        <f ca="1">IF(C583&lt;&gt;"",INDEX('Team Indirect'!$T:$T,MATCH(C583,'Team Indirect'!$A:$A,0)),"")</f>
        <v/>
      </c>
      <c r="W583" s="3"/>
      <c r="X583" s="3"/>
      <c r="Y583" s="3" t="str">
        <f ca="1">IF($C583&lt;&gt;"",INDEX('Team Indirect'!$D:$D,MATCH($C583,'Team Indirect'!$A:$A,0)),"")</f>
        <v/>
      </c>
      <c r="Z583" s="3" t="str">
        <f ca="1">IF($C583&lt;&gt;"",INDEX('Team Indirect'!$E:$E,MATCH($C583,'Team Indirect'!$A:$A,0)),"")</f>
        <v/>
      </c>
      <c r="AA583" s="3" t="str">
        <f ca="1">IF($C583&lt;&gt;"",INDEX('Team Indirect'!$F:$F,MATCH($C583,'Team Indirect'!$A:$A,0)),"")</f>
        <v/>
      </c>
      <c r="AB583" s="3" t="str">
        <f t="shared" ca="1" si="9"/>
        <v/>
      </c>
      <c r="AC583" s="3">
        <f ca="1">IF(OR(AllocationUnits="Stories", AllocationUnits="Points"),'Work Indirect'!F583,F583/MAX('Work Indirect'!AB583,1))</f>
        <v>1</v>
      </c>
    </row>
    <row r="584" spans="1:29"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7" t="str">
        <f ca="1">IF(OFFSET('4. Work'!$A$1,ROW(D584)-1,COLUMN(D584)-1)="","",OFFSET('4. Work'!$A$1,ROW(D584)-1,COLUMN(D584)-1))</f>
        <v/>
      </c>
      <c r="E584" s="147"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I584" s="3" t="str">
        <f ca="1">IF(OFFSET('4. Work'!$A$1,ROW(I584)-1,COLUMN(I584)-1)="","",OFFSET('4. Work'!$A$1,ROW(I584)-1,COLUMN(I584)-1))</f>
        <v/>
      </c>
      <c r="T584" s="3" t="str">
        <f ca="1">IF(A584&lt;&gt;"",MAX('Initiative Indirect'!$T:$T)+(ROW(A584)-1),"")</f>
        <v/>
      </c>
      <c r="U584" s="3" t="str">
        <f ca="1">IF(B584&lt;&gt;"",INDEX('Initiative Indirect'!$T:$T,MATCH(B584,'Initiative Indirect'!$A:$A,0)),"")</f>
        <v/>
      </c>
      <c r="V584" s="3" t="str">
        <f ca="1">IF(C584&lt;&gt;"",INDEX('Team Indirect'!$T:$T,MATCH(C584,'Team Indirect'!$A:$A,0)),"")</f>
        <v/>
      </c>
      <c r="W584" s="3"/>
      <c r="X584" s="3"/>
      <c r="Y584" s="3" t="str">
        <f ca="1">IF($C584&lt;&gt;"",INDEX('Team Indirect'!$D:$D,MATCH($C584,'Team Indirect'!$A:$A,0)),"")</f>
        <v/>
      </c>
      <c r="Z584" s="3" t="str">
        <f ca="1">IF($C584&lt;&gt;"",INDEX('Team Indirect'!$E:$E,MATCH($C584,'Team Indirect'!$A:$A,0)),"")</f>
        <v/>
      </c>
      <c r="AA584" s="3" t="str">
        <f ca="1">IF($C584&lt;&gt;"",INDEX('Team Indirect'!$F:$F,MATCH($C584,'Team Indirect'!$A:$A,0)),"")</f>
        <v/>
      </c>
      <c r="AB584" s="3" t="str">
        <f t="shared" ca="1" si="9"/>
        <v/>
      </c>
      <c r="AC584" s="3">
        <f ca="1">IF(OR(AllocationUnits="Stories", AllocationUnits="Points"),'Work Indirect'!F584,F584/MAX('Work Indirect'!AB584,1))</f>
        <v>1</v>
      </c>
    </row>
    <row r="585" spans="1:29"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7" t="str">
        <f ca="1">IF(OFFSET('4. Work'!$A$1,ROW(D585)-1,COLUMN(D585)-1)="","",OFFSET('4. Work'!$A$1,ROW(D585)-1,COLUMN(D585)-1))</f>
        <v/>
      </c>
      <c r="E585" s="147"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I585" s="3" t="str">
        <f ca="1">IF(OFFSET('4. Work'!$A$1,ROW(I585)-1,COLUMN(I585)-1)="","",OFFSET('4. Work'!$A$1,ROW(I585)-1,COLUMN(I585)-1))</f>
        <v/>
      </c>
      <c r="T585" s="3" t="str">
        <f ca="1">IF(A585&lt;&gt;"",MAX('Initiative Indirect'!$T:$T)+(ROW(A585)-1),"")</f>
        <v/>
      </c>
      <c r="U585" s="3" t="str">
        <f ca="1">IF(B585&lt;&gt;"",INDEX('Initiative Indirect'!$T:$T,MATCH(B585,'Initiative Indirect'!$A:$A,0)),"")</f>
        <v/>
      </c>
      <c r="V585" s="3" t="str">
        <f ca="1">IF(C585&lt;&gt;"",INDEX('Team Indirect'!$T:$T,MATCH(C585,'Team Indirect'!$A:$A,0)),"")</f>
        <v/>
      </c>
      <c r="W585" s="3"/>
      <c r="X585" s="3"/>
      <c r="Y585" s="3" t="str">
        <f ca="1">IF($C585&lt;&gt;"",INDEX('Team Indirect'!$D:$D,MATCH($C585,'Team Indirect'!$A:$A,0)),"")</f>
        <v/>
      </c>
      <c r="Z585" s="3" t="str">
        <f ca="1">IF($C585&lt;&gt;"",INDEX('Team Indirect'!$E:$E,MATCH($C585,'Team Indirect'!$A:$A,0)),"")</f>
        <v/>
      </c>
      <c r="AA585" s="3" t="str">
        <f ca="1">IF($C585&lt;&gt;"",INDEX('Team Indirect'!$F:$F,MATCH($C585,'Team Indirect'!$A:$A,0)),"")</f>
        <v/>
      </c>
      <c r="AB585" s="3" t="str">
        <f t="shared" ca="1" si="9"/>
        <v/>
      </c>
      <c r="AC585" s="3">
        <f ca="1">IF(OR(AllocationUnits="Stories", AllocationUnits="Points"),'Work Indirect'!F585,F585/MAX('Work Indirect'!AB585,1))</f>
        <v>1</v>
      </c>
    </row>
    <row r="586" spans="1:29"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7" t="str">
        <f ca="1">IF(OFFSET('4. Work'!$A$1,ROW(D586)-1,COLUMN(D586)-1)="","",OFFSET('4. Work'!$A$1,ROW(D586)-1,COLUMN(D586)-1))</f>
        <v/>
      </c>
      <c r="E586" s="147"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I586" s="3" t="str">
        <f ca="1">IF(OFFSET('4. Work'!$A$1,ROW(I586)-1,COLUMN(I586)-1)="","",OFFSET('4. Work'!$A$1,ROW(I586)-1,COLUMN(I586)-1))</f>
        <v/>
      </c>
      <c r="T586" s="3" t="str">
        <f ca="1">IF(A586&lt;&gt;"",MAX('Initiative Indirect'!$T:$T)+(ROW(A586)-1),"")</f>
        <v/>
      </c>
      <c r="U586" s="3" t="str">
        <f ca="1">IF(B586&lt;&gt;"",INDEX('Initiative Indirect'!$T:$T,MATCH(B586,'Initiative Indirect'!$A:$A,0)),"")</f>
        <v/>
      </c>
      <c r="V586" s="3" t="str">
        <f ca="1">IF(C586&lt;&gt;"",INDEX('Team Indirect'!$T:$T,MATCH(C586,'Team Indirect'!$A:$A,0)),"")</f>
        <v/>
      </c>
      <c r="W586" s="3"/>
      <c r="X586" s="3"/>
      <c r="Y586" s="3" t="str">
        <f ca="1">IF($C586&lt;&gt;"",INDEX('Team Indirect'!$D:$D,MATCH($C586,'Team Indirect'!$A:$A,0)),"")</f>
        <v/>
      </c>
      <c r="Z586" s="3" t="str">
        <f ca="1">IF($C586&lt;&gt;"",INDEX('Team Indirect'!$E:$E,MATCH($C586,'Team Indirect'!$A:$A,0)),"")</f>
        <v/>
      </c>
      <c r="AA586" s="3" t="str">
        <f ca="1">IF($C586&lt;&gt;"",INDEX('Team Indirect'!$F:$F,MATCH($C586,'Team Indirect'!$A:$A,0)),"")</f>
        <v/>
      </c>
      <c r="AB586" s="3" t="str">
        <f t="shared" ca="1" si="9"/>
        <v/>
      </c>
      <c r="AC586" s="3">
        <f ca="1">IF(OR(AllocationUnits="Stories", AllocationUnits="Points"),'Work Indirect'!F586,F586/MAX('Work Indirect'!AB586,1))</f>
        <v>1</v>
      </c>
    </row>
    <row r="587" spans="1:29"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7" t="str">
        <f ca="1">IF(OFFSET('4. Work'!$A$1,ROW(D587)-1,COLUMN(D587)-1)="","",OFFSET('4. Work'!$A$1,ROW(D587)-1,COLUMN(D587)-1))</f>
        <v/>
      </c>
      <c r="E587" s="147"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I587" s="3" t="str">
        <f ca="1">IF(OFFSET('4. Work'!$A$1,ROW(I587)-1,COLUMN(I587)-1)="","",OFFSET('4. Work'!$A$1,ROW(I587)-1,COLUMN(I587)-1))</f>
        <v/>
      </c>
      <c r="T587" s="3" t="str">
        <f ca="1">IF(A587&lt;&gt;"",MAX('Initiative Indirect'!$T:$T)+(ROW(A587)-1),"")</f>
        <v/>
      </c>
      <c r="U587" s="3" t="str">
        <f ca="1">IF(B587&lt;&gt;"",INDEX('Initiative Indirect'!$T:$T,MATCH(B587,'Initiative Indirect'!$A:$A,0)),"")</f>
        <v/>
      </c>
      <c r="V587" s="3" t="str">
        <f ca="1">IF(C587&lt;&gt;"",INDEX('Team Indirect'!$T:$T,MATCH(C587,'Team Indirect'!$A:$A,0)),"")</f>
        <v/>
      </c>
      <c r="W587" s="3"/>
      <c r="X587" s="3"/>
      <c r="Y587" s="3" t="str">
        <f ca="1">IF($C587&lt;&gt;"",INDEX('Team Indirect'!$D:$D,MATCH($C587,'Team Indirect'!$A:$A,0)),"")</f>
        <v/>
      </c>
      <c r="Z587" s="3" t="str">
        <f ca="1">IF($C587&lt;&gt;"",INDEX('Team Indirect'!$E:$E,MATCH($C587,'Team Indirect'!$A:$A,0)),"")</f>
        <v/>
      </c>
      <c r="AA587" s="3" t="str">
        <f ca="1">IF($C587&lt;&gt;"",INDEX('Team Indirect'!$F:$F,MATCH($C587,'Team Indirect'!$A:$A,0)),"")</f>
        <v/>
      </c>
      <c r="AB587" s="3" t="str">
        <f t="shared" ca="1" si="9"/>
        <v/>
      </c>
      <c r="AC587" s="3">
        <f ca="1">IF(OR(AllocationUnits="Stories", AllocationUnits="Points"),'Work Indirect'!F587,F587/MAX('Work Indirect'!AB587,1))</f>
        <v>1</v>
      </c>
    </row>
    <row r="588" spans="1:29"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7" t="str">
        <f ca="1">IF(OFFSET('4. Work'!$A$1,ROW(D588)-1,COLUMN(D588)-1)="","",OFFSET('4. Work'!$A$1,ROW(D588)-1,COLUMN(D588)-1))</f>
        <v/>
      </c>
      <c r="E588" s="147"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I588" s="3" t="str">
        <f ca="1">IF(OFFSET('4. Work'!$A$1,ROW(I588)-1,COLUMN(I588)-1)="","",OFFSET('4. Work'!$A$1,ROW(I588)-1,COLUMN(I588)-1))</f>
        <v/>
      </c>
      <c r="T588" s="3" t="str">
        <f ca="1">IF(A588&lt;&gt;"",MAX('Initiative Indirect'!$T:$T)+(ROW(A588)-1),"")</f>
        <v/>
      </c>
      <c r="U588" s="3" t="str">
        <f ca="1">IF(B588&lt;&gt;"",INDEX('Initiative Indirect'!$T:$T,MATCH(B588,'Initiative Indirect'!$A:$A,0)),"")</f>
        <v/>
      </c>
      <c r="V588" s="3" t="str">
        <f ca="1">IF(C588&lt;&gt;"",INDEX('Team Indirect'!$T:$T,MATCH(C588,'Team Indirect'!$A:$A,0)),"")</f>
        <v/>
      </c>
      <c r="W588" s="3"/>
      <c r="X588" s="3"/>
      <c r="Y588" s="3" t="str">
        <f ca="1">IF($C588&lt;&gt;"",INDEX('Team Indirect'!$D:$D,MATCH($C588,'Team Indirect'!$A:$A,0)),"")</f>
        <v/>
      </c>
      <c r="Z588" s="3" t="str">
        <f ca="1">IF($C588&lt;&gt;"",INDEX('Team Indirect'!$E:$E,MATCH($C588,'Team Indirect'!$A:$A,0)),"")</f>
        <v/>
      </c>
      <c r="AA588" s="3" t="str">
        <f ca="1">IF($C588&lt;&gt;"",INDEX('Team Indirect'!$F:$F,MATCH($C588,'Team Indirect'!$A:$A,0)),"")</f>
        <v/>
      </c>
      <c r="AB588" s="3" t="str">
        <f t="shared" ca="1" si="9"/>
        <v/>
      </c>
      <c r="AC588" s="3">
        <f ca="1">IF(OR(AllocationUnits="Stories", AllocationUnits="Points"),'Work Indirect'!F588,F588/MAX('Work Indirect'!AB588,1))</f>
        <v>1</v>
      </c>
    </row>
    <row r="589" spans="1:29"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7" t="str">
        <f ca="1">IF(OFFSET('4. Work'!$A$1,ROW(D589)-1,COLUMN(D589)-1)="","",OFFSET('4. Work'!$A$1,ROW(D589)-1,COLUMN(D589)-1))</f>
        <v/>
      </c>
      <c r="E589" s="147"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I589" s="3" t="str">
        <f ca="1">IF(OFFSET('4. Work'!$A$1,ROW(I589)-1,COLUMN(I589)-1)="","",OFFSET('4. Work'!$A$1,ROW(I589)-1,COLUMN(I589)-1))</f>
        <v/>
      </c>
      <c r="T589" s="3" t="str">
        <f ca="1">IF(A589&lt;&gt;"",MAX('Initiative Indirect'!$T:$T)+(ROW(A589)-1),"")</f>
        <v/>
      </c>
      <c r="U589" s="3" t="str">
        <f ca="1">IF(B589&lt;&gt;"",INDEX('Initiative Indirect'!$T:$T,MATCH(B589,'Initiative Indirect'!$A:$A,0)),"")</f>
        <v/>
      </c>
      <c r="V589" s="3" t="str">
        <f ca="1">IF(C589&lt;&gt;"",INDEX('Team Indirect'!$T:$T,MATCH(C589,'Team Indirect'!$A:$A,0)),"")</f>
        <v/>
      </c>
      <c r="W589" s="3"/>
      <c r="X589" s="3"/>
      <c r="Y589" s="3" t="str">
        <f ca="1">IF($C589&lt;&gt;"",INDEX('Team Indirect'!$D:$D,MATCH($C589,'Team Indirect'!$A:$A,0)),"")</f>
        <v/>
      </c>
      <c r="Z589" s="3" t="str">
        <f ca="1">IF($C589&lt;&gt;"",INDEX('Team Indirect'!$E:$E,MATCH($C589,'Team Indirect'!$A:$A,0)),"")</f>
        <v/>
      </c>
      <c r="AA589" s="3" t="str">
        <f ca="1">IF($C589&lt;&gt;"",INDEX('Team Indirect'!$F:$F,MATCH($C589,'Team Indirect'!$A:$A,0)),"")</f>
        <v/>
      </c>
      <c r="AB589" s="3" t="str">
        <f t="shared" ca="1" si="9"/>
        <v/>
      </c>
      <c r="AC589" s="3">
        <f ca="1">IF(OR(AllocationUnits="Stories", AllocationUnits="Points"),'Work Indirect'!F589,F589/MAX('Work Indirect'!AB589,1))</f>
        <v>1</v>
      </c>
    </row>
    <row r="590" spans="1:29"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7" t="str">
        <f ca="1">IF(OFFSET('4. Work'!$A$1,ROW(D590)-1,COLUMN(D590)-1)="","",OFFSET('4. Work'!$A$1,ROW(D590)-1,COLUMN(D590)-1))</f>
        <v/>
      </c>
      <c r="E590" s="147"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I590" s="3" t="str">
        <f ca="1">IF(OFFSET('4. Work'!$A$1,ROW(I590)-1,COLUMN(I590)-1)="","",OFFSET('4. Work'!$A$1,ROW(I590)-1,COLUMN(I590)-1))</f>
        <v/>
      </c>
      <c r="T590" s="3" t="str">
        <f ca="1">IF(A590&lt;&gt;"",MAX('Initiative Indirect'!$T:$T)+(ROW(A590)-1),"")</f>
        <v/>
      </c>
      <c r="U590" s="3" t="str">
        <f ca="1">IF(B590&lt;&gt;"",INDEX('Initiative Indirect'!$T:$T,MATCH(B590,'Initiative Indirect'!$A:$A,0)),"")</f>
        <v/>
      </c>
      <c r="V590" s="3" t="str">
        <f ca="1">IF(C590&lt;&gt;"",INDEX('Team Indirect'!$T:$T,MATCH(C590,'Team Indirect'!$A:$A,0)),"")</f>
        <v/>
      </c>
      <c r="W590" s="3"/>
      <c r="X590" s="3"/>
      <c r="Y590" s="3" t="str">
        <f ca="1">IF($C590&lt;&gt;"",INDEX('Team Indirect'!$D:$D,MATCH($C590,'Team Indirect'!$A:$A,0)),"")</f>
        <v/>
      </c>
      <c r="Z590" s="3" t="str">
        <f ca="1">IF($C590&lt;&gt;"",INDEX('Team Indirect'!$E:$E,MATCH($C590,'Team Indirect'!$A:$A,0)),"")</f>
        <v/>
      </c>
      <c r="AA590" s="3" t="str">
        <f ca="1">IF($C590&lt;&gt;"",INDEX('Team Indirect'!$F:$F,MATCH($C590,'Team Indirect'!$A:$A,0)),"")</f>
        <v/>
      </c>
      <c r="AB590" s="3" t="str">
        <f t="shared" ca="1" si="9"/>
        <v/>
      </c>
      <c r="AC590" s="3">
        <f ca="1">IF(OR(AllocationUnits="Stories", AllocationUnits="Points"),'Work Indirect'!F590,F590/MAX('Work Indirect'!AB590,1))</f>
        <v>1</v>
      </c>
    </row>
    <row r="591" spans="1:29"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7" t="str">
        <f ca="1">IF(OFFSET('4. Work'!$A$1,ROW(D591)-1,COLUMN(D591)-1)="","",OFFSET('4. Work'!$A$1,ROW(D591)-1,COLUMN(D591)-1))</f>
        <v/>
      </c>
      <c r="E591" s="147"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I591" s="3" t="str">
        <f ca="1">IF(OFFSET('4. Work'!$A$1,ROW(I591)-1,COLUMN(I591)-1)="","",OFFSET('4. Work'!$A$1,ROW(I591)-1,COLUMN(I591)-1))</f>
        <v/>
      </c>
      <c r="T591" s="3" t="str">
        <f ca="1">IF(A591&lt;&gt;"",MAX('Initiative Indirect'!$T:$T)+(ROW(A591)-1),"")</f>
        <v/>
      </c>
      <c r="U591" s="3" t="str">
        <f ca="1">IF(B591&lt;&gt;"",INDEX('Initiative Indirect'!$T:$T,MATCH(B591,'Initiative Indirect'!$A:$A,0)),"")</f>
        <v/>
      </c>
      <c r="V591" s="3" t="str">
        <f ca="1">IF(C591&lt;&gt;"",INDEX('Team Indirect'!$T:$T,MATCH(C591,'Team Indirect'!$A:$A,0)),"")</f>
        <v/>
      </c>
      <c r="W591" s="3"/>
      <c r="X591" s="3"/>
      <c r="Y591" s="3" t="str">
        <f ca="1">IF($C591&lt;&gt;"",INDEX('Team Indirect'!$D:$D,MATCH($C591,'Team Indirect'!$A:$A,0)),"")</f>
        <v/>
      </c>
      <c r="Z591" s="3" t="str">
        <f ca="1">IF($C591&lt;&gt;"",INDEX('Team Indirect'!$E:$E,MATCH($C591,'Team Indirect'!$A:$A,0)),"")</f>
        <v/>
      </c>
      <c r="AA591" s="3" t="str">
        <f ca="1">IF($C591&lt;&gt;"",INDEX('Team Indirect'!$F:$F,MATCH($C591,'Team Indirect'!$A:$A,0)),"")</f>
        <v/>
      </c>
      <c r="AB591" s="3" t="str">
        <f t="shared" ca="1" si="9"/>
        <v/>
      </c>
      <c r="AC591" s="3">
        <f ca="1">IF(OR(AllocationUnits="Stories", AllocationUnits="Points"),'Work Indirect'!F591,F591/MAX('Work Indirect'!AB591,1))</f>
        <v>1</v>
      </c>
    </row>
    <row r="592" spans="1:29"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7" t="str">
        <f ca="1">IF(OFFSET('4. Work'!$A$1,ROW(D592)-1,COLUMN(D592)-1)="","",OFFSET('4. Work'!$A$1,ROW(D592)-1,COLUMN(D592)-1))</f>
        <v/>
      </c>
      <c r="E592" s="147"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I592" s="3" t="str">
        <f ca="1">IF(OFFSET('4. Work'!$A$1,ROW(I592)-1,COLUMN(I592)-1)="","",OFFSET('4. Work'!$A$1,ROW(I592)-1,COLUMN(I592)-1))</f>
        <v/>
      </c>
      <c r="T592" s="3" t="str">
        <f ca="1">IF(A592&lt;&gt;"",MAX('Initiative Indirect'!$T:$T)+(ROW(A592)-1),"")</f>
        <v/>
      </c>
      <c r="U592" s="3" t="str">
        <f ca="1">IF(B592&lt;&gt;"",INDEX('Initiative Indirect'!$T:$T,MATCH(B592,'Initiative Indirect'!$A:$A,0)),"")</f>
        <v/>
      </c>
      <c r="V592" s="3" t="str">
        <f ca="1">IF(C592&lt;&gt;"",INDEX('Team Indirect'!$T:$T,MATCH(C592,'Team Indirect'!$A:$A,0)),"")</f>
        <v/>
      </c>
      <c r="W592" s="3"/>
      <c r="X592" s="3"/>
      <c r="Y592" s="3" t="str">
        <f ca="1">IF($C592&lt;&gt;"",INDEX('Team Indirect'!$D:$D,MATCH($C592,'Team Indirect'!$A:$A,0)),"")</f>
        <v/>
      </c>
      <c r="Z592" s="3" t="str">
        <f ca="1">IF($C592&lt;&gt;"",INDEX('Team Indirect'!$E:$E,MATCH($C592,'Team Indirect'!$A:$A,0)),"")</f>
        <v/>
      </c>
      <c r="AA592" s="3" t="str">
        <f ca="1">IF($C592&lt;&gt;"",INDEX('Team Indirect'!$F:$F,MATCH($C592,'Team Indirect'!$A:$A,0)),"")</f>
        <v/>
      </c>
      <c r="AB592" s="3" t="str">
        <f t="shared" ca="1" si="9"/>
        <v/>
      </c>
      <c r="AC592" s="3">
        <f ca="1">IF(OR(AllocationUnits="Stories", AllocationUnits="Points"),'Work Indirect'!F592,F592/MAX('Work Indirect'!AB592,1))</f>
        <v>1</v>
      </c>
    </row>
    <row r="593" spans="1:29"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7" t="str">
        <f ca="1">IF(OFFSET('4. Work'!$A$1,ROW(D593)-1,COLUMN(D593)-1)="","",OFFSET('4. Work'!$A$1,ROW(D593)-1,COLUMN(D593)-1))</f>
        <v/>
      </c>
      <c r="E593" s="147"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I593" s="3" t="str">
        <f ca="1">IF(OFFSET('4. Work'!$A$1,ROW(I593)-1,COLUMN(I593)-1)="","",OFFSET('4. Work'!$A$1,ROW(I593)-1,COLUMN(I593)-1))</f>
        <v/>
      </c>
      <c r="T593" s="3" t="str">
        <f ca="1">IF(A593&lt;&gt;"",MAX('Initiative Indirect'!$T:$T)+(ROW(A593)-1),"")</f>
        <v/>
      </c>
      <c r="U593" s="3" t="str">
        <f ca="1">IF(B593&lt;&gt;"",INDEX('Initiative Indirect'!$T:$T,MATCH(B593,'Initiative Indirect'!$A:$A,0)),"")</f>
        <v/>
      </c>
      <c r="V593" s="3" t="str">
        <f ca="1">IF(C593&lt;&gt;"",INDEX('Team Indirect'!$T:$T,MATCH(C593,'Team Indirect'!$A:$A,0)),"")</f>
        <v/>
      </c>
      <c r="W593" s="3"/>
      <c r="X593" s="3"/>
      <c r="Y593" s="3" t="str">
        <f ca="1">IF($C593&lt;&gt;"",INDEX('Team Indirect'!$D:$D,MATCH($C593,'Team Indirect'!$A:$A,0)),"")</f>
        <v/>
      </c>
      <c r="Z593" s="3" t="str">
        <f ca="1">IF($C593&lt;&gt;"",INDEX('Team Indirect'!$E:$E,MATCH($C593,'Team Indirect'!$A:$A,0)),"")</f>
        <v/>
      </c>
      <c r="AA593" s="3" t="str">
        <f ca="1">IF($C593&lt;&gt;"",INDEX('Team Indirect'!$F:$F,MATCH($C593,'Team Indirect'!$A:$A,0)),"")</f>
        <v/>
      </c>
      <c r="AB593" s="3" t="str">
        <f t="shared" ca="1" si="9"/>
        <v/>
      </c>
      <c r="AC593" s="3">
        <f ca="1">IF(OR(AllocationUnits="Stories", AllocationUnits="Points"),'Work Indirect'!F593,F593/MAX('Work Indirect'!AB593,1))</f>
        <v>1</v>
      </c>
    </row>
    <row r="594" spans="1:29"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7" t="str">
        <f ca="1">IF(OFFSET('4. Work'!$A$1,ROW(D594)-1,COLUMN(D594)-1)="","",OFFSET('4. Work'!$A$1,ROW(D594)-1,COLUMN(D594)-1))</f>
        <v/>
      </c>
      <c r="E594" s="147"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I594" s="3" t="str">
        <f ca="1">IF(OFFSET('4. Work'!$A$1,ROW(I594)-1,COLUMN(I594)-1)="","",OFFSET('4. Work'!$A$1,ROW(I594)-1,COLUMN(I594)-1))</f>
        <v/>
      </c>
      <c r="T594" s="3" t="str">
        <f ca="1">IF(A594&lt;&gt;"",MAX('Initiative Indirect'!$T:$T)+(ROW(A594)-1),"")</f>
        <v/>
      </c>
      <c r="U594" s="3" t="str">
        <f ca="1">IF(B594&lt;&gt;"",INDEX('Initiative Indirect'!$T:$T,MATCH(B594,'Initiative Indirect'!$A:$A,0)),"")</f>
        <v/>
      </c>
      <c r="V594" s="3" t="str">
        <f ca="1">IF(C594&lt;&gt;"",INDEX('Team Indirect'!$T:$T,MATCH(C594,'Team Indirect'!$A:$A,0)),"")</f>
        <v/>
      </c>
      <c r="W594" s="3"/>
      <c r="X594" s="3"/>
      <c r="Y594" s="3" t="str">
        <f ca="1">IF($C594&lt;&gt;"",INDEX('Team Indirect'!$D:$D,MATCH($C594,'Team Indirect'!$A:$A,0)),"")</f>
        <v/>
      </c>
      <c r="Z594" s="3" t="str">
        <f ca="1">IF($C594&lt;&gt;"",INDEX('Team Indirect'!$E:$E,MATCH($C594,'Team Indirect'!$A:$A,0)),"")</f>
        <v/>
      </c>
      <c r="AA594" s="3" t="str">
        <f ca="1">IF($C594&lt;&gt;"",INDEX('Team Indirect'!$F:$F,MATCH($C594,'Team Indirect'!$A:$A,0)),"")</f>
        <v/>
      </c>
      <c r="AB594" s="3" t="str">
        <f t="shared" ca="1" si="9"/>
        <v/>
      </c>
      <c r="AC594" s="3">
        <f ca="1">IF(OR(AllocationUnits="Stories", AllocationUnits="Points"),'Work Indirect'!F594,F594/MAX('Work Indirect'!AB594,1))</f>
        <v>1</v>
      </c>
    </row>
    <row r="595" spans="1:29"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7" t="str">
        <f ca="1">IF(OFFSET('4. Work'!$A$1,ROW(D595)-1,COLUMN(D595)-1)="","",OFFSET('4. Work'!$A$1,ROW(D595)-1,COLUMN(D595)-1))</f>
        <v/>
      </c>
      <c r="E595" s="147"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I595" s="3" t="str">
        <f ca="1">IF(OFFSET('4. Work'!$A$1,ROW(I595)-1,COLUMN(I595)-1)="","",OFFSET('4. Work'!$A$1,ROW(I595)-1,COLUMN(I595)-1))</f>
        <v/>
      </c>
      <c r="T595" s="3" t="str">
        <f ca="1">IF(A595&lt;&gt;"",MAX('Initiative Indirect'!$T:$T)+(ROW(A595)-1),"")</f>
        <v/>
      </c>
      <c r="U595" s="3" t="str">
        <f ca="1">IF(B595&lt;&gt;"",INDEX('Initiative Indirect'!$T:$T,MATCH(B595,'Initiative Indirect'!$A:$A,0)),"")</f>
        <v/>
      </c>
      <c r="V595" s="3" t="str">
        <f ca="1">IF(C595&lt;&gt;"",INDEX('Team Indirect'!$T:$T,MATCH(C595,'Team Indirect'!$A:$A,0)),"")</f>
        <v/>
      </c>
      <c r="W595" s="3"/>
      <c r="X595" s="3"/>
      <c r="Y595" s="3" t="str">
        <f ca="1">IF($C595&lt;&gt;"",INDEX('Team Indirect'!$D:$D,MATCH($C595,'Team Indirect'!$A:$A,0)),"")</f>
        <v/>
      </c>
      <c r="Z595" s="3" t="str">
        <f ca="1">IF($C595&lt;&gt;"",INDEX('Team Indirect'!$E:$E,MATCH($C595,'Team Indirect'!$A:$A,0)),"")</f>
        <v/>
      </c>
      <c r="AA595" s="3" t="str">
        <f ca="1">IF($C595&lt;&gt;"",INDEX('Team Indirect'!$F:$F,MATCH($C595,'Team Indirect'!$A:$A,0)),"")</f>
        <v/>
      </c>
      <c r="AB595" s="3" t="str">
        <f t="shared" ca="1" si="9"/>
        <v/>
      </c>
      <c r="AC595" s="3">
        <f ca="1">IF(OR(AllocationUnits="Stories", AllocationUnits="Points"),'Work Indirect'!F595,F595/MAX('Work Indirect'!AB595,1))</f>
        <v>1</v>
      </c>
    </row>
    <row r="596" spans="1:29"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7" t="str">
        <f ca="1">IF(OFFSET('4. Work'!$A$1,ROW(D596)-1,COLUMN(D596)-1)="","",OFFSET('4. Work'!$A$1,ROW(D596)-1,COLUMN(D596)-1))</f>
        <v/>
      </c>
      <c r="E596" s="147"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I596" s="3" t="str">
        <f ca="1">IF(OFFSET('4. Work'!$A$1,ROW(I596)-1,COLUMN(I596)-1)="","",OFFSET('4. Work'!$A$1,ROW(I596)-1,COLUMN(I596)-1))</f>
        <v/>
      </c>
      <c r="T596" s="3" t="str">
        <f ca="1">IF(A596&lt;&gt;"",MAX('Initiative Indirect'!$T:$T)+(ROW(A596)-1),"")</f>
        <v/>
      </c>
      <c r="U596" s="3" t="str">
        <f ca="1">IF(B596&lt;&gt;"",INDEX('Initiative Indirect'!$T:$T,MATCH(B596,'Initiative Indirect'!$A:$A,0)),"")</f>
        <v/>
      </c>
      <c r="V596" s="3" t="str">
        <f ca="1">IF(C596&lt;&gt;"",INDEX('Team Indirect'!$T:$T,MATCH(C596,'Team Indirect'!$A:$A,0)),"")</f>
        <v/>
      </c>
      <c r="W596" s="3"/>
      <c r="X596" s="3"/>
      <c r="Y596" s="3" t="str">
        <f ca="1">IF($C596&lt;&gt;"",INDEX('Team Indirect'!$D:$D,MATCH($C596,'Team Indirect'!$A:$A,0)),"")</f>
        <v/>
      </c>
      <c r="Z596" s="3" t="str">
        <f ca="1">IF($C596&lt;&gt;"",INDEX('Team Indirect'!$E:$E,MATCH($C596,'Team Indirect'!$A:$A,0)),"")</f>
        <v/>
      </c>
      <c r="AA596" s="3" t="str">
        <f ca="1">IF($C596&lt;&gt;"",INDEX('Team Indirect'!$F:$F,MATCH($C596,'Team Indirect'!$A:$A,0)),"")</f>
        <v/>
      </c>
      <c r="AB596" s="3" t="str">
        <f t="shared" ca="1" si="9"/>
        <v/>
      </c>
      <c r="AC596" s="3">
        <f ca="1">IF(OR(AllocationUnits="Stories", AllocationUnits="Points"),'Work Indirect'!F596,F596/MAX('Work Indirect'!AB596,1))</f>
        <v>1</v>
      </c>
    </row>
    <row r="597" spans="1:29"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7" t="str">
        <f ca="1">IF(OFFSET('4. Work'!$A$1,ROW(D597)-1,COLUMN(D597)-1)="","",OFFSET('4. Work'!$A$1,ROW(D597)-1,COLUMN(D597)-1))</f>
        <v/>
      </c>
      <c r="E597" s="147"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I597" s="3" t="str">
        <f ca="1">IF(OFFSET('4. Work'!$A$1,ROW(I597)-1,COLUMN(I597)-1)="","",OFFSET('4. Work'!$A$1,ROW(I597)-1,COLUMN(I597)-1))</f>
        <v/>
      </c>
      <c r="T597" s="3" t="str">
        <f ca="1">IF(A597&lt;&gt;"",MAX('Initiative Indirect'!$T:$T)+(ROW(A597)-1),"")</f>
        <v/>
      </c>
      <c r="U597" s="3" t="str">
        <f ca="1">IF(B597&lt;&gt;"",INDEX('Initiative Indirect'!$T:$T,MATCH(B597,'Initiative Indirect'!$A:$A,0)),"")</f>
        <v/>
      </c>
      <c r="V597" s="3" t="str">
        <f ca="1">IF(C597&lt;&gt;"",INDEX('Team Indirect'!$T:$T,MATCH(C597,'Team Indirect'!$A:$A,0)),"")</f>
        <v/>
      </c>
      <c r="W597" s="3"/>
      <c r="X597" s="3"/>
      <c r="Y597" s="3" t="str">
        <f ca="1">IF($C597&lt;&gt;"",INDEX('Team Indirect'!$D:$D,MATCH($C597,'Team Indirect'!$A:$A,0)),"")</f>
        <v/>
      </c>
      <c r="Z597" s="3" t="str">
        <f ca="1">IF($C597&lt;&gt;"",INDEX('Team Indirect'!$E:$E,MATCH($C597,'Team Indirect'!$A:$A,0)),"")</f>
        <v/>
      </c>
      <c r="AA597" s="3" t="str">
        <f ca="1">IF($C597&lt;&gt;"",INDEX('Team Indirect'!$F:$F,MATCH($C597,'Team Indirect'!$A:$A,0)),"")</f>
        <v/>
      </c>
      <c r="AB597" s="3" t="str">
        <f t="shared" ca="1" si="9"/>
        <v/>
      </c>
      <c r="AC597" s="3">
        <f ca="1">IF(OR(AllocationUnits="Stories", AllocationUnits="Points"),'Work Indirect'!F597,F597/MAX('Work Indirect'!AB597,1))</f>
        <v>1</v>
      </c>
    </row>
    <row r="598" spans="1:29"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7" t="str">
        <f ca="1">IF(OFFSET('4. Work'!$A$1,ROW(D598)-1,COLUMN(D598)-1)="","",OFFSET('4. Work'!$A$1,ROW(D598)-1,COLUMN(D598)-1))</f>
        <v/>
      </c>
      <c r="E598" s="147"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I598" s="3" t="str">
        <f ca="1">IF(OFFSET('4. Work'!$A$1,ROW(I598)-1,COLUMN(I598)-1)="","",OFFSET('4. Work'!$A$1,ROW(I598)-1,COLUMN(I598)-1))</f>
        <v/>
      </c>
      <c r="T598" s="3" t="str">
        <f ca="1">IF(A598&lt;&gt;"",MAX('Initiative Indirect'!$T:$T)+(ROW(A598)-1),"")</f>
        <v/>
      </c>
      <c r="U598" s="3" t="str">
        <f ca="1">IF(B598&lt;&gt;"",INDEX('Initiative Indirect'!$T:$T,MATCH(B598,'Initiative Indirect'!$A:$A,0)),"")</f>
        <v/>
      </c>
      <c r="V598" s="3" t="str">
        <f ca="1">IF(C598&lt;&gt;"",INDEX('Team Indirect'!$T:$T,MATCH(C598,'Team Indirect'!$A:$A,0)),"")</f>
        <v/>
      </c>
      <c r="W598" s="3"/>
      <c r="X598" s="3"/>
      <c r="Y598" s="3" t="str">
        <f ca="1">IF($C598&lt;&gt;"",INDEX('Team Indirect'!$D:$D,MATCH($C598,'Team Indirect'!$A:$A,0)),"")</f>
        <v/>
      </c>
      <c r="Z598" s="3" t="str">
        <f ca="1">IF($C598&lt;&gt;"",INDEX('Team Indirect'!$E:$E,MATCH($C598,'Team Indirect'!$A:$A,0)),"")</f>
        <v/>
      </c>
      <c r="AA598" s="3" t="str">
        <f ca="1">IF($C598&lt;&gt;"",INDEX('Team Indirect'!$F:$F,MATCH($C598,'Team Indirect'!$A:$A,0)),"")</f>
        <v/>
      </c>
      <c r="AB598" s="3" t="str">
        <f t="shared" ca="1" si="9"/>
        <v/>
      </c>
      <c r="AC598" s="3">
        <f ca="1">IF(OR(AllocationUnits="Stories", AllocationUnits="Points"),'Work Indirect'!F598,F598/MAX('Work Indirect'!AB598,1))</f>
        <v>1</v>
      </c>
    </row>
    <row r="599" spans="1:29"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7" t="str">
        <f ca="1">IF(OFFSET('4. Work'!$A$1,ROW(D599)-1,COLUMN(D599)-1)="","",OFFSET('4. Work'!$A$1,ROW(D599)-1,COLUMN(D599)-1))</f>
        <v/>
      </c>
      <c r="E599" s="147"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I599" s="3" t="str">
        <f ca="1">IF(OFFSET('4. Work'!$A$1,ROW(I599)-1,COLUMN(I599)-1)="","",OFFSET('4. Work'!$A$1,ROW(I599)-1,COLUMN(I599)-1))</f>
        <v/>
      </c>
      <c r="T599" s="3" t="str">
        <f ca="1">IF(A599&lt;&gt;"",MAX('Initiative Indirect'!$T:$T)+(ROW(A599)-1),"")</f>
        <v/>
      </c>
      <c r="U599" s="3" t="str">
        <f ca="1">IF(B599&lt;&gt;"",INDEX('Initiative Indirect'!$T:$T,MATCH(B599,'Initiative Indirect'!$A:$A,0)),"")</f>
        <v/>
      </c>
      <c r="V599" s="3" t="str">
        <f ca="1">IF(C599&lt;&gt;"",INDEX('Team Indirect'!$T:$T,MATCH(C599,'Team Indirect'!$A:$A,0)),"")</f>
        <v/>
      </c>
      <c r="W599" s="3"/>
      <c r="X599" s="3"/>
      <c r="Y599" s="3" t="str">
        <f ca="1">IF($C599&lt;&gt;"",INDEX('Team Indirect'!$D:$D,MATCH($C599,'Team Indirect'!$A:$A,0)),"")</f>
        <v/>
      </c>
      <c r="Z599" s="3" t="str">
        <f ca="1">IF($C599&lt;&gt;"",INDEX('Team Indirect'!$E:$E,MATCH($C599,'Team Indirect'!$A:$A,0)),"")</f>
        <v/>
      </c>
      <c r="AA599" s="3" t="str">
        <f ca="1">IF($C599&lt;&gt;"",INDEX('Team Indirect'!$F:$F,MATCH($C599,'Team Indirect'!$A:$A,0)),"")</f>
        <v/>
      </c>
      <c r="AB599" s="3" t="str">
        <f t="shared" ca="1" si="9"/>
        <v/>
      </c>
      <c r="AC599" s="3">
        <f ca="1">IF(OR(AllocationUnits="Stories", AllocationUnits="Points"),'Work Indirect'!F599,F599/MAX('Work Indirect'!AB599,1))</f>
        <v>1</v>
      </c>
    </row>
    <row r="600" spans="1:29"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7" t="str">
        <f ca="1">IF(OFFSET('4. Work'!$A$1,ROW(D600)-1,COLUMN(D600)-1)="","",OFFSET('4. Work'!$A$1,ROW(D600)-1,COLUMN(D600)-1))</f>
        <v/>
      </c>
      <c r="E600" s="147"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I600" s="3" t="str">
        <f ca="1">IF(OFFSET('4. Work'!$A$1,ROW(I600)-1,COLUMN(I600)-1)="","",OFFSET('4. Work'!$A$1,ROW(I600)-1,COLUMN(I600)-1))</f>
        <v/>
      </c>
      <c r="T600" s="3" t="str">
        <f ca="1">IF(A600&lt;&gt;"",MAX('Initiative Indirect'!$T:$T)+(ROW(A600)-1),"")</f>
        <v/>
      </c>
      <c r="U600" s="3" t="str">
        <f ca="1">IF(B600&lt;&gt;"",INDEX('Initiative Indirect'!$T:$T,MATCH(B600,'Initiative Indirect'!$A:$A,0)),"")</f>
        <v/>
      </c>
      <c r="V600" s="3" t="str">
        <f ca="1">IF(C600&lt;&gt;"",INDEX('Team Indirect'!$T:$T,MATCH(C600,'Team Indirect'!$A:$A,0)),"")</f>
        <v/>
      </c>
      <c r="W600" s="3"/>
      <c r="X600" s="3"/>
      <c r="Y600" s="3" t="str">
        <f ca="1">IF($C600&lt;&gt;"",INDEX('Team Indirect'!$D:$D,MATCH($C600,'Team Indirect'!$A:$A,0)),"")</f>
        <v/>
      </c>
      <c r="Z600" s="3" t="str">
        <f ca="1">IF($C600&lt;&gt;"",INDEX('Team Indirect'!$E:$E,MATCH($C600,'Team Indirect'!$A:$A,0)),"")</f>
        <v/>
      </c>
      <c r="AA600" s="3" t="str">
        <f ca="1">IF($C600&lt;&gt;"",INDEX('Team Indirect'!$F:$F,MATCH($C600,'Team Indirect'!$A:$A,0)),"")</f>
        <v/>
      </c>
      <c r="AB600" s="3" t="str">
        <f t="shared" ca="1" si="9"/>
        <v/>
      </c>
      <c r="AC600" s="3">
        <f ca="1">IF(OR(AllocationUnits="Stories", AllocationUnits="Points"),'Work Indirect'!F600,F600/MAX('Work Indirect'!AB600,1))</f>
        <v>1</v>
      </c>
    </row>
    <row r="601" spans="1:29"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7" t="str">
        <f ca="1">IF(OFFSET('4. Work'!$A$1,ROW(D601)-1,COLUMN(D601)-1)="","",OFFSET('4. Work'!$A$1,ROW(D601)-1,COLUMN(D601)-1))</f>
        <v/>
      </c>
      <c r="E601" s="147"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I601" s="3" t="str">
        <f ca="1">IF(OFFSET('4. Work'!$A$1,ROW(I601)-1,COLUMN(I601)-1)="","",OFFSET('4. Work'!$A$1,ROW(I601)-1,COLUMN(I601)-1))</f>
        <v/>
      </c>
      <c r="T601" s="3" t="str">
        <f ca="1">IF(A601&lt;&gt;"",MAX('Initiative Indirect'!$T:$T)+(ROW(A601)-1),"")</f>
        <v/>
      </c>
      <c r="U601" s="3" t="str">
        <f ca="1">IF(B601&lt;&gt;"",INDEX('Initiative Indirect'!$T:$T,MATCH(B601,'Initiative Indirect'!$A:$A,0)),"")</f>
        <v/>
      </c>
      <c r="V601" s="3" t="str">
        <f ca="1">IF(C601&lt;&gt;"",INDEX('Team Indirect'!$T:$T,MATCH(C601,'Team Indirect'!$A:$A,0)),"")</f>
        <v/>
      </c>
      <c r="W601" s="3"/>
      <c r="X601" s="3"/>
      <c r="Y601" s="3" t="str">
        <f ca="1">IF($C601&lt;&gt;"",INDEX('Team Indirect'!$D:$D,MATCH($C601,'Team Indirect'!$A:$A,0)),"")</f>
        <v/>
      </c>
      <c r="Z601" s="3" t="str">
        <f ca="1">IF($C601&lt;&gt;"",INDEX('Team Indirect'!$E:$E,MATCH($C601,'Team Indirect'!$A:$A,0)),"")</f>
        <v/>
      </c>
      <c r="AA601" s="3" t="str">
        <f ca="1">IF($C601&lt;&gt;"",INDEX('Team Indirect'!$F:$F,MATCH($C601,'Team Indirect'!$A:$A,0)),"")</f>
        <v/>
      </c>
      <c r="AB601" s="3" t="str">
        <f t="shared" ca="1" si="9"/>
        <v/>
      </c>
      <c r="AC601" s="3">
        <f ca="1">IF(OR(AllocationUnits="Stories", AllocationUnits="Points"),'Work Indirect'!F601,F601/MAX('Work Indirect'!AB601,1))</f>
        <v>1</v>
      </c>
    </row>
    <row r="602" spans="1:29"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7" t="str">
        <f ca="1">IF(OFFSET('4. Work'!$A$1,ROW(D602)-1,COLUMN(D602)-1)="","",OFFSET('4. Work'!$A$1,ROW(D602)-1,COLUMN(D602)-1))</f>
        <v/>
      </c>
      <c r="E602" s="147"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I602" s="3" t="str">
        <f ca="1">IF(OFFSET('4. Work'!$A$1,ROW(I602)-1,COLUMN(I602)-1)="","",OFFSET('4. Work'!$A$1,ROW(I602)-1,COLUMN(I602)-1))</f>
        <v/>
      </c>
      <c r="T602" s="3" t="str">
        <f ca="1">IF(A602&lt;&gt;"",MAX('Initiative Indirect'!$T:$T)+(ROW(A602)-1),"")</f>
        <v/>
      </c>
      <c r="U602" s="3" t="str">
        <f ca="1">IF(B602&lt;&gt;"",INDEX('Initiative Indirect'!$T:$T,MATCH(B602,'Initiative Indirect'!$A:$A,0)),"")</f>
        <v/>
      </c>
      <c r="V602" s="3" t="str">
        <f ca="1">IF(C602&lt;&gt;"",INDEX('Team Indirect'!$T:$T,MATCH(C602,'Team Indirect'!$A:$A,0)),"")</f>
        <v/>
      </c>
      <c r="W602" s="3"/>
      <c r="X602" s="3"/>
      <c r="Y602" s="3" t="str">
        <f ca="1">IF($C602&lt;&gt;"",INDEX('Team Indirect'!$D:$D,MATCH($C602,'Team Indirect'!$A:$A,0)),"")</f>
        <v/>
      </c>
      <c r="Z602" s="3" t="str">
        <f ca="1">IF($C602&lt;&gt;"",INDEX('Team Indirect'!$E:$E,MATCH($C602,'Team Indirect'!$A:$A,0)),"")</f>
        <v/>
      </c>
      <c r="AA602" s="3" t="str">
        <f ca="1">IF($C602&lt;&gt;"",INDEX('Team Indirect'!$F:$F,MATCH($C602,'Team Indirect'!$A:$A,0)),"")</f>
        <v/>
      </c>
      <c r="AB602" s="3" t="str">
        <f t="shared" ca="1" si="9"/>
        <v/>
      </c>
      <c r="AC602" s="3">
        <f ca="1">IF(OR(AllocationUnits="Stories", AllocationUnits="Points"),'Work Indirect'!F602,F602/MAX('Work Indirect'!AB602,1))</f>
        <v>1</v>
      </c>
    </row>
    <row r="603" spans="1:29"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7" t="str">
        <f ca="1">IF(OFFSET('4. Work'!$A$1,ROW(D603)-1,COLUMN(D603)-1)="","",OFFSET('4. Work'!$A$1,ROW(D603)-1,COLUMN(D603)-1))</f>
        <v/>
      </c>
      <c r="E603" s="147"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I603" s="3" t="str">
        <f ca="1">IF(OFFSET('4. Work'!$A$1,ROW(I603)-1,COLUMN(I603)-1)="","",OFFSET('4. Work'!$A$1,ROW(I603)-1,COLUMN(I603)-1))</f>
        <v/>
      </c>
      <c r="T603" s="3" t="str">
        <f ca="1">IF(A603&lt;&gt;"",MAX('Initiative Indirect'!$T:$T)+(ROW(A603)-1),"")</f>
        <v/>
      </c>
      <c r="U603" s="3" t="str">
        <f ca="1">IF(B603&lt;&gt;"",INDEX('Initiative Indirect'!$T:$T,MATCH(B603,'Initiative Indirect'!$A:$A,0)),"")</f>
        <v/>
      </c>
      <c r="V603" s="3" t="str">
        <f ca="1">IF(C603&lt;&gt;"",INDEX('Team Indirect'!$T:$T,MATCH(C603,'Team Indirect'!$A:$A,0)),"")</f>
        <v/>
      </c>
      <c r="W603" s="3"/>
      <c r="X603" s="3"/>
      <c r="Y603" s="3" t="str">
        <f ca="1">IF($C603&lt;&gt;"",INDEX('Team Indirect'!$D:$D,MATCH($C603,'Team Indirect'!$A:$A,0)),"")</f>
        <v/>
      </c>
      <c r="Z603" s="3" t="str">
        <f ca="1">IF($C603&lt;&gt;"",INDEX('Team Indirect'!$E:$E,MATCH($C603,'Team Indirect'!$A:$A,0)),"")</f>
        <v/>
      </c>
      <c r="AA603" s="3" t="str">
        <f ca="1">IF($C603&lt;&gt;"",INDEX('Team Indirect'!$F:$F,MATCH($C603,'Team Indirect'!$A:$A,0)),"")</f>
        <v/>
      </c>
      <c r="AB603" s="3" t="str">
        <f t="shared" ca="1" si="9"/>
        <v/>
      </c>
      <c r="AC603" s="3">
        <f ca="1">IF(OR(AllocationUnits="Stories", AllocationUnits="Points"),'Work Indirect'!F603,F603/MAX('Work Indirect'!AB603,1))</f>
        <v>1</v>
      </c>
    </row>
    <row r="604" spans="1:29"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7" t="str">
        <f ca="1">IF(OFFSET('4. Work'!$A$1,ROW(D604)-1,COLUMN(D604)-1)="","",OFFSET('4. Work'!$A$1,ROW(D604)-1,COLUMN(D604)-1))</f>
        <v/>
      </c>
      <c r="E604" s="147"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I604" s="3" t="str">
        <f ca="1">IF(OFFSET('4. Work'!$A$1,ROW(I604)-1,COLUMN(I604)-1)="","",OFFSET('4. Work'!$A$1,ROW(I604)-1,COLUMN(I604)-1))</f>
        <v/>
      </c>
      <c r="T604" s="3" t="str">
        <f ca="1">IF(A604&lt;&gt;"",MAX('Initiative Indirect'!$T:$T)+(ROW(A604)-1),"")</f>
        <v/>
      </c>
      <c r="U604" s="3" t="str">
        <f ca="1">IF(B604&lt;&gt;"",INDEX('Initiative Indirect'!$T:$T,MATCH(B604,'Initiative Indirect'!$A:$A,0)),"")</f>
        <v/>
      </c>
      <c r="V604" s="3" t="str">
        <f ca="1">IF(C604&lt;&gt;"",INDEX('Team Indirect'!$T:$T,MATCH(C604,'Team Indirect'!$A:$A,0)),"")</f>
        <v/>
      </c>
      <c r="W604" s="3"/>
      <c r="X604" s="3"/>
      <c r="Y604" s="3" t="str">
        <f ca="1">IF($C604&lt;&gt;"",INDEX('Team Indirect'!$D:$D,MATCH($C604,'Team Indirect'!$A:$A,0)),"")</f>
        <v/>
      </c>
      <c r="Z604" s="3" t="str">
        <f ca="1">IF($C604&lt;&gt;"",INDEX('Team Indirect'!$E:$E,MATCH($C604,'Team Indirect'!$A:$A,0)),"")</f>
        <v/>
      </c>
      <c r="AA604" s="3" t="str">
        <f ca="1">IF($C604&lt;&gt;"",INDEX('Team Indirect'!$F:$F,MATCH($C604,'Team Indirect'!$A:$A,0)),"")</f>
        <v/>
      </c>
      <c r="AB604" s="3" t="str">
        <f t="shared" ca="1" si="9"/>
        <v/>
      </c>
      <c r="AC604" s="3">
        <f ca="1">IF(OR(AllocationUnits="Stories", AllocationUnits="Points"),'Work Indirect'!F604,F604/MAX('Work Indirect'!AB604,1))</f>
        <v>1</v>
      </c>
    </row>
    <row r="605" spans="1:29"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7" t="str">
        <f ca="1">IF(OFFSET('4. Work'!$A$1,ROW(D605)-1,COLUMN(D605)-1)="","",OFFSET('4. Work'!$A$1,ROW(D605)-1,COLUMN(D605)-1))</f>
        <v/>
      </c>
      <c r="E605" s="147"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I605" s="3" t="str">
        <f ca="1">IF(OFFSET('4. Work'!$A$1,ROW(I605)-1,COLUMN(I605)-1)="","",OFFSET('4. Work'!$A$1,ROW(I605)-1,COLUMN(I605)-1))</f>
        <v/>
      </c>
      <c r="T605" s="3" t="str">
        <f ca="1">IF(A605&lt;&gt;"",MAX('Initiative Indirect'!$T:$T)+(ROW(A605)-1),"")</f>
        <v/>
      </c>
      <c r="U605" s="3" t="str">
        <f ca="1">IF(B605&lt;&gt;"",INDEX('Initiative Indirect'!$T:$T,MATCH(B605,'Initiative Indirect'!$A:$A,0)),"")</f>
        <v/>
      </c>
      <c r="V605" s="3" t="str">
        <f ca="1">IF(C605&lt;&gt;"",INDEX('Team Indirect'!$T:$T,MATCH(C605,'Team Indirect'!$A:$A,0)),"")</f>
        <v/>
      </c>
      <c r="W605" s="3"/>
      <c r="X605" s="3"/>
      <c r="Y605" s="3" t="str">
        <f ca="1">IF($C605&lt;&gt;"",INDEX('Team Indirect'!$D:$D,MATCH($C605,'Team Indirect'!$A:$A,0)),"")</f>
        <v/>
      </c>
      <c r="Z605" s="3" t="str">
        <f ca="1">IF($C605&lt;&gt;"",INDEX('Team Indirect'!$E:$E,MATCH($C605,'Team Indirect'!$A:$A,0)),"")</f>
        <v/>
      </c>
      <c r="AA605" s="3" t="str">
        <f ca="1">IF($C605&lt;&gt;"",INDEX('Team Indirect'!$F:$F,MATCH($C605,'Team Indirect'!$A:$A,0)),"")</f>
        <v/>
      </c>
      <c r="AB605" s="3" t="str">
        <f t="shared" ca="1" si="9"/>
        <v/>
      </c>
      <c r="AC605" s="3">
        <f ca="1">IF(OR(AllocationUnits="Stories", AllocationUnits="Points"),'Work Indirect'!F605,F605/MAX('Work Indirect'!AB605,1))</f>
        <v>1</v>
      </c>
    </row>
    <row r="606" spans="1:29"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7" t="str">
        <f ca="1">IF(OFFSET('4. Work'!$A$1,ROW(D606)-1,COLUMN(D606)-1)="","",OFFSET('4. Work'!$A$1,ROW(D606)-1,COLUMN(D606)-1))</f>
        <v/>
      </c>
      <c r="E606" s="147"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I606" s="3" t="str">
        <f ca="1">IF(OFFSET('4. Work'!$A$1,ROW(I606)-1,COLUMN(I606)-1)="","",OFFSET('4. Work'!$A$1,ROW(I606)-1,COLUMN(I606)-1))</f>
        <v/>
      </c>
      <c r="T606" s="3" t="str">
        <f ca="1">IF(A606&lt;&gt;"",MAX('Initiative Indirect'!$T:$T)+(ROW(A606)-1),"")</f>
        <v/>
      </c>
      <c r="U606" s="3" t="str">
        <f ca="1">IF(B606&lt;&gt;"",INDEX('Initiative Indirect'!$T:$T,MATCH(B606,'Initiative Indirect'!$A:$A,0)),"")</f>
        <v/>
      </c>
      <c r="V606" s="3" t="str">
        <f ca="1">IF(C606&lt;&gt;"",INDEX('Team Indirect'!$T:$T,MATCH(C606,'Team Indirect'!$A:$A,0)),"")</f>
        <v/>
      </c>
      <c r="W606" s="3"/>
      <c r="X606" s="3"/>
      <c r="Y606" s="3" t="str">
        <f ca="1">IF($C606&lt;&gt;"",INDEX('Team Indirect'!$D:$D,MATCH($C606,'Team Indirect'!$A:$A,0)),"")</f>
        <v/>
      </c>
      <c r="Z606" s="3" t="str">
        <f ca="1">IF($C606&lt;&gt;"",INDEX('Team Indirect'!$E:$E,MATCH($C606,'Team Indirect'!$A:$A,0)),"")</f>
        <v/>
      </c>
      <c r="AA606" s="3" t="str">
        <f ca="1">IF($C606&lt;&gt;"",INDEX('Team Indirect'!$F:$F,MATCH($C606,'Team Indirect'!$A:$A,0)),"")</f>
        <v/>
      </c>
      <c r="AB606" s="3" t="str">
        <f t="shared" ca="1" si="9"/>
        <v/>
      </c>
      <c r="AC606" s="3">
        <f ca="1">IF(OR(AllocationUnits="Stories", AllocationUnits="Points"),'Work Indirect'!F606,F606/MAX('Work Indirect'!AB606,1))</f>
        <v>1</v>
      </c>
    </row>
    <row r="607" spans="1:29"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7" t="str">
        <f ca="1">IF(OFFSET('4. Work'!$A$1,ROW(D607)-1,COLUMN(D607)-1)="","",OFFSET('4. Work'!$A$1,ROW(D607)-1,COLUMN(D607)-1))</f>
        <v/>
      </c>
      <c r="E607" s="147"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I607" s="3" t="str">
        <f ca="1">IF(OFFSET('4. Work'!$A$1,ROW(I607)-1,COLUMN(I607)-1)="","",OFFSET('4. Work'!$A$1,ROW(I607)-1,COLUMN(I607)-1))</f>
        <v/>
      </c>
      <c r="T607" s="3" t="str">
        <f ca="1">IF(A607&lt;&gt;"",MAX('Initiative Indirect'!$T:$T)+(ROW(A607)-1),"")</f>
        <v/>
      </c>
      <c r="U607" s="3" t="str">
        <f ca="1">IF(B607&lt;&gt;"",INDEX('Initiative Indirect'!$T:$T,MATCH(B607,'Initiative Indirect'!$A:$A,0)),"")</f>
        <v/>
      </c>
      <c r="V607" s="3" t="str">
        <f ca="1">IF(C607&lt;&gt;"",INDEX('Team Indirect'!$T:$T,MATCH(C607,'Team Indirect'!$A:$A,0)),"")</f>
        <v/>
      </c>
      <c r="W607" s="3"/>
      <c r="X607" s="3"/>
      <c r="Y607" s="3" t="str">
        <f ca="1">IF($C607&lt;&gt;"",INDEX('Team Indirect'!$D:$D,MATCH($C607,'Team Indirect'!$A:$A,0)),"")</f>
        <v/>
      </c>
      <c r="Z607" s="3" t="str">
        <f ca="1">IF($C607&lt;&gt;"",INDEX('Team Indirect'!$E:$E,MATCH($C607,'Team Indirect'!$A:$A,0)),"")</f>
        <v/>
      </c>
      <c r="AA607" s="3" t="str">
        <f ca="1">IF($C607&lt;&gt;"",INDEX('Team Indirect'!$F:$F,MATCH($C607,'Team Indirect'!$A:$A,0)),"")</f>
        <v/>
      </c>
      <c r="AB607" s="3" t="str">
        <f t="shared" ca="1" si="9"/>
        <v/>
      </c>
      <c r="AC607" s="3">
        <f ca="1">IF(OR(AllocationUnits="Stories", AllocationUnits="Points"),'Work Indirect'!F607,F607/MAX('Work Indirect'!AB607,1))</f>
        <v>1</v>
      </c>
    </row>
    <row r="608" spans="1:29"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7" t="str">
        <f ca="1">IF(OFFSET('4. Work'!$A$1,ROW(D608)-1,COLUMN(D608)-1)="","",OFFSET('4. Work'!$A$1,ROW(D608)-1,COLUMN(D608)-1))</f>
        <v/>
      </c>
      <c r="E608" s="147"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I608" s="3" t="str">
        <f ca="1">IF(OFFSET('4. Work'!$A$1,ROW(I608)-1,COLUMN(I608)-1)="","",OFFSET('4. Work'!$A$1,ROW(I608)-1,COLUMN(I608)-1))</f>
        <v/>
      </c>
      <c r="T608" s="3" t="str">
        <f ca="1">IF(A608&lt;&gt;"",MAX('Initiative Indirect'!$T:$T)+(ROW(A608)-1),"")</f>
        <v/>
      </c>
      <c r="U608" s="3" t="str">
        <f ca="1">IF(B608&lt;&gt;"",INDEX('Initiative Indirect'!$T:$T,MATCH(B608,'Initiative Indirect'!$A:$A,0)),"")</f>
        <v/>
      </c>
      <c r="V608" s="3" t="str">
        <f ca="1">IF(C608&lt;&gt;"",INDEX('Team Indirect'!$T:$T,MATCH(C608,'Team Indirect'!$A:$A,0)),"")</f>
        <v/>
      </c>
      <c r="W608" s="3"/>
      <c r="X608" s="3"/>
      <c r="Y608" s="3" t="str">
        <f ca="1">IF($C608&lt;&gt;"",INDEX('Team Indirect'!$D:$D,MATCH($C608,'Team Indirect'!$A:$A,0)),"")</f>
        <v/>
      </c>
      <c r="Z608" s="3" t="str">
        <f ca="1">IF($C608&lt;&gt;"",INDEX('Team Indirect'!$E:$E,MATCH($C608,'Team Indirect'!$A:$A,0)),"")</f>
        <v/>
      </c>
      <c r="AA608" s="3" t="str">
        <f ca="1">IF($C608&lt;&gt;"",INDEX('Team Indirect'!$F:$F,MATCH($C608,'Team Indirect'!$A:$A,0)),"")</f>
        <v/>
      </c>
      <c r="AB608" s="3" t="str">
        <f t="shared" ca="1" si="9"/>
        <v/>
      </c>
      <c r="AC608" s="3">
        <f ca="1">IF(OR(AllocationUnits="Stories", AllocationUnits="Points"),'Work Indirect'!F608,F608/MAX('Work Indirect'!AB608,1))</f>
        <v>1</v>
      </c>
    </row>
    <row r="609" spans="1:29"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7" t="str">
        <f ca="1">IF(OFFSET('4. Work'!$A$1,ROW(D609)-1,COLUMN(D609)-1)="","",OFFSET('4. Work'!$A$1,ROW(D609)-1,COLUMN(D609)-1))</f>
        <v/>
      </c>
      <c r="E609" s="147"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I609" s="3" t="str">
        <f ca="1">IF(OFFSET('4. Work'!$A$1,ROW(I609)-1,COLUMN(I609)-1)="","",OFFSET('4. Work'!$A$1,ROW(I609)-1,COLUMN(I609)-1))</f>
        <v/>
      </c>
      <c r="T609" s="3" t="str">
        <f ca="1">IF(A609&lt;&gt;"",MAX('Initiative Indirect'!$T:$T)+(ROW(A609)-1),"")</f>
        <v/>
      </c>
      <c r="U609" s="3" t="str">
        <f ca="1">IF(B609&lt;&gt;"",INDEX('Initiative Indirect'!$T:$T,MATCH(B609,'Initiative Indirect'!$A:$A,0)),"")</f>
        <v/>
      </c>
      <c r="V609" s="3" t="str">
        <f ca="1">IF(C609&lt;&gt;"",INDEX('Team Indirect'!$T:$T,MATCH(C609,'Team Indirect'!$A:$A,0)),"")</f>
        <v/>
      </c>
      <c r="W609" s="3"/>
      <c r="X609" s="3"/>
      <c r="Y609" s="3" t="str">
        <f ca="1">IF($C609&lt;&gt;"",INDEX('Team Indirect'!$D:$D,MATCH($C609,'Team Indirect'!$A:$A,0)),"")</f>
        <v/>
      </c>
      <c r="Z609" s="3" t="str">
        <f ca="1">IF($C609&lt;&gt;"",INDEX('Team Indirect'!$E:$E,MATCH($C609,'Team Indirect'!$A:$A,0)),"")</f>
        <v/>
      </c>
      <c r="AA609" s="3" t="str">
        <f ca="1">IF($C609&lt;&gt;"",INDEX('Team Indirect'!$F:$F,MATCH($C609,'Team Indirect'!$A:$A,0)),"")</f>
        <v/>
      </c>
      <c r="AB609" s="3" t="str">
        <f t="shared" ca="1" si="9"/>
        <v/>
      </c>
      <c r="AC609" s="3">
        <f ca="1">IF(OR(AllocationUnits="Stories", AllocationUnits="Points"),'Work Indirect'!F609,F609/MAX('Work Indirect'!AB609,1))</f>
        <v>1</v>
      </c>
    </row>
    <row r="610" spans="1:29"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7" t="str">
        <f ca="1">IF(OFFSET('4. Work'!$A$1,ROW(D610)-1,COLUMN(D610)-1)="","",OFFSET('4. Work'!$A$1,ROW(D610)-1,COLUMN(D610)-1))</f>
        <v/>
      </c>
      <c r="E610" s="147"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I610" s="3" t="str">
        <f ca="1">IF(OFFSET('4. Work'!$A$1,ROW(I610)-1,COLUMN(I610)-1)="","",OFFSET('4. Work'!$A$1,ROW(I610)-1,COLUMN(I610)-1))</f>
        <v/>
      </c>
      <c r="T610" s="3" t="str">
        <f ca="1">IF(A610&lt;&gt;"",MAX('Initiative Indirect'!$T:$T)+(ROW(A610)-1),"")</f>
        <v/>
      </c>
      <c r="U610" s="3" t="str">
        <f ca="1">IF(B610&lt;&gt;"",INDEX('Initiative Indirect'!$T:$T,MATCH(B610,'Initiative Indirect'!$A:$A,0)),"")</f>
        <v/>
      </c>
      <c r="V610" s="3" t="str">
        <f ca="1">IF(C610&lt;&gt;"",INDEX('Team Indirect'!$T:$T,MATCH(C610,'Team Indirect'!$A:$A,0)),"")</f>
        <v/>
      </c>
      <c r="W610" s="3"/>
      <c r="X610" s="3"/>
      <c r="Y610" s="3" t="str">
        <f ca="1">IF($C610&lt;&gt;"",INDEX('Team Indirect'!$D:$D,MATCH($C610,'Team Indirect'!$A:$A,0)),"")</f>
        <v/>
      </c>
      <c r="Z610" s="3" t="str">
        <f ca="1">IF($C610&lt;&gt;"",INDEX('Team Indirect'!$E:$E,MATCH($C610,'Team Indirect'!$A:$A,0)),"")</f>
        <v/>
      </c>
      <c r="AA610" s="3" t="str">
        <f ca="1">IF($C610&lt;&gt;"",INDEX('Team Indirect'!$F:$F,MATCH($C610,'Team Indirect'!$A:$A,0)),"")</f>
        <v/>
      </c>
      <c r="AB610" s="3" t="str">
        <f t="shared" ca="1" si="9"/>
        <v/>
      </c>
      <c r="AC610" s="3">
        <f ca="1">IF(OR(AllocationUnits="Stories", AllocationUnits="Points"),'Work Indirect'!F610,F610/MAX('Work Indirect'!AB610,1))</f>
        <v>1</v>
      </c>
    </row>
    <row r="611" spans="1:29"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7" t="str">
        <f ca="1">IF(OFFSET('4. Work'!$A$1,ROW(D611)-1,COLUMN(D611)-1)="","",OFFSET('4. Work'!$A$1,ROW(D611)-1,COLUMN(D611)-1))</f>
        <v/>
      </c>
      <c r="E611" s="147"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I611" s="3" t="str">
        <f ca="1">IF(OFFSET('4. Work'!$A$1,ROW(I611)-1,COLUMN(I611)-1)="","",OFFSET('4. Work'!$A$1,ROW(I611)-1,COLUMN(I611)-1))</f>
        <v/>
      </c>
      <c r="T611" s="3" t="str">
        <f ca="1">IF(A611&lt;&gt;"",MAX('Initiative Indirect'!$T:$T)+(ROW(A611)-1),"")</f>
        <v/>
      </c>
      <c r="U611" s="3" t="str">
        <f ca="1">IF(B611&lt;&gt;"",INDEX('Initiative Indirect'!$T:$T,MATCH(B611,'Initiative Indirect'!$A:$A,0)),"")</f>
        <v/>
      </c>
      <c r="V611" s="3" t="str">
        <f ca="1">IF(C611&lt;&gt;"",INDEX('Team Indirect'!$T:$T,MATCH(C611,'Team Indirect'!$A:$A,0)),"")</f>
        <v/>
      </c>
      <c r="W611" s="3"/>
      <c r="X611" s="3"/>
      <c r="Y611" s="3" t="str">
        <f ca="1">IF($C611&lt;&gt;"",INDEX('Team Indirect'!$D:$D,MATCH($C611,'Team Indirect'!$A:$A,0)),"")</f>
        <v/>
      </c>
      <c r="Z611" s="3" t="str">
        <f ca="1">IF($C611&lt;&gt;"",INDEX('Team Indirect'!$E:$E,MATCH($C611,'Team Indirect'!$A:$A,0)),"")</f>
        <v/>
      </c>
      <c r="AA611" s="3" t="str">
        <f ca="1">IF($C611&lt;&gt;"",INDEX('Team Indirect'!$F:$F,MATCH($C611,'Team Indirect'!$A:$A,0)),"")</f>
        <v/>
      </c>
      <c r="AB611" s="3" t="str">
        <f t="shared" ca="1" si="9"/>
        <v/>
      </c>
      <c r="AC611" s="3">
        <f ca="1">IF(OR(AllocationUnits="Stories", AllocationUnits="Points"),'Work Indirect'!F611,F611/MAX('Work Indirect'!AB611,1))</f>
        <v>1</v>
      </c>
    </row>
    <row r="612" spans="1:29"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7" t="str">
        <f ca="1">IF(OFFSET('4. Work'!$A$1,ROW(D612)-1,COLUMN(D612)-1)="","",OFFSET('4. Work'!$A$1,ROW(D612)-1,COLUMN(D612)-1))</f>
        <v/>
      </c>
      <c r="E612" s="147"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I612" s="3" t="str">
        <f ca="1">IF(OFFSET('4. Work'!$A$1,ROW(I612)-1,COLUMN(I612)-1)="","",OFFSET('4. Work'!$A$1,ROW(I612)-1,COLUMN(I612)-1))</f>
        <v/>
      </c>
      <c r="T612" s="3" t="str">
        <f ca="1">IF(A612&lt;&gt;"",MAX('Initiative Indirect'!$T:$T)+(ROW(A612)-1),"")</f>
        <v/>
      </c>
      <c r="U612" s="3" t="str">
        <f ca="1">IF(B612&lt;&gt;"",INDEX('Initiative Indirect'!$T:$T,MATCH(B612,'Initiative Indirect'!$A:$A,0)),"")</f>
        <v/>
      </c>
      <c r="V612" s="3" t="str">
        <f ca="1">IF(C612&lt;&gt;"",INDEX('Team Indirect'!$T:$T,MATCH(C612,'Team Indirect'!$A:$A,0)),"")</f>
        <v/>
      </c>
      <c r="W612" s="3"/>
      <c r="X612" s="3"/>
      <c r="Y612" s="3" t="str">
        <f ca="1">IF($C612&lt;&gt;"",INDEX('Team Indirect'!$D:$D,MATCH($C612,'Team Indirect'!$A:$A,0)),"")</f>
        <v/>
      </c>
      <c r="Z612" s="3" t="str">
        <f ca="1">IF($C612&lt;&gt;"",INDEX('Team Indirect'!$E:$E,MATCH($C612,'Team Indirect'!$A:$A,0)),"")</f>
        <v/>
      </c>
      <c r="AA612" s="3" t="str">
        <f ca="1">IF($C612&lt;&gt;"",INDEX('Team Indirect'!$F:$F,MATCH($C612,'Team Indirect'!$A:$A,0)),"")</f>
        <v/>
      </c>
      <c r="AB612" s="3" t="str">
        <f t="shared" ca="1" si="9"/>
        <v/>
      </c>
      <c r="AC612" s="3">
        <f ca="1">IF(OR(AllocationUnits="Stories", AllocationUnits="Points"),'Work Indirect'!F612,F612/MAX('Work Indirect'!AB612,1))</f>
        <v>1</v>
      </c>
    </row>
    <row r="613" spans="1:29"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7" t="str">
        <f ca="1">IF(OFFSET('4. Work'!$A$1,ROW(D613)-1,COLUMN(D613)-1)="","",OFFSET('4. Work'!$A$1,ROW(D613)-1,COLUMN(D613)-1))</f>
        <v/>
      </c>
      <c r="E613" s="147"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I613" s="3" t="str">
        <f ca="1">IF(OFFSET('4. Work'!$A$1,ROW(I613)-1,COLUMN(I613)-1)="","",OFFSET('4. Work'!$A$1,ROW(I613)-1,COLUMN(I613)-1))</f>
        <v/>
      </c>
      <c r="T613" s="3" t="str">
        <f ca="1">IF(A613&lt;&gt;"",MAX('Initiative Indirect'!$T:$T)+(ROW(A613)-1),"")</f>
        <v/>
      </c>
      <c r="U613" s="3" t="str">
        <f ca="1">IF(B613&lt;&gt;"",INDEX('Initiative Indirect'!$T:$T,MATCH(B613,'Initiative Indirect'!$A:$A,0)),"")</f>
        <v/>
      </c>
      <c r="V613" s="3" t="str">
        <f ca="1">IF(C613&lt;&gt;"",INDEX('Team Indirect'!$T:$T,MATCH(C613,'Team Indirect'!$A:$A,0)),"")</f>
        <v/>
      </c>
      <c r="W613" s="3"/>
      <c r="X613" s="3"/>
      <c r="Y613" s="3" t="str">
        <f ca="1">IF($C613&lt;&gt;"",INDEX('Team Indirect'!$D:$D,MATCH($C613,'Team Indirect'!$A:$A,0)),"")</f>
        <v/>
      </c>
      <c r="Z613" s="3" t="str">
        <f ca="1">IF($C613&lt;&gt;"",INDEX('Team Indirect'!$E:$E,MATCH($C613,'Team Indirect'!$A:$A,0)),"")</f>
        <v/>
      </c>
      <c r="AA613" s="3" t="str">
        <f ca="1">IF($C613&lt;&gt;"",INDEX('Team Indirect'!$F:$F,MATCH($C613,'Team Indirect'!$A:$A,0)),"")</f>
        <v/>
      </c>
      <c r="AB613" s="3" t="str">
        <f t="shared" ca="1" si="9"/>
        <v/>
      </c>
      <c r="AC613" s="3">
        <f ca="1">IF(OR(AllocationUnits="Stories", AllocationUnits="Points"),'Work Indirect'!F613,F613/MAX('Work Indirect'!AB613,1))</f>
        <v>1</v>
      </c>
    </row>
    <row r="614" spans="1:29"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7" t="str">
        <f ca="1">IF(OFFSET('4. Work'!$A$1,ROW(D614)-1,COLUMN(D614)-1)="","",OFFSET('4. Work'!$A$1,ROW(D614)-1,COLUMN(D614)-1))</f>
        <v/>
      </c>
      <c r="E614" s="147"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I614" s="3" t="str">
        <f ca="1">IF(OFFSET('4. Work'!$A$1,ROW(I614)-1,COLUMN(I614)-1)="","",OFFSET('4. Work'!$A$1,ROW(I614)-1,COLUMN(I614)-1))</f>
        <v/>
      </c>
      <c r="T614" s="3" t="str">
        <f ca="1">IF(A614&lt;&gt;"",MAX('Initiative Indirect'!$T:$T)+(ROW(A614)-1),"")</f>
        <v/>
      </c>
      <c r="U614" s="3" t="str">
        <f ca="1">IF(B614&lt;&gt;"",INDEX('Initiative Indirect'!$T:$T,MATCH(B614,'Initiative Indirect'!$A:$A,0)),"")</f>
        <v/>
      </c>
      <c r="V614" s="3" t="str">
        <f ca="1">IF(C614&lt;&gt;"",INDEX('Team Indirect'!$T:$T,MATCH(C614,'Team Indirect'!$A:$A,0)),"")</f>
        <v/>
      </c>
      <c r="W614" s="3"/>
      <c r="X614" s="3"/>
      <c r="Y614" s="3" t="str">
        <f ca="1">IF($C614&lt;&gt;"",INDEX('Team Indirect'!$D:$D,MATCH($C614,'Team Indirect'!$A:$A,0)),"")</f>
        <v/>
      </c>
      <c r="Z614" s="3" t="str">
        <f ca="1">IF($C614&lt;&gt;"",INDEX('Team Indirect'!$E:$E,MATCH($C614,'Team Indirect'!$A:$A,0)),"")</f>
        <v/>
      </c>
      <c r="AA614" s="3" t="str">
        <f ca="1">IF($C614&lt;&gt;"",INDEX('Team Indirect'!$F:$F,MATCH($C614,'Team Indirect'!$A:$A,0)),"")</f>
        <v/>
      </c>
      <c r="AB614" s="3" t="str">
        <f t="shared" ca="1" si="9"/>
        <v/>
      </c>
      <c r="AC614" s="3">
        <f ca="1">IF(OR(AllocationUnits="Stories", AllocationUnits="Points"),'Work Indirect'!F614,F614/MAX('Work Indirect'!AB614,1))</f>
        <v>1</v>
      </c>
    </row>
    <row r="615" spans="1:29"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7" t="str">
        <f ca="1">IF(OFFSET('4. Work'!$A$1,ROW(D615)-1,COLUMN(D615)-1)="","",OFFSET('4. Work'!$A$1,ROW(D615)-1,COLUMN(D615)-1))</f>
        <v/>
      </c>
      <c r="E615" s="147"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I615" s="3" t="str">
        <f ca="1">IF(OFFSET('4. Work'!$A$1,ROW(I615)-1,COLUMN(I615)-1)="","",OFFSET('4. Work'!$A$1,ROW(I615)-1,COLUMN(I615)-1))</f>
        <v/>
      </c>
      <c r="T615" s="3" t="str">
        <f ca="1">IF(A615&lt;&gt;"",MAX('Initiative Indirect'!$T:$T)+(ROW(A615)-1),"")</f>
        <v/>
      </c>
      <c r="U615" s="3" t="str">
        <f ca="1">IF(B615&lt;&gt;"",INDEX('Initiative Indirect'!$T:$T,MATCH(B615,'Initiative Indirect'!$A:$A,0)),"")</f>
        <v/>
      </c>
      <c r="V615" s="3" t="str">
        <f ca="1">IF(C615&lt;&gt;"",INDEX('Team Indirect'!$T:$T,MATCH(C615,'Team Indirect'!$A:$A,0)),"")</f>
        <v/>
      </c>
      <c r="W615" s="3"/>
      <c r="X615" s="3"/>
      <c r="Y615" s="3" t="str">
        <f ca="1">IF($C615&lt;&gt;"",INDEX('Team Indirect'!$D:$D,MATCH($C615,'Team Indirect'!$A:$A,0)),"")</f>
        <v/>
      </c>
      <c r="Z615" s="3" t="str">
        <f ca="1">IF($C615&lt;&gt;"",INDEX('Team Indirect'!$E:$E,MATCH($C615,'Team Indirect'!$A:$A,0)),"")</f>
        <v/>
      </c>
      <c r="AA615" s="3" t="str">
        <f ca="1">IF($C615&lt;&gt;"",INDEX('Team Indirect'!$F:$F,MATCH($C615,'Team Indirect'!$A:$A,0)),"")</f>
        <v/>
      </c>
      <c r="AB615" s="3" t="str">
        <f t="shared" ca="1" si="9"/>
        <v/>
      </c>
      <c r="AC615" s="3">
        <f ca="1">IF(OR(AllocationUnits="Stories", AllocationUnits="Points"),'Work Indirect'!F615,F615/MAX('Work Indirect'!AB615,1))</f>
        <v>1</v>
      </c>
    </row>
    <row r="616" spans="1:29"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7" t="str">
        <f ca="1">IF(OFFSET('4. Work'!$A$1,ROW(D616)-1,COLUMN(D616)-1)="","",OFFSET('4. Work'!$A$1,ROW(D616)-1,COLUMN(D616)-1))</f>
        <v/>
      </c>
      <c r="E616" s="147"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I616" s="3" t="str">
        <f ca="1">IF(OFFSET('4. Work'!$A$1,ROW(I616)-1,COLUMN(I616)-1)="","",OFFSET('4. Work'!$A$1,ROW(I616)-1,COLUMN(I616)-1))</f>
        <v/>
      </c>
      <c r="T616" s="3" t="str">
        <f ca="1">IF(A616&lt;&gt;"",MAX('Initiative Indirect'!$T:$T)+(ROW(A616)-1),"")</f>
        <v/>
      </c>
      <c r="U616" s="3" t="str">
        <f ca="1">IF(B616&lt;&gt;"",INDEX('Initiative Indirect'!$T:$T,MATCH(B616,'Initiative Indirect'!$A:$A,0)),"")</f>
        <v/>
      </c>
      <c r="V616" s="3" t="str">
        <f ca="1">IF(C616&lt;&gt;"",INDEX('Team Indirect'!$T:$T,MATCH(C616,'Team Indirect'!$A:$A,0)),"")</f>
        <v/>
      </c>
      <c r="W616" s="3"/>
      <c r="X616" s="3"/>
      <c r="Y616" s="3" t="str">
        <f ca="1">IF($C616&lt;&gt;"",INDEX('Team Indirect'!$D:$D,MATCH($C616,'Team Indirect'!$A:$A,0)),"")</f>
        <v/>
      </c>
      <c r="Z616" s="3" t="str">
        <f ca="1">IF($C616&lt;&gt;"",INDEX('Team Indirect'!$E:$E,MATCH($C616,'Team Indirect'!$A:$A,0)),"")</f>
        <v/>
      </c>
      <c r="AA616" s="3" t="str">
        <f ca="1">IF($C616&lt;&gt;"",INDEX('Team Indirect'!$F:$F,MATCH($C616,'Team Indirect'!$A:$A,0)),"")</f>
        <v/>
      </c>
      <c r="AB616" s="3" t="str">
        <f t="shared" ca="1" si="9"/>
        <v/>
      </c>
      <c r="AC616" s="3">
        <f ca="1">IF(OR(AllocationUnits="Stories", AllocationUnits="Points"),'Work Indirect'!F616,F616/MAX('Work Indirect'!AB616,1))</f>
        <v>1</v>
      </c>
    </row>
    <row r="617" spans="1:29"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7" t="str">
        <f ca="1">IF(OFFSET('4. Work'!$A$1,ROW(D617)-1,COLUMN(D617)-1)="","",OFFSET('4. Work'!$A$1,ROW(D617)-1,COLUMN(D617)-1))</f>
        <v/>
      </c>
      <c r="E617" s="147"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I617" s="3" t="str">
        <f ca="1">IF(OFFSET('4. Work'!$A$1,ROW(I617)-1,COLUMN(I617)-1)="","",OFFSET('4. Work'!$A$1,ROW(I617)-1,COLUMN(I617)-1))</f>
        <v/>
      </c>
      <c r="T617" s="3" t="str">
        <f ca="1">IF(A617&lt;&gt;"",MAX('Initiative Indirect'!$T:$T)+(ROW(A617)-1),"")</f>
        <v/>
      </c>
      <c r="U617" s="3" t="str">
        <f ca="1">IF(B617&lt;&gt;"",INDEX('Initiative Indirect'!$T:$T,MATCH(B617,'Initiative Indirect'!$A:$A,0)),"")</f>
        <v/>
      </c>
      <c r="V617" s="3" t="str">
        <f ca="1">IF(C617&lt;&gt;"",INDEX('Team Indirect'!$T:$T,MATCH(C617,'Team Indirect'!$A:$A,0)),"")</f>
        <v/>
      </c>
      <c r="W617" s="3"/>
      <c r="X617" s="3"/>
      <c r="Y617" s="3" t="str">
        <f ca="1">IF($C617&lt;&gt;"",INDEX('Team Indirect'!$D:$D,MATCH($C617,'Team Indirect'!$A:$A,0)),"")</f>
        <v/>
      </c>
      <c r="Z617" s="3" t="str">
        <f ca="1">IF($C617&lt;&gt;"",INDEX('Team Indirect'!$E:$E,MATCH($C617,'Team Indirect'!$A:$A,0)),"")</f>
        <v/>
      </c>
      <c r="AA617" s="3" t="str">
        <f ca="1">IF($C617&lt;&gt;"",INDEX('Team Indirect'!$F:$F,MATCH($C617,'Team Indirect'!$A:$A,0)),"")</f>
        <v/>
      </c>
      <c r="AB617" s="3" t="str">
        <f t="shared" ca="1" si="9"/>
        <v/>
      </c>
      <c r="AC617" s="3">
        <f ca="1">IF(OR(AllocationUnits="Stories", AllocationUnits="Points"),'Work Indirect'!F617,F617/MAX('Work Indirect'!AB617,1))</f>
        <v>1</v>
      </c>
    </row>
    <row r="618" spans="1:29"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7" t="str">
        <f ca="1">IF(OFFSET('4. Work'!$A$1,ROW(D618)-1,COLUMN(D618)-1)="","",OFFSET('4. Work'!$A$1,ROW(D618)-1,COLUMN(D618)-1))</f>
        <v/>
      </c>
      <c r="E618" s="147"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I618" s="3" t="str">
        <f ca="1">IF(OFFSET('4. Work'!$A$1,ROW(I618)-1,COLUMN(I618)-1)="","",OFFSET('4. Work'!$A$1,ROW(I618)-1,COLUMN(I618)-1))</f>
        <v/>
      </c>
      <c r="T618" s="3" t="str">
        <f ca="1">IF(A618&lt;&gt;"",MAX('Initiative Indirect'!$T:$T)+(ROW(A618)-1),"")</f>
        <v/>
      </c>
      <c r="U618" s="3" t="str">
        <f ca="1">IF(B618&lt;&gt;"",INDEX('Initiative Indirect'!$T:$T,MATCH(B618,'Initiative Indirect'!$A:$A,0)),"")</f>
        <v/>
      </c>
      <c r="V618" s="3" t="str">
        <f ca="1">IF(C618&lt;&gt;"",INDEX('Team Indirect'!$T:$T,MATCH(C618,'Team Indirect'!$A:$A,0)),"")</f>
        <v/>
      </c>
      <c r="W618" s="3"/>
      <c r="X618" s="3"/>
      <c r="Y618" s="3" t="str">
        <f ca="1">IF($C618&lt;&gt;"",INDEX('Team Indirect'!$D:$D,MATCH($C618,'Team Indirect'!$A:$A,0)),"")</f>
        <v/>
      </c>
      <c r="Z618" s="3" t="str">
        <f ca="1">IF($C618&lt;&gt;"",INDEX('Team Indirect'!$E:$E,MATCH($C618,'Team Indirect'!$A:$A,0)),"")</f>
        <v/>
      </c>
      <c r="AA618" s="3" t="str">
        <f ca="1">IF($C618&lt;&gt;"",INDEX('Team Indirect'!$F:$F,MATCH($C618,'Team Indirect'!$A:$A,0)),"")</f>
        <v/>
      </c>
      <c r="AB618" s="3" t="str">
        <f t="shared" ca="1" si="9"/>
        <v/>
      </c>
      <c r="AC618" s="3">
        <f ca="1">IF(OR(AllocationUnits="Stories", AllocationUnits="Points"),'Work Indirect'!F618,F618/MAX('Work Indirect'!AB618,1))</f>
        <v>1</v>
      </c>
    </row>
    <row r="619" spans="1:29"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7" t="str">
        <f ca="1">IF(OFFSET('4. Work'!$A$1,ROW(D619)-1,COLUMN(D619)-1)="","",OFFSET('4. Work'!$A$1,ROW(D619)-1,COLUMN(D619)-1))</f>
        <v/>
      </c>
      <c r="E619" s="147"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I619" s="3" t="str">
        <f ca="1">IF(OFFSET('4. Work'!$A$1,ROW(I619)-1,COLUMN(I619)-1)="","",OFFSET('4. Work'!$A$1,ROW(I619)-1,COLUMN(I619)-1))</f>
        <v/>
      </c>
      <c r="T619" s="3" t="str">
        <f ca="1">IF(A619&lt;&gt;"",MAX('Initiative Indirect'!$T:$T)+(ROW(A619)-1),"")</f>
        <v/>
      </c>
      <c r="U619" s="3" t="str">
        <f ca="1">IF(B619&lt;&gt;"",INDEX('Initiative Indirect'!$T:$T,MATCH(B619,'Initiative Indirect'!$A:$A,0)),"")</f>
        <v/>
      </c>
      <c r="V619" s="3" t="str">
        <f ca="1">IF(C619&lt;&gt;"",INDEX('Team Indirect'!$T:$T,MATCH(C619,'Team Indirect'!$A:$A,0)),"")</f>
        <v/>
      </c>
      <c r="W619" s="3"/>
      <c r="X619" s="3"/>
      <c r="Y619" s="3" t="str">
        <f ca="1">IF($C619&lt;&gt;"",INDEX('Team Indirect'!$D:$D,MATCH($C619,'Team Indirect'!$A:$A,0)),"")</f>
        <v/>
      </c>
      <c r="Z619" s="3" t="str">
        <f ca="1">IF($C619&lt;&gt;"",INDEX('Team Indirect'!$E:$E,MATCH($C619,'Team Indirect'!$A:$A,0)),"")</f>
        <v/>
      </c>
      <c r="AA619" s="3" t="str">
        <f ca="1">IF($C619&lt;&gt;"",INDEX('Team Indirect'!$F:$F,MATCH($C619,'Team Indirect'!$A:$A,0)),"")</f>
        <v/>
      </c>
      <c r="AB619" s="3" t="str">
        <f t="shared" ca="1" si="9"/>
        <v/>
      </c>
      <c r="AC619" s="3">
        <f ca="1">IF(OR(AllocationUnits="Stories", AllocationUnits="Points"),'Work Indirect'!F619,F619/MAX('Work Indirect'!AB619,1))</f>
        <v>1</v>
      </c>
    </row>
    <row r="620" spans="1:29"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7" t="str">
        <f ca="1">IF(OFFSET('4. Work'!$A$1,ROW(D620)-1,COLUMN(D620)-1)="","",OFFSET('4. Work'!$A$1,ROW(D620)-1,COLUMN(D620)-1))</f>
        <v/>
      </c>
      <c r="E620" s="147"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I620" s="3" t="str">
        <f ca="1">IF(OFFSET('4. Work'!$A$1,ROW(I620)-1,COLUMN(I620)-1)="","",OFFSET('4. Work'!$A$1,ROW(I620)-1,COLUMN(I620)-1))</f>
        <v/>
      </c>
      <c r="T620" s="3" t="str">
        <f ca="1">IF(A620&lt;&gt;"",MAX('Initiative Indirect'!$T:$T)+(ROW(A620)-1),"")</f>
        <v/>
      </c>
      <c r="U620" s="3" t="str">
        <f ca="1">IF(B620&lt;&gt;"",INDEX('Initiative Indirect'!$T:$T,MATCH(B620,'Initiative Indirect'!$A:$A,0)),"")</f>
        <v/>
      </c>
      <c r="V620" s="3" t="str">
        <f ca="1">IF(C620&lt;&gt;"",INDEX('Team Indirect'!$T:$T,MATCH(C620,'Team Indirect'!$A:$A,0)),"")</f>
        <v/>
      </c>
      <c r="W620" s="3"/>
      <c r="X620" s="3"/>
      <c r="Y620" s="3" t="str">
        <f ca="1">IF($C620&lt;&gt;"",INDEX('Team Indirect'!$D:$D,MATCH($C620,'Team Indirect'!$A:$A,0)),"")</f>
        <v/>
      </c>
      <c r="Z620" s="3" t="str">
        <f ca="1">IF($C620&lt;&gt;"",INDEX('Team Indirect'!$E:$E,MATCH($C620,'Team Indirect'!$A:$A,0)),"")</f>
        <v/>
      </c>
      <c r="AA620" s="3" t="str">
        <f ca="1">IF($C620&lt;&gt;"",INDEX('Team Indirect'!$F:$F,MATCH($C620,'Team Indirect'!$A:$A,0)),"")</f>
        <v/>
      </c>
      <c r="AB620" s="3" t="str">
        <f t="shared" ca="1" si="9"/>
        <v/>
      </c>
      <c r="AC620" s="3">
        <f ca="1">IF(OR(AllocationUnits="Stories", AllocationUnits="Points"),'Work Indirect'!F620,F620/MAX('Work Indirect'!AB620,1))</f>
        <v>1</v>
      </c>
    </row>
    <row r="621" spans="1:29"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7" t="str">
        <f ca="1">IF(OFFSET('4. Work'!$A$1,ROW(D621)-1,COLUMN(D621)-1)="","",OFFSET('4. Work'!$A$1,ROW(D621)-1,COLUMN(D621)-1))</f>
        <v/>
      </c>
      <c r="E621" s="147"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I621" s="3" t="str">
        <f ca="1">IF(OFFSET('4. Work'!$A$1,ROW(I621)-1,COLUMN(I621)-1)="","",OFFSET('4. Work'!$A$1,ROW(I621)-1,COLUMN(I621)-1))</f>
        <v/>
      </c>
      <c r="T621" s="3" t="str">
        <f ca="1">IF(A621&lt;&gt;"",MAX('Initiative Indirect'!$T:$T)+(ROW(A621)-1),"")</f>
        <v/>
      </c>
      <c r="U621" s="3" t="str">
        <f ca="1">IF(B621&lt;&gt;"",INDEX('Initiative Indirect'!$T:$T,MATCH(B621,'Initiative Indirect'!$A:$A,0)),"")</f>
        <v/>
      </c>
      <c r="V621" s="3" t="str">
        <f ca="1">IF(C621&lt;&gt;"",INDEX('Team Indirect'!$T:$T,MATCH(C621,'Team Indirect'!$A:$A,0)),"")</f>
        <v/>
      </c>
      <c r="W621" s="3"/>
      <c r="X621" s="3"/>
      <c r="Y621" s="3" t="str">
        <f ca="1">IF($C621&lt;&gt;"",INDEX('Team Indirect'!$D:$D,MATCH($C621,'Team Indirect'!$A:$A,0)),"")</f>
        <v/>
      </c>
      <c r="Z621" s="3" t="str">
        <f ca="1">IF($C621&lt;&gt;"",INDEX('Team Indirect'!$E:$E,MATCH($C621,'Team Indirect'!$A:$A,0)),"")</f>
        <v/>
      </c>
      <c r="AA621" s="3" t="str">
        <f ca="1">IF($C621&lt;&gt;"",INDEX('Team Indirect'!$F:$F,MATCH($C621,'Team Indirect'!$A:$A,0)),"")</f>
        <v/>
      </c>
      <c r="AB621" s="3" t="str">
        <f t="shared" ca="1" si="9"/>
        <v/>
      </c>
      <c r="AC621" s="3">
        <f ca="1">IF(OR(AllocationUnits="Stories", AllocationUnits="Points"),'Work Indirect'!F621,F621/MAX('Work Indirect'!AB621,1))</f>
        <v>1</v>
      </c>
    </row>
    <row r="622" spans="1:29"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7" t="str">
        <f ca="1">IF(OFFSET('4. Work'!$A$1,ROW(D622)-1,COLUMN(D622)-1)="","",OFFSET('4. Work'!$A$1,ROW(D622)-1,COLUMN(D622)-1))</f>
        <v/>
      </c>
      <c r="E622" s="147"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I622" s="3" t="str">
        <f ca="1">IF(OFFSET('4. Work'!$A$1,ROW(I622)-1,COLUMN(I622)-1)="","",OFFSET('4. Work'!$A$1,ROW(I622)-1,COLUMN(I622)-1))</f>
        <v/>
      </c>
      <c r="T622" s="3" t="str">
        <f ca="1">IF(A622&lt;&gt;"",MAX('Initiative Indirect'!$T:$T)+(ROW(A622)-1),"")</f>
        <v/>
      </c>
      <c r="U622" s="3" t="str">
        <f ca="1">IF(B622&lt;&gt;"",INDEX('Initiative Indirect'!$T:$T,MATCH(B622,'Initiative Indirect'!$A:$A,0)),"")</f>
        <v/>
      </c>
      <c r="V622" s="3" t="str">
        <f ca="1">IF(C622&lt;&gt;"",INDEX('Team Indirect'!$T:$T,MATCH(C622,'Team Indirect'!$A:$A,0)),"")</f>
        <v/>
      </c>
      <c r="W622" s="3"/>
      <c r="X622" s="3"/>
      <c r="Y622" s="3" t="str">
        <f ca="1">IF($C622&lt;&gt;"",INDEX('Team Indirect'!$D:$D,MATCH($C622,'Team Indirect'!$A:$A,0)),"")</f>
        <v/>
      </c>
      <c r="Z622" s="3" t="str">
        <f ca="1">IF($C622&lt;&gt;"",INDEX('Team Indirect'!$E:$E,MATCH($C622,'Team Indirect'!$A:$A,0)),"")</f>
        <v/>
      </c>
      <c r="AA622" s="3" t="str">
        <f ca="1">IF($C622&lt;&gt;"",INDEX('Team Indirect'!$F:$F,MATCH($C622,'Team Indirect'!$A:$A,0)),"")</f>
        <v/>
      </c>
      <c r="AB622" s="3" t="str">
        <f t="shared" ca="1" si="9"/>
        <v/>
      </c>
      <c r="AC622" s="3">
        <f ca="1">IF(OR(AllocationUnits="Stories", AllocationUnits="Points"),'Work Indirect'!F622,F622/MAX('Work Indirect'!AB622,1))</f>
        <v>1</v>
      </c>
    </row>
    <row r="623" spans="1:29"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7" t="str">
        <f ca="1">IF(OFFSET('4. Work'!$A$1,ROW(D623)-1,COLUMN(D623)-1)="","",OFFSET('4. Work'!$A$1,ROW(D623)-1,COLUMN(D623)-1))</f>
        <v/>
      </c>
      <c r="E623" s="147"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I623" s="3" t="str">
        <f ca="1">IF(OFFSET('4. Work'!$A$1,ROW(I623)-1,COLUMN(I623)-1)="","",OFFSET('4. Work'!$A$1,ROW(I623)-1,COLUMN(I623)-1))</f>
        <v/>
      </c>
      <c r="T623" s="3" t="str">
        <f ca="1">IF(A623&lt;&gt;"",MAX('Initiative Indirect'!$T:$T)+(ROW(A623)-1),"")</f>
        <v/>
      </c>
      <c r="U623" s="3" t="str">
        <f ca="1">IF(B623&lt;&gt;"",INDEX('Initiative Indirect'!$T:$T,MATCH(B623,'Initiative Indirect'!$A:$A,0)),"")</f>
        <v/>
      </c>
      <c r="V623" s="3" t="str">
        <f ca="1">IF(C623&lt;&gt;"",INDEX('Team Indirect'!$T:$T,MATCH(C623,'Team Indirect'!$A:$A,0)),"")</f>
        <v/>
      </c>
      <c r="W623" s="3"/>
      <c r="X623" s="3"/>
      <c r="Y623" s="3" t="str">
        <f ca="1">IF($C623&lt;&gt;"",INDEX('Team Indirect'!$D:$D,MATCH($C623,'Team Indirect'!$A:$A,0)),"")</f>
        <v/>
      </c>
      <c r="Z623" s="3" t="str">
        <f ca="1">IF($C623&lt;&gt;"",INDEX('Team Indirect'!$E:$E,MATCH($C623,'Team Indirect'!$A:$A,0)),"")</f>
        <v/>
      </c>
      <c r="AA623" s="3" t="str">
        <f ca="1">IF($C623&lt;&gt;"",INDEX('Team Indirect'!$F:$F,MATCH($C623,'Team Indirect'!$A:$A,0)),"")</f>
        <v/>
      </c>
      <c r="AB623" s="3" t="str">
        <f t="shared" ca="1" si="9"/>
        <v/>
      </c>
      <c r="AC623" s="3">
        <f ca="1">IF(OR(AllocationUnits="Stories", AllocationUnits="Points"),'Work Indirect'!F623,F623/MAX('Work Indirect'!AB623,1))</f>
        <v>1</v>
      </c>
    </row>
    <row r="624" spans="1:29"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7" t="str">
        <f ca="1">IF(OFFSET('4. Work'!$A$1,ROW(D624)-1,COLUMN(D624)-1)="","",OFFSET('4. Work'!$A$1,ROW(D624)-1,COLUMN(D624)-1))</f>
        <v/>
      </c>
      <c r="E624" s="147"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I624" s="3" t="str">
        <f ca="1">IF(OFFSET('4. Work'!$A$1,ROW(I624)-1,COLUMN(I624)-1)="","",OFFSET('4. Work'!$A$1,ROW(I624)-1,COLUMN(I624)-1))</f>
        <v/>
      </c>
      <c r="T624" s="3" t="str">
        <f ca="1">IF(A624&lt;&gt;"",MAX('Initiative Indirect'!$T:$T)+(ROW(A624)-1),"")</f>
        <v/>
      </c>
      <c r="U624" s="3" t="str">
        <f ca="1">IF(B624&lt;&gt;"",INDEX('Initiative Indirect'!$T:$T,MATCH(B624,'Initiative Indirect'!$A:$A,0)),"")</f>
        <v/>
      </c>
      <c r="V624" s="3" t="str">
        <f ca="1">IF(C624&lt;&gt;"",INDEX('Team Indirect'!$T:$T,MATCH(C624,'Team Indirect'!$A:$A,0)),"")</f>
        <v/>
      </c>
      <c r="W624" s="3"/>
      <c r="X624" s="3"/>
      <c r="Y624" s="3" t="str">
        <f ca="1">IF($C624&lt;&gt;"",INDEX('Team Indirect'!$D:$D,MATCH($C624,'Team Indirect'!$A:$A,0)),"")</f>
        <v/>
      </c>
      <c r="Z624" s="3" t="str">
        <f ca="1">IF($C624&lt;&gt;"",INDEX('Team Indirect'!$E:$E,MATCH($C624,'Team Indirect'!$A:$A,0)),"")</f>
        <v/>
      </c>
      <c r="AA624" s="3" t="str">
        <f ca="1">IF($C624&lt;&gt;"",INDEX('Team Indirect'!$F:$F,MATCH($C624,'Team Indirect'!$A:$A,0)),"")</f>
        <v/>
      </c>
      <c r="AB624" s="3" t="str">
        <f t="shared" ca="1" si="9"/>
        <v/>
      </c>
      <c r="AC624" s="3">
        <f ca="1">IF(OR(AllocationUnits="Stories", AllocationUnits="Points"),'Work Indirect'!F624,F624/MAX('Work Indirect'!AB624,1))</f>
        <v>1</v>
      </c>
    </row>
    <row r="625" spans="1:29"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7" t="str">
        <f ca="1">IF(OFFSET('4. Work'!$A$1,ROW(D625)-1,COLUMN(D625)-1)="","",OFFSET('4. Work'!$A$1,ROW(D625)-1,COLUMN(D625)-1))</f>
        <v/>
      </c>
      <c r="E625" s="147"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I625" s="3" t="str">
        <f ca="1">IF(OFFSET('4. Work'!$A$1,ROW(I625)-1,COLUMN(I625)-1)="","",OFFSET('4. Work'!$A$1,ROW(I625)-1,COLUMN(I625)-1))</f>
        <v/>
      </c>
      <c r="T625" s="3" t="str">
        <f ca="1">IF(A625&lt;&gt;"",MAX('Initiative Indirect'!$T:$T)+(ROW(A625)-1),"")</f>
        <v/>
      </c>
      <c r="U625" s="3" t="str">
        <f ca="1">IF(B625&lt;&gt;"",INDEX('Initiative Indirect'!$T:$T,MATCH(B625,'Initiative Indirect'!$A:$A,0)),"")</f>
        <v/>
      </c>
      <c r="V625" s="3" t="str">
        <f ca="1">IF(C625&lt;&gt;"",INDEX('Team Indirect'!$T:$T,MATCH(C625,'Team Indirect'!$A:$A,0)),"")</f>
        <v/>
      </c>
      <c r="W625" s="3"/>
      <c r="X625" s="3"/>
      <c r="Y625" s="3" t="str">
        <f ca="1">IF($C625&lt;&gt;"",INDEX('Team Indirect'!$D:$D,MATCH($C625,'Team Indirect'!$A:$A,0)),"")</f>
        <v/>
      </c>
      <c r="Z625" s="3" t="str">
        <f ca="1">IF($C625&lt;&gt;"",INDEX('Team Indirect'!$E:$E,MATCH($C625,'Team Indirect'!$A:$A,0)),"")</f>
        <v/>
      </c>
      <c r="AA625" s="3" t="str">
        <f ca="1">IF($C625&lt;&gt;"",INDEX('Team Indirect'!$F:$F,MATCH($C625,'Team Indirect'!$A:$A,0)),"")</f>
        <v/>
      </c>
      <c r="AB625" s="3" t="str">
        <f t="shared" ca="1" si="9"/>
        <v/>
      </c>
      <c r="AC625" s="3">
        <f ca="1">IF(OR(AllocationUnits="Stories", AllocationUnits="Points"),'Work Indirect'!F625,F625/MAX('Work Indirect'!AB625,1))</f>
        <v>1</v>
      </c>
    </row>
    <row r="626" spans="1:29"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7" t="str">
        <f ca="1">IF(OFFSET('4. Work'!$A$1,ROW(D626)-1,COLUMN(D626)-1)="","",OFFSET('4. Work'!$A$1,ROW(D626)-1,COLUMN(D626)-1))</f>
        <v/>
      </c>
      <c r="E626" s="147"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I626" s="3" t="str">
        <f ca="1">IF(OFFSET('4. Work'!$A$1,ROW(I626)-1,COLUMN(I626)-1)="","",OFFSET('4. Work'!$A$1,ROW(I626)-1,COLUMN(I626)-1))</f>
        <v/>
      </c>
      <c r="T626" s="3" t="str">
        <f ca="1">IF(A626&lt;&gt;"",MAX('Initiative Indirect'!$T:$T)+(ROW(A626)-1),"")</f>
        <v/>
      </c>
      <c r="U626" s="3" t="str">
        <f ca="1">IF(B626&lt;&gt;"",INDEX('Initiative Indirect'!$T:$T,MATCH(B626,'Initiative Indirect'!$A:$A,0)),"")</f>
        <v/>
      </c>
      <c r="V626" s="3" t="str">
        <f ca="1">IF(C626&lt;&gt;"",INDEX('Team Indirect'!$T:$T,MATCH(C626,'Team Indirect'!$A:$A,0)),"")</f>
        <v/>
      </c>
      <c r="W626" s="3"/>
      <c r="X626" s="3"/>
      <c r="Y626" s="3" t="str">
        <f ca="1">IF($C626&lt;&gt;"",INDEX('Team Indirect'!$D:$D,MATCH($C626,'Team Indirect'!$A:$A,0)),"")</f>
        <v/>
      </c>
      <c r="Z626" s="3" t="str">
        <f ca="1">IF($C626&lt;&gt;"",INDEX('Team Indirect'!$E:$E,MATCH($C626,'Team Indirect'!$A:$A,0)),"")</f>
        <v/>
      </c>
      <c r="AA626" s="3" t="str">
        <f ca="1">IF($C626&lt;&gt;"",INDEX('Team Indirect'!$F:$F,MATCH($C626,'Team Indirect'!$A:$A,0)),"")</f>
        <v/>
      </c>
      <c r="AB626" s="3" t="str">
        <f t="shared" ca="1" si="9"/>
        <v/>
      </c>
      <c r="AC626" s="3">
        <f ca="1">IF(OR(AllocationUnits="Stories", AllocationUnits="Points"),'Work Indirect'!F626,F626/MAX('Work Indirect'!AB626,1))</f>
        <v>1</v>
      </c>
    </row>
    <row r="627" spans="1:29"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7" t="str">
        <f ca="1">IF(OFFSET('4. Work'!$A$1,ROW(D627)-1,COLUMN(D627)-1)="","",OFFSET('4. Work'!$A$1,ROW(D627)-1,COLUMN(D627)-1))</f>
        <v/>
      </c>
      <c r="E627" s="147"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I627" s="3" t="str">
        <f ca="1">IF(OFFSET('4. Work'!$A$1,ROW(I627)-1,COLUMN(I627)-1)="","",OFFSET('4. Work'!$A$1,ROW(I627)-1,COLUMN(I627)-1))</f>
        <v/>
      </c>
      <c r="T627" s="3" t="str">
        <f ca="1">IF(A627&lt;&gt;"",MAX('Initiative Indirect'!$T:$T)+(ROW(A627)-1),"")</f>
        <v/>
      </c>
      <c r="U627" s="3" t="str">
        <f ca="1">IF(B627&lt;&gt;"",INDEX('Initiative Indirect'!$T:$T,MATCH(B627,'Initiative Indirect'!$A:$A,0)),"")</f>
        <v/>
      </c>
      <c r="V627" s="3" t="str">
        <f ca="1">IF(C627&lt;&gt;"",INDEX('Team Indirect'!$T:$T,MATCH(C627,'Team Indirect'!$A:$A,0)),"")</f>
        <v/>
      </c>
      <c r="W627" s="3"/>
      <c r="X627" s="3"/>
      <c r="Y627" s="3" t="str">
        <f ca="1">IF($C627&lt;&gt;"",INDEX('Team Indirect'!$D:$D,MATCH($C627,'Team Indirect'!$A:$A,0)),"")</f>
        <v/>
      </c>
      <c r="Z627" s="3" t="str">
        <f ca="1">IF($C627&lt;&gt;"",INDEX('Team Indirect'!$E:$E,MATCH($C627,'Team Indirect'!$A:$A,0)),"")</f>
        <v/>
      </c>
      <c r="AA627" s="3" t="str">
        <f ca="1">IF($C627&lt;&gt;"",INDEX('Team Indirect'!$F:$F,MATCH($C627,'Team Indirect'!$A:$A,0)),"")</f>
        <v/>
      </c>
      <c r="AB627" s="3" t="str">
        <f t="shared" ca="1" si="9"/>
        <v/>
      </c>
      <c r="AC627" s="3">
        <f ca="1">IF(OR(AllocationUnits="Stories", AllocationUnits="Points"),'Work Indirect'!F627,F627/MAX('Work Indirect'!AB627,1))</f>
        <v>1</v>
      </c>
    </row>
    <row r="628" spans="1:29"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7" t="str">
        <f ca="1">IF(OFFSET('4. Work'!$A$1,ROW(D628)-1,COLUMN(D628)-1)="","",OFFSET('4. Work'!$A$1,ROW(D628)-1,COLUMN(D628)-1))</f>
        <v/>
      </c>
      <c r="E628" s="147"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I628" s="3" t="str">
        <f ca="1">IF(OFFSET('4. Work'!$A$1,ROW(I628)-1,COLUMN(I628)-1)="","",OFFSET('4. Work'!$A$1,ROW(I628)-1,COLUMN(I628)-1))</f>
        <v/>
      </c>
      <c r="T628" s="3" t="str">
        <f ca="1">IF(A628&lt;&gt;"",MAX('Initiative Indirect'!$T:$T)+(ROW(A628)-1),"")</f>
        <v/>
      </c>
      <c r="U628" s="3" t="str">
        <f ca="1">IF(B628&lt;&gt;"",INDEX('Initiative Indirect'!$T:$T,MATCH(B628,'Initiative Indirect'!$A:$A,0)),"")</f>
        <v/>
      </c>
      <c r="V628" s="3" t="str">
        <f ca="1">IF(C628&lt;&gt;"",INDEX('Team Indirect'!$T:$T,MATCH(C628,'Team Indirect'!$A:$A,0)),"")</f>
        <v/>
      </c>
      <c r="W628" s="3"/>
      <c r="X628" s="3"/>
      <c r="Y628" s="3" t="str">
        <f ca="1">IF($C628&lt;&gt;"",INDEX('Team Indirect'!$D:$D,MATCH($C628,'Team Indirect'!$A:$A,0)),"")</f>
        <v/>
      </c>
      <c r="Z628" s="3" t="str">
        <f ca="1">IF($C628&lt;&gt;"",INDEX('Team Indirect'!$E:$E,MATCH($C628,'Team Indirect'!$A:$A,0)),"")</f>
        <v/>
      </c>
      <c r="AA628" s="3" t="str">
        <f ca="1">IF($C628&lt;&gt;"",INDEX('Team Indirect'!$F:$F,MATCH($C628,'Team Indirect'!$A:$A,0)),"")</f>
        <v/>
      </c>
      <c r="AB628" s="3" t="str">
        <f t="shared" ca="1" si="9"/>
        <v/>
      </c>
      <c r="AC628" s="3">
        <f ca="1">IF(OR(AllocationUnits="Stories", AllocationUnits="Points"),'Work Indirect'!F628,F628/MAX('Work Indirect'!AB628,1))</f>
        <v>1</v>
      </c>
    </row>
    <row r="629" spans="1:29"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7" t="str">
        <f ca="1">IF(OFFSET('4. Work'!$A$1,ROW(D629)-1,COLUMN(D629)-1)="","",OFFSET('4. Work'!$A$1,ROW(D629)-1,COLUMN(D629)-1))</f>
        <v/>
      </c>
      <c r="E629" s="147"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I629" s="3" t="str">
        <f ca="1">IF(OFFSET('4. Work'!$A$1,ROW(I629)-1,COLUMN(I629)-1)="","",OFFSET('4. Work'!$A$1,ROW(I629)-1,COLUMN(I629)-1))</f>
        <v/>
      </c>
      <c r="T629" s="3" t="str">
        <f ca="1">IF(A629&lt;&gt;"",MAX('Initiative Indirect'!$T:$T)+(ROW(A629)-1),"")</f>
        <v/>
      </c>
      <c r="U629" s="3" t="str">
        <f ca="1">IF(B629&lt;&gt;"",INDEX('Initiative Indirect'!$T:$T,MATCH(B629,'Initiative Indirect'!$A:$A,0)),"")</f>
        <v/>
      </c>
      <c r="V629" s="3" t="str">
        <f ca="1">IF(C629&lt;&gt;"",INDEX('Team Indirect'!$T:$T,MATCH(C629,'Team Indirect'!$A:$A,0)),"")</f>
        <v/>
      </c>
      <c r="W629" s="3"/>
      <c r="X629" s="3"/>
      <c r="Y629" s="3" t="str">
        <f ca="1">IF($C629&lt;&gt;"",INDEX('Team Indirect'!$D:$D,MATCH($C629,'Team Indirect'!$A:$A,0)),"")</f>
        <v/>
      </c>
      <c r="Z629" s="3" t="str">
        <f ca="1">IF($C629&lt;&gt;"",INDEX('Team Indirect'!$E:$E,MATCH($C629,'Team Indirect'!$A:$A,0)),"")</f>
        <v/>
      </c>
      <c r="AA629" s="3" t="str">
        <f ca="1">IF($C629&lt;&gt;"",INDEX('Team Indirect'!$F:$F,MATCH($C629,'Team Indirect'!$A:$A,0)),"")</f>
        <v/>
      </c>
      <c r="AB629" s="3" t="str">
        <f t="shared" ca="1" si="9"/>
        <v/>
      </c>
      <c r="AC629" s="3">
        <f ca="1">IF(OR(AllocationUnits="Stories", AllocationUnits="Points"),'Work Indirect'!F629,F629/MAX('Work Indirect'!AB629,1))</f>
        <v>1</v>
      </c>
    </row>
    <row r="630" spans="1:29"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7" t="str">
        <f ca="1">IF(OFFSET('4. Work'!$A$1,ROW(D630)-1,COLUMN(D630)-1)="","",OFFSET('4. Work'!$A$1,ROW(D630)-1,COLUMN(D630)-1))</f>
        <v/>
      </c>
      <c r="E630" s="147"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I630" s="3" t="str">
        <f ca="1">IF(OFFSET('4. Work'!$A$1,ROW(I630)-1,COLUMN(I630)-1)="","",OFFSET('4. Work'!$A$1,ROW(I630)-1,COLUMN(I630)-1))</f>
        <v/>
      </c>
      <c r="T630" s="3" t="str">
        <f ca="1">IF(A630&lt;&gt;"",MAX('Initiative Indirect'!$T:$T)+(ROW(A630)-1),"")</f>
        <v/>
      </c>
      <c r="U630" s="3" t="str">
        <f ca="1">IF(B630&lt;&gt;"",INDEX('Initiative Indirect'!$T:$T,MATCH(B630,'Initiative Indirect'!$A:$A,0)),"")</f>
        <v/>
      </c>
      <c r="V630" s="3" t="str">
        <f ca="1">IF(C630&lt;&gt;"",INDEX('Team Indirect'!$T:$T,MATCH(C630,'Team Indirect'!$A:$A,0)),"")</f>
        <v/>
      </c>
      <c r="W630" s="3"/>
      <c r="X630" s="3"/>
      <c r="Y630" s="3" t="str">
        <f ca="1">IF($C630&lt;&gt;"",INDEX('Team Indirect'!$D:$D,MATCH($C630,'Team Indirect'!$A:$A,0)),"")</f>
        <v/>
      </c>
      <c r="Z630" s="3" t="str">
        <f ca="1">IF($C630&lt;&gt;"",INDEX('Team Indirect'!$E:$E,MATCH($C630,'Team Indirect'!$A:$A,0)),"")</f>
        <v/>
      </c>
      <c r="AA630" s="3" t="str">
        <f ca="1">IF($C630&lt;&gt;"",INDEX('Team Indirect'!$F:$F,MATCH($C630,'Team Indirect'!$A:$A,0)),"")</f>
        <v/>
      </c>
      <c r="AB630" s="3" t="str">
        <f t="shared" ca="1" si="9"/>
        <v/>
      </c>
      <c r="AC630" s="3">
        <f ca="1">IF(OR(AllocationUnits="Stories", AllocationUnits="Points"),'Work Indirect'!F630,F630/MAX('Work Indirect'!AB630,1))</f>
        <v>1</v>
      </c>
    </row>
    <row r="631" spans="1:29"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7" t="str">
        <f ca="1">IF(OFFSET('4. Work'!$A$1,ROW(D631)-1,COLUMN(D631)-1)="","",OFFSET('4. Work'!$A$1,ROW(D631)-1,COLUMN(D631)-1))</f>
        <v/>
      </c>
      <c r="E631" s="147"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I631" s="3" t="str">
        <f ca="1">IF(OFFSET('4. Work'!$A$1,ROW(I631)-1,COLUMN(I631)-1)="","",OFFSET('4. Work'!$A$1,ROW(I631)-1,COLUMN(I631)-1))</f>
        <v/>
      </c>
      <c r="T631" s="3" t="str">
        <f ca="1">IF(A631&lt;&gt;"",MAX('Initiative Indirect'!$T:$T)+(ROW(A631)-1),"")</f>
        <v/>
      </c>
      <c r="U631" s="3" t="str">
        <f ca="1">IF(B631&lt;&gt;"",INDEX('Initiative Indirect'!$T:$T,MATCH(B631,'Initiative Indirect'!$A:$A,0)),"")</f>
        <v/>
      </c>
      <c r="V631" s="3" t="str">
        <f ca="1">IF(C631&lt;&gt;"",INDEX('Team Indirect'!$T:$T,MATCH(C631,'Team Indirect'!$A:$A,0)),"")</f>
        <v/>
      </c>
      <c r="W631" s="3"/>
      <c r="X631" s="3"/>
      <c r="Y631" s="3" t="str">
        <f ca="1">IF($C631&lt;&gt;"",INDEX('Team Indirect'!$D:$D,MATCH($C631,'Team Indirect'!$A:$A,0)),"")</f>
        <v/>
      </c>
      <c r="Z631" s="3" t="str">
        <f ca="1">IF($C631&lt;&gt;"",INDEX('Team Indirect'!$E:$E,MATCH($C631,'Team Indirect'!$A:$A,0)),"")</f>
        <v/>
      </c>
      <c r="AA631" s="3" t="str">
        <f ca="1">IF($C631&lt;&gt;"",INDEX('Team Indirect'!$F:$F,MATCH($C631,'Team Indirect'!$A:$A,0)),"")</f>
        <v/>
      </c>
      <c r="AB631" s="3" t="str">
        <f t="shared" ca="1" si="9"/>
        <v/>
      </c>
      <c r="AC631" s="3">
        <f ca="1">IF(OR(AllocationUnits="Stories", AllocationUnits="Points"),'Work Indirect'!F631,F631/MAX('Work Indirect'!AB631,1))</f>
        <v>1</v>
      </c>
    </row>
    <row r="632" spans="1:29"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7" t="str">
        <f ca="1">IF(OFFSET('4. Work'!$A$1,ROW(D632)-1,COLUMN(D632)-1)="","",OFFSET('4. Work'!$A$1,ROW(D632)-1,COLUMN(D632)-1))</f>
        <v/>
      </c>
      <c r="E632" s="147"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I632" s="3" t="str">
        <f ca="1">IF(OFFSET('4. Work'!$A$1,ROW(I632)-1,COLUMN(I632)-1)="","",OFFSET('4. Work'!$A$1,ROW(I632)-1,COLUMN(I632)-1))</f>
        <v/>
      </c>
      <c r="T632" s="3" t="str">
        <f ca="1">IF(A632&lt;&gt;"",MAX('Initiative Indirect'!$T:$T)+(ROW(A632)-1),"")</f>
        <v/>
      </c>
      <c r="U632" s="3" t="str">
        <f ca="1">IF(B632&lt;&gt;"",INDEX('Initiative Indirect'!$T:$T,MATCH(B632,'Initiative Indirect'!$A:$A,0)),"")</f>
        <v/>
      </c>
      <c r="V632" s="3" t="str">
        <f ca="1">IF(C632&lt;&gt;"",INDEX('Team Indirect'!$T:$T,MATCH(C632,'Team Indirect'!$A:$A,0)),"")</f>
        <v/>
      </c>
      <c r="W632" s="3"/>
      <c r="X632" s="3"/>
      <c r="Y632" s="3" t="str">
        <f ca="1">IF($C632&lt;&gt;"",INDEX('Team Indirect'!$D:$D,MATCH($C632,'Team Indirect'!$A:$A,0)),"")</f>
        <v/>
      </c>
      <c r="Z632" s="3" t="str">
        <f ca="1">IF($C632&lt;&gt;"",INDEX('Team Indirect'!$E:$E,MATCH($C632,'Team Indirect'!$A:$A,0)),"")</f>
        <v/>
      </c>
      <c r="AA632" s="3" t="str">
        <f ca="1">IF($C632&lt;&gt;"",INDEX('Team Indirect'!$F:$F,MATCH($C632,'Team Indirect'!$A:$A,0)),"")</f>
        <v/>
      </c>
      <c r="AB632" s="3" t="str">
        <f t="shared" ca="1" si="9"/>
        <v/>
      </c>
      <c r="AC632" s="3">
        <f ca="1">IF(OR(AllocationUnits="Stories", AllocationUnits="Points"),'Work Indirect'!F632,F632/MAX('Work Indirect'!AB632,1))</f>
        <v>1</v>
      </c>
    </row>
    <row r="633" spans="1:29"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7" t="str">
        <f ca="1">IF(OFFSET('4. Work'!$A$1,ROW(D633)-1,COLUMN(D633)-1)="","",OFFSET('4. Work'!$A$1,ROW(D633)-1,COLUMN(D633)-1))</f>
        <v/>
      </c>
      <c r="E633" s="147"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I633" s="3" t="str">
        <f ca="1">IF(OFFSET('4. Work'!$A$1,ROW(I633)-1,COLUMN(I633)-1)="","",OFFSET('4. Work'!$A$1,ROW(I633)-1,COLUMN(I633)-1))</f>
        <v/>
      </c>
      <c r="T633" s="3" t="str">
        <f ca="1">IF(A633&lt;&gt;"",MAX('Initiative Indirect'!$T:$T)+(ROW(A633)-1),"")</f>
        <v/>
      </c>
      <c r="U633" s="3" t="str">
        <f ca="1">IF(B633&lt;&gt;"",INDEX('Initiative Indirect'!$T:$T,MATCH(B633,'Initiative Indirect'!$A:$A,0)),"")</f>
        <v/>
      </c>
      <c r="V633" s="3" t="str">
        <f ca="1">IF(C633&lt;&gt;"",INDEX('Team Indirect'!$T:$T,MATCH(C633,'Team Indirect'!$A:$A,0)),"")</f>
        <v/>
      </c>
      <c r="W633" s="3"/>
      <c r="X633" s="3"/>
      <c r="Y633" s="3" t="str">
        <f ca="1">IF($C633&lt;&gt;"",INDEX('Team Indirect'!$D:$D,MATCH($C633,'Team Indirect'!$A:$A,0)),"")</f>
        <v/>
      </c>
      <c r="Z633" s="3" t="str">
        <f ca="1">IF($C633&lt;&gt;"",INDEX('Team Indirect'!$E:$E,MATCH($C633,'Team Indirect'!$A:$A,0)),"")</f>
        <v/>
      </c>
      <c r="AA633" s="3" t="str">
        <f ca="1">IF($C633&lt;&gt;"",INDEX('Team Indirect'!$F:$F,MATCH($C633,'Team Indirect'!$A:$A,0)),"")</f>
        <v/>
      </c>
      <c r="AB633" s="3" t="str">
        <f t="shared" ca="1" si="9"/>
        <v/>
      </c>
      <c r="AC633" s="3">
        <f ca="1">IF(OR(AllocationUnits="Stories", AllocationUnits="Points"),'Work Indirect'!F633,F633/MAX('Work Indirect'!AB633,1))</f>
        <v>1</v>
      </c>
    </row>
    <row r="634" spans="1:29"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7" t="str">
        <f ca="1">IF(OFFSET('4. Work'!$A$1,ROW(D634)-1,COLUMN(D634)-1)="","",OFFSET('4. Work'!$A$1,ROW(D634)-1,COLUMN(D634)-1))</f>
        <v/>
      </c>
      <c r="E634" s="147"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I634" s="3" t="str">
        <f ca="1">IF(OFFSET('4. Work'!$A$1,ROW(I634)-1,COLUMN(I634)-1)="","",OFFSET('4. Work'!$A$1,ROW(I634)-1,COLUMN(I634)-1))</f>
        <v/>
      </c>
      <c r="T634" s="3" t="str">
        <f ca="1">IF(A634&lt;&gt;"",MAX('Initiative Indirect'!$T:$T)+(ROW(A634)-1),"")</f>
        <v/>
      </c>
      <c r="U634" s="3" t="str">
        <f ca="1">IF(B634&lt;&gt;"",INDEX('Initiative Indirect'!$T:$T,MATCH(B634,'Initiative Indirect'!$A:$A,0)),"")</f>
        <v/>
      </c>
      <c r="V634" s="3" t="str">
        <f ca="1">IF(C634&lt;&gt;"",INDEX('Team Indirect'!$T:$T,MATCH(C634,'Team Indirect'!$A:$A,0)),"")</f>
        <v/>
      </c>
      <c r="W634" s="3"/>
      <c r="X634" s="3"/>
      <c r="Y634" s="3" t="str">
        <f ca="1">IF($C634&lt;&gt;"",INDEX('Team Indirect'!$D:$D,MATCH($C634,'Team Indirect'!$A:$A,0)),"")</f>
        <v/>
      </c>
      <c r="Z634" s="3" t="str">
        <f ca="1">IF($C634&lt;&gt;"",INDEX('Team Indirect'!$E:$E,MATCH($C634,'Team Indirect'!$A:$A,0)),"")</f>
        <v/>
      </c>
      <c r="AA634" s="3" t="str">
        <f ca="1">IF($C634&lt;&gt;"",INDEX('Team Indirect'!$F:$F,MATCH($C634,'Team Indirect'!$A:$A,0)),"")</f>
        <v/>
      </c>
      <c r="AB634" s="3" t="str">
        <f t="shared" ca="1" si="9"/>
        <v/>
      </c>
      <c r="AC634" s="3">
        <f ca="1">IF(OR(AllocationUnits="Stories", AllocationUnits="Points"),'Work Indirect'!F634,F634/MAX('Work Indirect'!AB634,1))</f>
        <v>1</v>
      </c>
    </row>
    <row r="635" spans="1:29"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7" t="str">
        <f ca="1">IF(OFFSET('4. Work'!$A$1,ROW(D635)-1,COLUMN(D635)-1)="","",OFFSET('4. Work'!$A$1,ROW(D635)-1,COLUMN(D635)-1))</f>
        <v/>
      </c>
      <c r="E635" s="147"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I635" s="3" t="str">
        <f ca="1">IF(OFFSET('4. Work'!$A$1,ROW(I635)-1,COLUMN(I635)-1)="","",OFFSET('4. Work'!$A$1,ROW(I635)-1,COLUMN(I635)-1))</f>
        <v/>
      </c>
      <c r="T635" s="3" t="str">
        <f ca="1">IF(A635&lt;&gt;"",MAX('Initiative Indirect'!$T:$T)+(ROW(A635)-1),"")</f>
        <v/>
      </c>
      <c r="U635" s="3" t="str">
        <f ca="1">IF(B635&lt;&gt;"",INDEX('Initiative Indirect'!$T:$T,MATCH(B635,'Initiative Indirect'!$A:$A,0)),"")</f>
        <v/>
      </c>
      <c r="V635" s="3" t="str">
        <f ca="1">IF(C635&lt;&gt;"",INDEX('Team Indirect'!$T:$T,MATCH(C635,'Team Indirect'!$A:$A,0)),"")</f>
        <v/>
      </c>
      <c r="W635" s="3"/>
      <c r="X635" s="3"/>
      <c r="Y635" s="3" t="str">
        <f ca="1">IF($C635&lt;&gt;"",INDEX('Team Indirect'!$D:$D,MATCH($C635,'Team Indirect'!$A:$A,0)),"")</f>
        <v/>
      </c>
      <c r="Z635" s="3" t="str">
        <f ca="1">IF($C635&lt;&gt;"",INDEX('Team Indirect'!$E:$E,MATCH($C635,'Team Indirect'!$A:$A,0)),"")</f>
        <v/>
      </c>
      <c r="AA635" s="3" t="str">
        <f ca="1">IF($C635&lt;&gt;"",INDEX('Team Indirect'!$F:$F,MATCH($C635,'Team Indirect'!$A:$A,0)),"")</f>
        <v/>
      </c>
      <c r="AB635" s="3" t="str">
        <f t="shared" ca="1" si="9"/>
        <v/>
      </c>
      <c r="AC635" s="3">
        <f ca="1">IF(OR(AllocationUnits="Stories", AllocationUnits="Points"),'Work Indirect'!F635,F635/MAX('Work Indirect'!AB635,1))</f>
        <v>1</v>
      </c>
    </row>
    <row r="636" spans="1:29"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7" t="str">
        <f ca="1">IF(OFFSET('4. Work'!$A$1,ROW(D636)-1,COLUMN(D636)-1)="","",OFFSET('4. Work'!$A$1,ROW(D636)-1,COLUMN(D636)-1))</f>
        <v/>
      </c>
      <c r="E636" s="147"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I636" s="3" t="str">
        <f ca="1">IF(OFFSET('4. Work'!$A$1,ROW(I636)-1,COLUMN(I636)-1)="","",OFFSET('4. Work'!$A$1,ROW(I636)-1,COLUMN(I636)-1))</f>
        <v/>
      </c>
      <c r="T636" s="3" t="str">
        <f ca="1">IF(A636&lt;&gt;"",MAX('Initiative Indirect'!$T:$T)+(ROW(A636)-1),"")</f>
        <v/>
      </c>
      <c r="U636" s="3" t="str">
        <f ca="1">IF(B636&lt;&gt;"",INDEX('Initiative Indirect'!$T:$T,MATCH(B636,'Initiative Indirect'!$A:$A,0)),"")</f>
        <v/>
      </c>
      <c r="V636" s="3" t="str">
        <f ca="1">IF(C636&lt;&gt;"",INDEX('Team Indirect'!$T:$T,MATCH(C636,'Team Indirect'!$A:$A,0)),"")</f>
        <v/>
      </c>
      <c r="W636" s="3"/>
      <c r="X636" s="3"/>
      <c r="Y636" s="3" t="str">
        <f ca="1">IF($C636&lt;&gt;"",INDEX('Team Indirect'!$D:$D,MATCH($C636,'Team Indirect'!$A:$A,0)),"")</f>
        <v/>
      </c>
      <c r="Z636" s="3" t="str">
        <f ca="1">IF($C636&lt;&gt;"",INDEX('Team Indirect'!$E:$E,MATCH($C636,'Team Indirect'!$A:$A,0)),"")</f>
        <v/>
      </c>
      <c r="AA636" s="3" t="str">
        <f ca="1">IF($C636&lt;&gt;"",INDEX('Team Indirect'!$F:$F,MATCH($C636,'Team Indirect'!$A:$A,0)),"")</f>
        <v/>
      </c>
      <c r="AB636" s="3" t="str">
        <f t="shared" ca="1" si="9"/>
        <v/>
      </c>
      <c r="AC636" s="3">
        <f ca="1">IF(OR(AllocationUnits="Stories", AllocationUnits="Points"),'Work Indirect'!F636,F636/MAX('Work Indirect'!AB636,1))</f>
        <v>1</v>
      </c>
    </row>
    <row r="637" spans="1:29"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7" t="str">
        <f ca="1">IF(OFFSET('4. Work'!$A$1,ROW(D637)-1,COLUMN(D637)-1)="","",OFFSET('4. Work'!$A$1,ROW(D637)-1,COLUMN(D637)-1))</f>
        <v/>
      </c>
      <c r="E637" s="147"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I637" s="3" t="str">
        <f ca="1">IF(OFFSET('4. Work'!$A$1,ROW(I637)-1,COLUMN(I637)-1)="","",OFFSET('4. Work'!$A$1,ROW(I637)-1,COLUMN(I637)-1))</f>
        <v/>
      </c>
      <c r="T637" s="3" t="str">
        <f ca="1">IF(A637&lt;&gt;"",MAX('Initiative Indirect'!$T:$T)+(ROW(A637)-1),"")</f>
        <v/>
      </c>
      <c r="U637" s="3" t="str">
        <f ca="1">IF(B637&lt;&gt;"",INDEX('Initiative Indirect'!$T:$T,MATCH(B637,'Initiative Indirect'!$A:$A,0)),"")</f>
        <v/>
      </c>
      <c r="V637" s="3" t="str">
        <f ca="1">IF(C637&lt;&gt;"",INDEX('Team Indirect'!$T:$T,MATCH(C637,'Team Indirect'!$A:$A,0)),"")</f>
        <v/>
      </c>
      <c r="W637" s="3"/>
      <c r="X637" s="3"/>
      <c r="Y637" s="3" t="str">
        <f ca="1">IF($C637&lt;&gt;"",INDEX('Team Indirect'!$D:$D,MATCH($C637,'Team Indirect'!$A:$A,0)),"")</f>
        <v/>
      </c>
      <c r="Z637" s="3" t="str">
        <f ca="1">IF($C637&lt;&gt;"",INDEX('Team Indirect'!$E:$E,MATCH($C637,'Team Indirect'!$A:$A,0)),"")</f>
        <v/>
      </c>
      <c r="AA637" s="3" t="str">
        <f ca="1">IF($C637&lt;&gt;"",INDEX('Team Indirect'!$F:$F,MATCH($C637,'Team Indirect'!$A:$A,0)),"")</f>
        <v/>
      </c>
      <c r="AB637" s="3" t="str">
        <f t="shared" ca="1" si="9"/>
        <v/>
      </c>
      <c r="AC637" s="3">
        <f ca="1">IF(OR(AllocationUnits="Stories", AllocationUnits="Points"),'Work Indirect'!F637,F637/MAX('Work Indirect'!AB637,1))</f>
        <v>1</v>
      </c>
    </row>
    <row r="638" spans="1:29"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7" t="str">
        <f ca="1">IF(OFFSET('4. Work'!$A$1,ROW(D638)-1,COLUMN(D638)-1)="","",OFFSET('4. Work'!$A$1,ROW(D638)-1,COLUMN(D638)-1))</f>
        <v/>
      </c>
      <c r="E638" s="147"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I638" s="3" t="str">
        <f ca="1">IF(OFFSET('4. Work'!$A$1,ROW(I638)-1,COLUMN(I638)-1)="","",OFFSET('4. Work'!$A$1,ROW(I638)-1,COLUMN(I638)-1))</f>
        <v/>
      </c>
      <c r="T638" s="3" t="str">
        <f ca="1">IF(A638&lt;&gt;"",MAX('Initiative Indirect'!$T:$T)+(ROW(A638)-1),"")</f>
        <v/>
      </c>
      <c r="U638" s="3" t="str">
        <f ca="1">IF(B638&lt;&gt;"",INDEX('Initiative Indirect'!$T:$T,MATCH(B638,'Initiative Indirect'!$A:$A,0)),"")</f>
        <v/>
      </c>
      <c r="V638" s="3" t="str">
        <f ca="1">IF(C638&lt;&gt;"",INDEX('Team Indirect'!$T:$T,MATCH(C638,'Team Indirect'!$A:$A,0)),"")</f>
        <v/>
      </c>
      <c r="W638" s="3"/>
      <c r="X638" s="3"/>
      <c r="Y638" s="3" t="str">
        <f ca="1">IF($C638&lt;&gt;"",INDEX('Team Indirect'!$D:$D,MATCH($C638,'Team Indirect'!$A:$A,0)),"")</f>
        <v/>
      </c>
      <c r="Z638" s="3" t="str">
        <f ca="1">IF($C638&lt;&gt;"",INDEX('Team Indirect'!$E:$E,MATCH($C638,'Team Indirect'!$A:$A,0)),"")</f>
        <v/>
      </c>
      <c r="AA638" s="3" t="str">
        <f ca="1">IF($C638&lt;&gt;"",INDEX('Team Indirect'!$F:$F,MATCH($C638,'Team Indirect'!$A:$A,0)),"")</f>
        <v/>
      </c>
      <c r="AB638" s="3" t="str">
        <f t="shared" ca="1" si="9"/>
        <v/>
      </c>
      <c r="AC638" s="3">
        <f ca="1">IF(OR(AllocationUnits="Stories", AllocationUnits="Points"),'Work Indirect'!F638,F638/MAX('Work Indirect'!AB638,1))</f>
        <v>1</v>
      </c>
    </row>
    <row r="639" spans="1:29"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7" t="str">
        <f ca="1">IF(OFFSET('4. Work'!$A$1,ROW(D639)-1,COLUMN(D639)-1)="","",OFFSET('4. Work'!$A$1,ROW(D639)-1,COLUMN(D639)-1))</f>
        <v/>
      </c>
      <c r="E639" s="147"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I639" s="3" t="str">
        <f ca="1">IF(OFFSET('4. Work'!$A$1,ROW(I639)-1,COLUMN(I639)-1)="","",OFFSET('4. Work'!$A$1,ROW(I639)-1,COLUMN(I639)-1))</f>
        <v/>
      </c>
      <c r="T639" s="3" t="str">
        <f ca="1">IF(A639&lt;&gt;"",MAX('Initiative Indirect'!$T:$T)+(ROW(A639)-1),"")</f>
        <v/>
      </c>
      <c r="U639" s="3" t="str">
        <f ca="1">IF(B639&lt;&gt;"",INDEX('Initiative Indirect'!$T:$T,MATCH(B639,'Initiative Indirect'!$A:$A,0)),"")</f>
        <v/>
      </c>
      <c r="V639" s="3" t="str">
        <f ca="1">IF(C639&lt;&gt;"",INDEX('Team Indirect'!$T:$T,MATCH(C639,'Team Indirect'!$A:$A,0)),"")</f>
        <v/>
      </c>
      <c r="W639" s="3"/>
      <c r="X639" s="3"/>
      <c r="Y639" s="3" t="str">
        <f ca="1">IF($C639&lt;&gt;"",INDEX('Team Indirect'!$D:$D,MATCH($C639,'Team Indirect'!$A:$A,0)),"")</f>
        <v/>
      </c>
      <c r="Z639" s="3" t="str">
        <f ca="1">IF($C639&lt;&gt;"",INDEX('Team Indirect'!$E:$E,MATCH($C639,'Team Indirect'!$A:$A,0)),"")</f>
        <v/>
      </c>
      <c r="AA639" s="3" t="str">
        <f ca="1">IF($C639&lt;&gt;"",INDEX('Team Indirect'!$F:$F,MATCH($C639,'Team Indirect'!$A:$A,0)),"")</f>
        <v/>
      </c>
      <c r="AB639" s="3" t="str">
        <f t="shared" ca="1" si="9"/>
        <v/>
      </c>
      <c r="AC639" s="3">
        <f ca="1">IF(OR(AllocationUnits="Stories", AllocationUnits="Points"),'Work Indirect'!F639,F639/MAX('Work Indirect'!AB639,1))</f>
        <v>1</v>
      </c>
    </row>
    <row r="640" spans="1:29"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7" t="str">
        <f ca="1">IF(OFFSET('4. Work'!$A$1,ROW(D640)-1,COLUMN(D640)-1)="","",OFFSET('4. Work'!$A$1,ROW(D640)-1,COLUMN(D640)-1))</f>
        <v/>
      </c>
      <c r="E640" s="147"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I640" s="3" t="str">
        <f ca="1">IF(OFFSET('4. Work'!$A$1,ROW(I640)-1,COLUMN(I640)-1)="","",OFFSET('4. Work'!$A$1,ROW(I640)-1,COLUMN(I640)-1))</f>
        <v/>
      </c>
      <c r="T640" s="3" t="str">
        <f ca="1">IF(A640&lt;&gt;"",MAX('Initiative Indirect'!$T:$T)+(ROW(A640)-1),"")</f>
        <v/>
      </c>
      <c r="U640" s="3" t="str">
        <f ca="1">IF(B640&lt;&gt;"",INDEX('Initiative Indirect'!$T:$T,MATCH(B640,'Initiative Indirect'!$A:$A,0)),"")</f>
        <v/>
      </c>
      <c r="V640" s="3" t="str">
        <f ca="1">IF(C640&lt;&gt;"",INDEX('Team Indirect'!$T:$T,MATCH(C640,'Team Indirect'!$A:$A,0)),"")</f>
        <v/>
      </c>
      <c r="W640" s="3"/>
      <c r="X640" s="3"/>
      <c r="Y640" s="3" t="str">
        <f ca="1">IF($C640&lt;&gt;"",INDEX('Team Indirect'!$D:$D,MATCH($C640,'Team Indirect'!$A:$A,0)),"")</f>
        <v/>
      </c>
      <c r="Z640" s="3" t="str">
        <f ca="1">IF($C640&lt;&gt;"",INDEX('Team Indirect'!$E:$E,MATCH($C640,'Team Indirect'!$A:$A,0)),"")</f>
        <v/>
      </c>
      <c r="AA640" s="3" t="str">
        <f ca="1">IF($C640&lt;&gt;"",INDEX('Team Indirect'!$F:$F,MATCH($C640,'Team Indirect'!$A:$A,0)),"")</f>
        <v/>
      </c>
      <c r="AB640" s="3" t="str">
        <f t="shared" ca="1" si="9"/>
        <v/>
      </c>
      <c r="AC640" s="3">
        <f ca="1">IF(OR(AllocationUnits="Stories", AllocationUnits="Points"),'Work Indirect'!F640,F640/MAX('Work Indirect'!AB640,1))</f>
        <v>1</v>
      </c>
    </row>
    <row r="641" spans="1:29"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7" t="str">
        <f ca="1">IF(OFFSET('4. Work'!$A$1,ROW(D641)-1,COLUMN(D641)-1)="","",OFFSET('4. Work'!$A$1,ROW(D641)-1,COLUMN(D641)-1))</f>
        <v/>
      </c>
      <c r="E641" s="147"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I641" s="3" t="str">
        <f ca="1">IF(OFFSET('4. Work'!$A$1,ROW(I641)-1,COLUMN(I641)-1)="","",OFFSET('4. Work'!$A$1,ROW(I641)-1,COLUMN(I641)-1))</f>
        <v/>
      </c>
      <c r="T641" s="3" t="str">
        <f ca="1">IF(A641&lt;&gt;"",MAX('Initiative Indirect'!$T:$T)+(ROW(A641)-1),"")</f>
        <v/>
      </c>
      <c r="U641" s="3" t="str">
        <f ca="1">IF(B641&lt;&gt;"",INDEX('Initiative Indirect'!$T:$T,MATCH(B641,'Initiative Indirect'!$A:$A,0)),"")</f>
        <v/>
      </c>
      <c r="V641" s="3" t="str">
        <f ca="1">IF(C641&lt;&gt;"",INDEX('Team Indirect'!$T:$T,MATCH(C641,'Team Indirect'!$A:$A,0)),"")</f>
        <v/>
      </c>
      <c r="W641" s="3"/>
      <c r="X641" s="3"/>
      <c r="Y641" s="3" t="str">
        <f ca="1">IF($C641&lt;&gt;"",INDEX('Team Indirect'!$D:$D,MATCH($C641,'Team Indirect'!$A:$A,0)),"")</f>
        <v/>
      </c>
      <c r="Z641" s="3" t="str">
        <f ca="1">IF($C641&lt;&gt;"",INDEX('Team Indirect'!$E:$E,MATCH($C641,'Team Indirect'!$A:$A,0)),"")</f>
        <v/>
      </c>
      <c r="AA641" s="3" t="str">
        <f ca="1">IF($C641&lt;&gt;"",INDEX('Team Indirect'!$F:$F,MATCH($C641,'Team Indirect'!$A:$A,0)),"")</f>
        <v/>
      </c>
      <c r="AB641" s="3" t="str">
        <f t="shared" ca="1" si="9"/>
        <v/>
      </c>
      <c r="AC641" s="3">
        <f ca="1">IF(OR(AllocationUnits="Stories", AllocationUnits="Points"),'Work Indirect'!F641,F641/MAX('Work Indirect'!AB641,1))</f>
        <v>1</v>
      </c>
    </row>
    <row r="642" spans="1:29"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7" t="str">
        <f ca="1">IF(OFFSET('4. Work'!$A$1,ROW(D642)-1,COLUMN(D642)-1)="","",OFFSET('4. Work'!$A$1,ROW(D642)-1,COLUMN(D642)-1))</f>
        <v/>
      </c>
      <c r="E642" s="147"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I642" s="3" t="str">
        <f ca="1">IF(OFFSET('4. Work'!$A$1,ROW(I642)-1,COLUMN(I642)-1)="","",OFFSET('4. Work'!$A$1,ROW(I642)-1,COLUMN(I642)-1))</f>
        <v/>
      </c>
      <c r="T642" s="3" t="str">
        <f ca="1">IF(A642&lt;&gt;"",MAX('Initiative Indirect'!$T:$T)+(ROW(A642)-1),"")</f>
        <v/>
      </c>
      <c r="U642" s="3" t="str">
        <f ca="1">IF(B642&lt;&gt;"",INDEX('Initiative Indirect'!$T:$T,MATCH(B642,'Initiative Indirect'!$A:$A,0)),"")</f>
        <v/>
      </c>
      <c r="V642" s="3" t="str">
        <f ca="1">IF(C642&lt;&gt;"",INDEX('Team Indirect'!$T:$T,MATCH(C642,'Team Indirect'!$A:$A,0)),"")</f>
        <v/>
      </c>
      <c r="W642" s="3"/>
      <c r="X642" s="3"/>
      <c r="Y642" s="3" t="str">
        <f ca="1">IF($C642&lt;&gt;"",INDEX('Team Indirect'!$D:$D,MATCH($C642,'Team Indirect'!$A:$A,0)),"")</f>
        <v/>
      </c>
      <c r="Z642" s="3" t="str">
        <f ca="1">IF($C642&lt;&gt;"",INDEX('Team Indirect'!$E:$E,MATCH($C642,'Team Indirect'!$A:$A,0)),"")</f>
        <v/>
      </c>
      <c r="AA642" s="3" t="str">
        <f ca="1">IF($C642&lt;&gt;"",INDEX('Team Indirect'!$F:$F,MATCH($C642,'Team Indirect'!$A:$A,0)),"")</f>
        <v/>
      </c>
      <c r="AB642" s="3" t="str">
        <f t="shared" ref="AB642:AB705" ca="1" si="10">IF(AND(Y642&lt;&gt;"",Z642&lt;&gt;""),Y642+((Z642-Y642)*(1-MAX(0,AA642))*(1-Probability)),"")</f>
        <v/>
      </c>
      <c r="AC642" s="3">
        <f ca="1">IF(OR(AllocationUnits="Stories", AllocationUnits="Points"),'Work Indirect'!F642,F642/MAX('Work Indirect'!AB642,1))</f>
        <v>1</v>
      </c>
    </row>
    <row r="643" spans="1:29"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7" t="str">
        <f ca="1">IF(OFFSET('4. Work'!$A$1,ROW(D643)-1,COLUMN(D643)-1)="","",OFFSET('4. Work'!$A$1,ROW(D643)-1,COLUMN(D643)-1))</f>
        <v/>
      </c>
      <c r="E643" s="147"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I643" s="3" t="str">
        <f ca="1">IF(OFFSET('4. Work'!$A$1,ROW(I643)-1,COLUMN(I643)-1)="","",OFFSET('4. Work'!$A$1,ROW(I643)-1,COLUMN(I643)-1))</f>
        <v/>
      </c>
      <c r="T643" s="3" t="str">
        <f ca="1">IF(A643&lt;&gt;"",MAX('Initiative Indirect'!$T:$T)+(ROW(A643)-1),"")</f>
        <v/>
      </c>
      <c r="U643" s="3" t="str">
        <f ca="1">IF(B643&lt;&gt;"",INDEX('Initiative Indirect'!$T:$T,MATCH(B643,'Initiative Indirect'!$A:$A,0)),"")</f>
        <v/>
      </c>
      <c r="V643" s="3" t="str">
        <f ca="1">IF(C643&lt;&gt;"",INDEX('Team Indirect'!$T:$T,MATCH(C643,'Team Indirect'!$A:$A,0)),"")</f>
        <v/>
      </c>
      <c r="W643" s="3"/>
      <c r="X643" s="3"/>
      <c r="Y643" s="3" t="str">
        <f ca="1">IF($C643&lt;&gt;"",INDEX('Team Indirect'!$D:$D,MATCH($C643,'Team Indirect'!$A:$A,0)),"")</f>
        <v/>
      </c>
      <c r="Z643" s="3" t="str">
        <f ca="1">IF($C643&lt;&gt;"",INDEX('Team Indirect'!$E:$E,MATCH($C643,'Team Indirect'!$A:$A,0)),"")</f>
        <v/>
      </c>
      <c r="AA643" s="3" t="str">
        <f ca="1">IF($C643&lt;&gt;"",INDEX('Team Indirect'!$F:$F,MATCH($C643,'Team Indirect'!$A:$A,0)),"")</f>
        <v/>
      </c>
      <c r="AB643" s="3" t="str">
        <f t="shared" ca="1" si="10"/>
        <v/>
      </c>
      <c r="AC643" s="3">
        <f ca="1">IF(OR(AllocationUnits="Stories", AllocationUnits="Points"),'Work Indirect'!F643,F643/MAX('Work Indirect'!AB643,1))</f>
        <v>1</v>
      </c>
    </row>
    <row r="644" spans="1:29"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7" t="str">
        <f ca="1">IF(OFFSET('4. Work'!$A$1,ROW(D644)-1,COLUMN(D644)-1)="","",OFFSET('4. Work'!$A$1,ROW(D644)-1,COLUMN(D644)-1))</f>
        <v/>
      </c>
      <c r="E644" s="147"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I644" s="3" t="str">
        <f ca="1">IF(OFFSET('4. Work'!$A$1,ROW(I644)-1,COLUMN(I644)-1)="","",OFFSET('4. Work'!$A$1,ROW(I644)-1,COLUMN(I644)-1))</f>
        <v/>
      </c>
      <c r="T644" s="3" t="str">
        <f ca="1">IF(A644&lt;&gt;"",MAX('Initiative Indirect'!$T:$T)+(ROW(A644)-1),"")</f>
        <v/>
      </c>
      <c r="U644" s="3" t="str">
        <f ca="1">IF(B644&lt;&gt;"",INDEX('Initiative Indirect'!$T:$T,MATCH(B644,'Initiative Indirect'!$A:$A,0)),"")</f>
        <v/>
      </c>
      <c r="V644" s="3" t="str">
        <f ca="1">IF(C644&lt;&gt;"",INDEX('Team Indirect'!$T:$T,MATCH(C644,'Team Indirect'!$A:$A,0)),"")</f>
        <v/>
      </c>
      <c r="W644" s="3"/>
      <c r="X644" s="3"/>
      <c r="Y644" s="3" t="str">
        <f ca="1">IF($C644&lt;&gt;"",INDEX('Team Indirect'!$D:$D,MATCH($C644,'Team Indirect'!$A:$A,0)),"")</f>
        <v/>
      </c>
      <c r="Z644" s="3" t="str">
        <f ca="1">IF($C644&lt;&gt;"",INDEX('Team Indirect'!$E:$E,MATCH($C644,'Team Indirect'!$A:$A,0)),"")</f>
        <v/>
      </c>
      <c r="AA644" s="3" t="str">
        <f ca="1">IF($C644&lt;&gt;"",INDEX('Team Indirect'!$F:$F,MATCH($C644,'Team Indirect'!$A:$A,0)),"")</f>
        <v/>
      </c>
      <c r="AB644" s="3" t="str">
        <f t="shared" ca="1" si="10"/>
        <v/>
      </c>
      <c r="AC644" s="3">
        <f ca="1">IF(OR(AllocationUnits="Stories", AllocationUnits="Points"),'Work Indirect'!F644,F644/MAX('Work Indirect'!AB644,1))</f>
        <v>1</v>
      </c>
    </row>
    <row r="645" spans="1:29"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7" t="str">
        <f ca="1">IF(OFFSET('4. Work'!$A$1,ROW(D645)-1,COLUMN(D645)-1)="","",OFFSET('4. Work'!$A$1,ROW(D645)-1,COLUMN(D645)-1))</f>
        <v/>
      </c>
      <c r="E645" s="147"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I645" s="3" t="str">
        <f ca="1">IF(OFFSET('4. Work'!$A$1,ROW(I645)-1,COLUMN(I645)-1)="","",OFFSET('4. Work'!$A$1,ROW(I645)-1,COLUMN(I645)-1))</f>
        <v/>
      </c>
      <c r="T645" s="3" t="str">
        <f ca="1">IF(A645&lt;&gt;"",MAX('Initiative Indirect'!$T:$T)+(ROW(A645)-1),"")</f>
        <v/>
      </c>
      <c r="U645" s="3" t="str">
        <f ca="1">IF(B645&lt;&gt;"",INDEX('Initiative Indirect'!$T:$T,MATCH(B645,'Initiative Indirect'!$A:$A,0)),"")</f>
        <v/>
      </c>
      <c r="V645" s="3" t="str">
        <f ca="1">IF(C645&lt;&gt;"",INDEX('Team Indirect'!$T:$T,MATCH(C645,'Team Indirect'!$A:$A,0)),"")</f>
        <v/>
      </c>
      <c r="W645" s="3"/>
      <c r="X645" s="3"/>
      <c r="Y645" s="3" t="str">
        <f ca="1">IF($C645&lt;&gt;"",INDEX('Team Indirect'!$D:$D,MATCH($C645,'Team Indirect'!$A:$A,0)),"")</f>
        <v/>
      </c>
      <c r="Z645" s="3" t="str">
        <f ca="1">IF($C645&lt;&gt;"",INDEX('Team Indirect'!$E:$E,MATCH($C645,'Team Indirect'!$A:$A,0)),"")</f>
        <v/>
      </c>
      <c r="AA645" s="3" t="str">
        <f ca="1">IF($C645&lt;&gt;"",INDEX('Team Indirect'!$F:$F,MATCH($C645,'Team Indirect'!$A:$A,0)),"")</f>
        <v/>
      </c>
      <c r="AB645" s="3" t="str">
        <f t="shared" ca="1" si="10"/>
        <v/>
      </c>
      <c r="AC645" s="3">
        <f ca="1">IF(OR(AllocationUnits="Stories", AllocationUnits="Points"),'Work Indirect'!F645,F645/MAX('Work Indirect'!AB645,1))</f>
        <v>1</v>
      </c>
    </row>
    <row r="646" spans="1:29"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7" t="str">
        <f ca="1">IF(OFFSET('4. Work'!$A$1,ROW(D646)-1,COLUMN(D646)-1)="","",OFFSET('4. Work'!$A$1,ROW(D646)-1,COLUMN(D646)-1))</f>
        <v/>
      </c>
      <c r="E646" s="147"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I646" s="3" t="str">
        <f ca="1">IF(OFFSET('4. Work'!$A$1,ROW(I646)-1,COLUMN(I646)-1)="","",OFFSET('4. Work'!$A$1,ROW(I646)-1,COLUMN(I646)-1))</f>
        <v/>
      </c>
      <c r="T646" s="3" t="str">
        <f ca="1">IF(A646&lt;&gt;"",MAX('Initiative Indirect'!$T:$T)+(ROW(A646)-1),"")</f>
        <v/>
      </c>
      <c r="U646" s="3" t="str">
        <f ca="1">IF(B646&lt;&gt;"",INDEX('Initiative Indirect'!$T:$T,MATCH(B646,'Initiative Indirect'!$A:$A,0)),"")</f>
        <v/>
      </c>
      <c r="V646" s="3" t="str">
        <f ca="1">IF(C646&lt;&gt;"",INDEX('Team Indirect'!$T:$T,MATCH(C646,'Team Indirect'!$A:$A,0)),"")</f>
        <v/>
      </c>
      <c r="W646" s="3"/>
      <c r="X646" s="3"/>
      <c r="Y646" s="3" t="str">
        <f ca="1">IF($C646&lt;&gt;"",INDEX('Team Indirect'!$D:$D,MATCH($C646,'Team Indirect'!$A:$A,0)),"")</f>
        <v/>
      </c>
      <c r="Z646" s="3" t="str">
        <f ca="1">IF($C646&lt;&gt;"",INDEX('Team Indirect'!$E:$E,MATCH($C646,'Team Indirect'!$A:$A,0)),"")</f>
        <v/>
      </c>
      <c r="AA646" s="3" t="str">
        <f ca="1">IF($C646&lt;&gt;"",INDEX('Team Indirect'!$F:$F,MATCH($C646,'Team Indirect'!$A:$A,0)),"")</f>
        <v/>
      </c>
      <c r="AB646" s="3" t="str">
        <f t="shared" ca="1" si="10"/>
        <v/>
      </c>
      <c r="AC646" s="3">
        <f ca="1">IF(OR(AllocationUnits="Stories", AllocationUnits="Points"),'Work Indirect'!F646,F646/MAX('Work Indirect'!AB646,1))</f>
        <v>1</v>
      </c>
    </row>
    <row r="647" spans="1:29"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7" t="str">
        <f ca="1">IF(OFFSET('4. Work'!$A$1,ROW(D647)-1,COLUMN(D647)-1)="","",OFFSET('4. Work'!$A$1,ROW(D647)-1,COLUMN(D647)-1))</f>
        <v/>
      </c>
      <c r="E647" s="147"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I647" s="3" t="str">
        <f ca="1">IF(OFFSET('4. Work'!$A$1,ROW(I647)-1,COLUMN(I647)-1)="","",OFFSET('4. Work'!$A$1,ROW(I647)-1,COLUMN(I647)-1))</f>
        <v/>
      </c>
      <c r="T647" s="3" t="str">
        <f ca="1">IF(A647&lt;&gt;"",MAX('Initiative Indirect'!$T:$T)+(ROW(A647)-1),"")</f>
        <v/>
      </c>
      <c r="U647" s="3" t="str">
        <f ca="1">IF(B647&lt;&gt;"",INDEX('Initiative Indirect'!$T:$T,MATCH(B647,'Initiative Indirect'!$A:$A,0)),"")</f>
        <v/>
      </c>
      <c r="V647" s="3" t="str">
        <f ca="1">IF(C647&lt;&gt;"",INDEX('Team Indirect'!$T:$T,MATCH(C647,'Team Indirect'!$A:$A,0)),"")</f>
        <v/>
      </c>
      <c r="W647" s="3"/>
      <c r="X647" s="3"/>
      <c r="Y647" s="3" t="str">
        <f ca="1">IF($C647&lt;&gt;"",INDEX('Team Indirect'!$D:$D,MATCH($C647,'Team Indirect'!$A:$A,0)),"")</f>
        <v/>
      </c>
      <c r="Z647" s="3" t="str">
        <f ca="1">IF($C647&lt;&gt;"",INDEX('Team Indirect'!$E:$E,MATCH($C647,'Team Indirect'!$A:$A,0)),"")</f>
        <v/>
      </c>
      <c r="AA647" s="3" t="str">
        <f ca="1">IF($C647&lt;&gt;"",INDEX('Team Indirect'!$F:$F,MATCH($C647,'Team Indirect'!$A:$A,0)),"")</f>
        <v/>
      </c>
      <c r="AB647" s="3" t="str">
        <f t="shared" ca="1" si="10"/>
        <v/>
      </c>
      <c r="AC647" s="3">
        <f ca="1">IF(OR(AllocationUnits="Stories", AllocationUnits="Points"),'Work Indirect'!F647,F647/MAX('Work Indirect'!AB647,1))</f>
        <v>1</v>
      </c>
    </row>
    <row r="648" spans="1:29"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7" t="str">
        <f ca="1">IF(OFFSET('4. Work'!$A$1,ROW(D648)-1,COLUMN(D648)-1)="","",OFFSET('4. Work'!$A$1,ROW(D648)-1,COLUMN(D648)-1))</f>
        <v/>
      </c>
      <c r="E648" s="147"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I648" s="3" t="str">
        <f ca="1">IF(OFFSET('4. Work'!$A$1,ROW(I648)-1,COLUMN(I648)-1)="","",OFFSET('4. Work'!$A$1,ROW(I648)-1,COLUMN(I648)-1))</f>
        <v/>
      </c>
      <c r="T648" s="3" t="str">
        <f ca="1">IF(A648&lt;&gt;"",MAX('Initiative Indirect'!$T:$T)+(ROW(A648)-1),"")</f>
        <v/>
      </c>
      <c r="U648" s="3" t="str">
        <f ca="1">IF(B648&lt;&gt;"",INDEX('Initiative Indirect'!$T:$T,MATCH(B648,'Initiative Indirect'!$A:$A,0)),"")</f>
        <v/>
      </c>
      <c r="V648" s="3" t="str">
        <f ca="1">IF(C648&lt;&gt;"",INDEX('Team Indirect'!$T:$T,MATCH(C648,'Team Indirect'!$A:$A,0)),"")</f>
        <v/>
      </c>
      <c r="W648" s="3"/>
      <c r="X648" s="3"/>
      <c r="Y648" s="3" t="str">
        <f ca="1">IF($C648&lt;&gt;"",INDEX('Team Indirect'!$D:$D,MATCH($C648,'Team Indirect'!$A:$A,0)),"")</f>
        <v/>
      </c>
      <c r="Z648" s="3" t="str">
        <f ca="1">IF($C648&lt;&gt;"",INDEX('Team Indirect'!$E:$E,MATCH($C648,'Team Indirect'!$A:$A,0)),"")</f>
        <v/>
      </c>
      <c r="AA648" s="3" t="str">
        <f ca="1">IF($C648&lt;&gt;"",INDEX('Team Indirect'!$F:$F,MATCH($C648,'Team Indirect'!$A:$A,0)),"")</f>
        <v/>
      </c>
      <c r="AB648" s="3" t="str">
        <f t="shared" ca="1" si="10"/>
        <v/>
      </c>
      <c r="AC648" s="3">
        <f ca="1">IF(OR(AllocationUnits="Stories", AllocationUnits="Points"),'Work Indirect'!F648,F648/MAX('Work Indirect'!AB648,1))</f>
        <v>1</v>
      </c>
    </row>
    <row r="649" spans="1:29"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7" t="str">
        <f ca="1">IF(OFFSET('4. Work'!$A$1,ROW(D649)-1,COLUMN(D649)-1)="","",OFFSET('4. Work'!$A$1,ROW(D649)-1,COLUMN(D649)-1))</f>
        <v/>
      </c>
      <c r="E649" s="147"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I649" s="3" t="str">
        <f ca="1">IF(OFFSET('4. Work'!$A$1,ROW(I649)-1,COLUMN(I649)-1)="","",OFFSET('4. Work'!$A$1,ROW(I649)-1,COLUMN(I649)-1))</f>
        <v/>
      </c>
      <c r="T649" s="3" t="str">
        <f ca="1">IF(A649&lt;&gt;"",MAX('Initiative Indirect'!$T:$T)+(ROW(A649)-1),"")</f>
        <v/>
      </c>
      <c r="U649" s="3" t="str">
        <f ca="1">IF(B649&lt;&gt;"",INDEX('Initiative Indirect'!$T:$T,MATCH(B649,'Initiative Indirect'!$A:$A,0)),"")</f>
        <v/>
      </c>
      <c r="V649" s="3" t="str">
        <f ca="1">IF(C649&lt;&gt;"",INDEX('Team Indirect'!$T:$T,MATCH(C649,'Team Indirect'!$A:$A,0)),"")</f>
        <v/>
      </c>
      <c r="W649" s="3"/>
      <c r="X649" s="3"/>
      <c r="Y649" s="3" t="str">
        <f ca="1">IF($C649&lt;&gt;"",INDEX('Team Indirect'!$D:$D,MATCH($C649,'Team Indirect'!$A:$A,0)),"")</f>
        <v/>
      </c>
      <c r="Z649" s="3" t="str">
        <f ca="1">IF($C649&lt;&gt;"",INDEX('Team Indirect'!$E:$E,MATCH($C649,'Team Indirect'!$A:$A,0)),"")</f>
        <v/>
      </c>
      <c r="AA649" s="3" t="str">
        <f ca="1">IF($C649&lt;&gt;"",INDEX('Team Indirect'!$F:$F,MATCH($C649,'Team Indirect'!$A:$A,0)),"")</f>
        <v/>
      </c>
      <c r="AB649" s="3" t="str">
        <f t="shared" ca="1" si="10"/>
        <v/>
      </c>
      <c r="AC649" s="3">
        <f ca="1">IF(OR(AllocationUnits="Stories", AllocationUnits="Points"),'Work Indirect'!F649,F649/MAX('Work Indirect'!AB649,1))</f>
        <v>1</v>
      </c>
    </row>
    <row r="650" spans="1:29"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7" t="str">
        <f ca="1">IF(OFFSET('4. Work'!$A$1,ROW(D650)-1,COLUMN(D650)-1)="","",OFFSET('4. Work'!$A$1,ROW(D650)-1,COLUMN(D650)-1))</f>
        <v/>
      </c>
      <c r="E650" s="147"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I650" s="3" t="str">
        <f ca="1">IF(OFFSET('4. Work'!$A$1,ROW(I650)-1,COLUMN(I650)-1)="","",OFFSET('4. Work'!$A$1,ROW(I650)-1,COLUMN(I650)-1))</f>
        <v/>
      </c>
      <c r="T650" s="3" t="str">
        <f ca="1">IF(A650&lt;&gt;"",MAX('Initiative Indirect'!$T:$T)+(ROW(A650)-1),"")</f>
        <v/>
      </c>
      <c r="U650" s="3" t="str">
        <f ca="1">IF(B650&lt;&gt;"",INDEX('Initiative Indirect'!$T:$T,MATCH(B650,'Initiative Indirect'!$A:$A,0)),"")</f>
        <v/>
      </c>
      <c r="V650" s="3" t="str">
        <f ca="1">IF(C650&lt;&gt;"",INDEX('Team Indirect'!$T:$T,MATCH(C650,'Team Indirect'!$A:$A,0)),"")</f>
        <v/>
      </c>
      <c r="W650" s="3"/>
      <c r="X650" s="3"/>
      <c r="Y650" s="3" t="str">
        <f ca="1">IF($C650&lt;&gt;"",INDEX('Team Indirect'!$D:$D,MATCH($C650,'Team Indirect'!$A:$A,0)),"")</f>
        <v/>
      </c>
      <c r="Z650" s="3" t="str">
        <f ca="1">IF($C650&lt;&gt;"",INDEX('Team Indirect'!$E:$E,MATCH($C650,'Team Indirect'!$A:$A,0)),"")</f>
        <v/>
      </c>
      <c r="AA650" s="3" t="str">
        <f ca="1">IF($C650&lt;&gt;"",INDEX('Team Indirect'!$F:$F,MATCH($C650,'Team Indirect'!$A:$A,0)),"")</f>
        <v/>
      </c>
      <c r="AB650" s="3" t="str">
        <f t="shared" ca="1" si="10"/>
        <v/>
      </c>
      <c r="AC650" s="3">
        <f ca="1">IF(OR(AllocationUnits="Stories", AllocationUnits="Points"),'Work Indirect'!F650,F650/MAX('Work Indirect'!AB650,1))</f>
        <v>1</v>
      </c>
    </row>
    <row r="651" spans="1:29"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7" t="str">
        <f ca="1">IF(OFFSET('4. Work'!$A$1,ROW(D651)-1,COLUMN(D651)-1)="","",OFFSET('4. Work'!$A$1,ROW(D651)-1,COLUMN(D651)-1))</f>
        <v/>
      </c>
      <c r="E651" s="147"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I651" s="3" t="str">
        <f ca="1">IF(OFFSET('4. Work'!$A$1,ROW(I651)-1,COLUMN(I651)-1)="","",OFFSET('4. Work'!$A$1,ROW(I651)-1,COLUMN(I651)-1))</f>
        <v/>
      </c>
      <c r="T651" s="3" t="str">
        <f ca="1">IF(A651&lt;&gt;"",MAX('Initiative Indirect'!$T:$T)+(ROW(A651)-1),"")</f>
        <v/>
      </c>
      <c r="U651" s="3" t="str">
        <f ca="1">IF(B651&lt;&gt;"",INDEX('Initiative Indirect'!$T:$T,MATCH(B651,'Initiative Indirect'!$A:$A,0)),"")</f>
        <v/>
      </c>
      <c r="V651" s="3" t="str">
        <f ca="1">IF(C651&lt;&gt;"",INDEX('Team Indirect'!$T:$T,MATCH(C651,'Team Indirect'!$A:$A,0)),"")</f>
        <v/>
      </c>
      <c r="W651" s="3"/>
      <c r="X651" s="3"/>
      <c r="Y651" s="3" t="str">
        <f ca="1">IF($C651&lt;&gt;"",INDEX('Team Indirect'!$D:$D,MATCH($C651,'Team Indirect'!$A:$A,0)),"")</f>
        <v/>
      </c>
      <c r="Z651" s="3" t="str">
        <f ca="1">IF($C651&lt;&gt;"",INDEX('Team Indirect'!$E:$E,MATCH($C651,'Team Indirect'!$A:$A,0)),"")</f>
        <v/>
      </c>
      <c r="AA651" s="3" t="str">
        <f ca="1">IF($C651&lt;&gt;"",INDEX('Team Indirect'!$F:$F,MATCH($C651,'Team Indirect'!$A:$A,0)),"")</f>
        <v/>
      </c>
      <c r="AB651" s="3" t="str">
        <f t="shared" ca="1" si="10"/>
        <v/>
      </c>
      <c r="AC651" s="3">
        <f ca="1">IF(OR(AllocationUnits="Stories", AllocationUnits="Points"),'Work Indirect'!F651,F651/MAX('Work Indirect'!AB651,1))</f>
        <v>1</v>
      </c>
    </row>
    <row r="652" spans="1:29"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7" t="str">
        <f ca="1">IF(OFFSET('4. Work'!$A$1,ROW(D652)-1,COLUMN(D652)-1)="","",OFFSET('4. Work'!$A$1,ROW(D652)-1,COLUMN(D652)-1))</f>
        <v/>
      </c>
      <c r="E652" s="147"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I652" s="3" t="str">
        <f ca="1">IF(OFFSET('4. Work'!$A$1,ROW(I652)-1,COLUMN(I652)-1)="","",OFFSET('4. Work'!$A$1,ROW(I652)-1,COLUMN(I652)-1))</f>
        <v/>
      </c>
      <c r="T652" s="3" t="str">
        <f ca="1">IF(A652&lt;&gt;"",MAX('Initiative Indirect'!$T:$T)+(ROW(A652)-1),"")</f>
        <v/>
      </c>
      <c r="U652" s="3" t="str">
        <f ca="1">IF(B652&lt;&gt;"",INDEX('Initiative Indirect'!$T:$T,MATCH(B652,'Initiative Indirect'!$A:$A,0)),"")</f>
        <v/>
      </c>
      <c r="V652" s="3" t="str">
        <f ca="1">IF(C652&lt;&gt;"",INDEX('Team Indirect'!$T:$T,MATCH(C652,'Team Indirect'!$A:$A,0)),"")</f>
        <v/>
      </c>
      <c r="W652" s="3"/>
      <c r="X652" s="3"/>
      <c r="Y652" s="3" t="str">
        <f ca="1">IF($C652&lt;&gt;"",INDEX('Team Indirect'!$D:$D,MATCH($C652,'Team Indirect'!$A:$A,0)),"")</f>
        <v/>
      </c>
      <c r="Z652" s="3" t="str">
        <f ca="1">IF($C652&lt;&gt;"",INDEX('Team Indirect'!$E:$E,MATCH($C652,'Team Indirect'!$A:$A,0)),"")</f>
        <v/>
      </c>
      <c r="AA652" s="3" t="str">
        <f ca="1">IF($C652&lt;&gt;"",INDEX('Team Indirect'!$F:$F,MATCH($C652,'Team Indirect'!$A:$A,0)),"")</f>
        <v/>
      </c>
      <c r="AB652" s="3" t="str">
        <f t="shared" ca="1" si="10"/>
        <v/>
      </c>
      <c r="AC652" s="3">
        <f ca="1">IF(OR(AllocationUnits="Stories", AllocationUnits="Points"),'Work Indirect'!F652,F652/MAX('Work Indirect'!AB652,1))</f>
        <v>1</v>
      </c>
    </row>
    <row r="653" spans="1:29"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7" t="str">
        <f ca="1">IF(OFFSET('4. Work'!$A$1,ROW(D653)-1,COLUMN(D653)-1)="","",OFFSET('4. Work'!$A$1,ROW(D653)-1,COLUMN(D653)-1))</f>
        <v/>
      </c>
      <c r="E653" s="147"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I653" s="3" t="str">
        <f ca="1">IF(OFFSET('4. Work'!$A$1,ROW(I653)-1,COLUMN(I653)-1)="","",OFFSET('4. Work'!$A$1,ROW(I653)-1,COLUMN(I653)-1))</f>
        <v/>
      </c>
      <c r="T653" s="3" t="str">
        <f ca="1">IF(A653&lt;&gt;"",MAX('Initiative Indirect'!$T:$T)+(ROW(A653)-1),"")</f>
        <v/>
      </c>
      <c r="U653" s="3" t="str">
        <f ca="1">IF(B653&lt;&gt;"",INDEX('Initiative Indirect'!$T:$T,MATCH(B653,'Initiative Indirect'!$A:$A,0)),"")</f>
        <v/>
      </c>
      <c r="V653" s="3" t="str">
        <f ca="1">IF(C653&lt;&gt;"",INDEX('Team Indirect'!$T:$T,MATCH(C653,'Team Indirect'!$A:$A,0)),"")</f>
        <v/>
      </c>
      <c r="W653" s="3"/>
      <c r="X653" s="3"/>
      <c r="Y653" s="3" t="str">
        <f ca="1">IF($C653&lt;&gt;"",INDEX('Team Indirect'!$D:$D,MATCH($C653,'Team Indirect'!$A:$A,0)),"")</f>
        <v/>
      </c>
      <c r="Z653" s="3" t="str">
        <f ca="1">IF($C653&lt;&gt;"",INDEX('Team Indirect'!$E:$E,MATCH($C653,'Team Indirect'!$A:$A,0)),"")</f>
        <v/>
      </c>
      <c r="AA653" s="3" t="str">
        <f ca="1">IF($C653&lt;&gt;"",INDEX('Team Indirect'!$F:$F,MATCH($C653,'Team Indirect'!$A:$A,0)),"")</f>
        <v/>
      </c>
      <c r="AB653" s="3" t="str">
        <f t="shared" ca="1" si="10"/>
        <v/>
      </c>
      <c r="AC653" s="3">
        <f ca="1">IF(OR(AllocationUnits="Stories", AllocationUnits="Points"),'Work Indirect'!F653,F653/MAX('Work Indirect'!AB653,1))</f>
        <v>1</v>
      </c>
    </row>
    <row r="654" spans="1:29"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7" t="str">
        <f ca="1">IF(OFFSET('4. Work'!$A$1,ROW(D654)-1,COLUMN(D654)-1)="","",OFFSET('4. Work'!$A$1,ROW(D654)-1,COLUMN(D654)-1))</f>
        <v/>
      </c>
      <c r="E654" s="147"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I654" s="3" t="str">
        <f ca="1">IF(OFFSET('4. Work'!$A$1,ROW(I654)-1,COLUMN(I654)-1)="","",OFFSET('4. Work'!$A$1,ROW(I654)-1,COLUMN(I654)-1))</f>
        <v/>
      </c>
      <c r="T654" s="3" t="str">
        <f ca="1">IF(A654&lt;&gt;"",MAX('Initiative Indirect'!$T:$T)+(ROW(A654)-1),"")</f>
        <v/>
      </c>
      <c r="U654" s="3" t="str">
        <f ca="1">IF(B654&lt;&gt;"",INDEX('Initiative Indirect'!$T:$T,MATCH(B654,'Initiative Indirect'!$A:$A,0)),"")</f>
        <v/>
      </c>
      <c r="V654" s="3" t="str">
        <f ca="1">IF(C654&lt;&gt;"",INDEX('Team Indirect'!$T:$T,MATCH(C654,'Team Indirect'!$A:$A,0)),"")</f>
        <v/>
      </c>
      <c r="W654" s="3"/>
      <c r="X654" s="3"/>
      <c r="Y654" s="3" t="str">
        <f ca="1">IF($C654&lt;&gt;"",INDEX('Team Indirect'!$D:$D,MATCH($C654,'Team Indirect'!$A:$A,0)),"")</f>
        <v/>
      </c>
      <c r="Z654" s="3" t="str">
        <f ca="1">IF($C654&lt;&gt;"",INDEX('Team Indirect'!$E:$E,MATCH($C654,'Team Indirect'!$A:$A,0)),"")</f>
        <v/>
      </c>
      <c r="AA654" s="3" t="str">
        <f ca="1">IF($C654&lt;&gt;"",INDEX('Team Indirect'!$F:$F,MATCH($C654,'Team Indirect'!$A:$A,0)),"")</f>
        <v/>
      </c>
      <c r="AB654" s="3" t="str">
        <f t="shared" ca="1" si="10"/>
        <v/>
      </c>
      <c r="AC654" s="3">
        <f ca="1">IF(OR(AllocationUnits="Stories", AllocationUnits="Points"),'Work Indirect'!F654,F654/MAX('Work Indirect'!AB654,1))</f>
        <v>1</v>
      </c>
    </row>
    <row r="655" spans="1:29"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7" t="str">
        <f ca="1">IF(OFFSET('4. Work'!$A$1,ROW(D655)-1,COLUMN(D655)-1)="","",OFFSET('4. Work'!$A$1,ROW(D655)-1,COLUMN(D655)-1))</f>
        <v/>
      </c>
      <c r="E655" s="147"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I655" s="3" t="str">
        <f ca="1">IF(OFFSET('4. Work'!$A$1,ROW(I655)-1,COLUMN(I655)-1)="","",OFFSET('4. Work'!$A$1,ROW(I655)-1,COLUMN(I655)-1))</f>
        <v/>
      </c>
      <c r="T655" s="3" t="str">
        <f ca="1">IF(A655&lt;&gt;"",MAX('Initiative Indirect'!$T:$T)+(ROW(A655)-1),"")</f>
        <v/>
      </c>
      <c r="U655" s="3" t="str">
        <f ca="1">IF(B655&lt;&gt;"",INDEX('Initiative Indirect'!$T:$T,MATCH(B655,'Initiative Indirect'!$A:$A,0)),"")</f>
        <v/>
      </c>
      <c r="V655" s="3" t="str">
        <f ca="1">IF(C655&lt;&gt;"",INDEX('Team Indirect'!$T:$T,MATCH(C655,'Team Indirect'!$A:$A,0)),"")</f>
        <v/>
      </c>
      <c r="W655" s="3"/>
      <c r="X655" s="3"/>
      <c r="Y655" s="3" t="str">
        <f ca="1">IF($C655&lt;&gt;"",INDEX('Team Indirect'!$D:$D,MATCH($C655,'Team Indirect'!$A:$A,0)),"")</f>
        <v/>
      </c>
      <c r="Z655" s="3" t="str">
        <f ca="1">IF($C655&lt;&gt;"",INDEX('Team Indirect'!$E:$E,MATCH($C655,'Team Indirect'!$A:$A,0)),"")</f>
        <v/>
      </c>
      <c r="AA655" s="3" t="str">
        <f ca="1">IF($C655&lt;&gt;"",INDEX('Team Indirect'!$F:$F,MATCH($C655,'Team Indirect'!$A:$A,0)),"")</f>
        <v/>
      </c>
      <c r="AB655" s="3" t="str">
        <f t="shared" ca="1" si="10"/>
        <v/>
      </c>
      <c r="AC655" s="3">
        <f ca="1">IF(OR(AllocationUnits="Stories", AllocationUnits="Points"),'Work Indirect'!F655,F655/MAX('Work Indirect'!AB655,1))</f>
        <v>1</v>
      </c>
    </row>
    <row r="656" spans="1:29"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7" t="str">
        <f ca="1">IF(OFFSET('4. Work'!$A$1,ROW(D656)-1,COLUMN(D656)-1)="","",OFFSET('4. Work'!$A$1,ROW(D656)-1,COLUMN(D656)-1))</f>
        <v/>
      </c>
      <c r="E656" s="147"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I656" s="3" t="str">
        <f ca="1">IF(OFFSET('4. Work'!$A$1,ROW(I656)-1,COLUMN(I656)-1)="","",OFFSET('4. Work'!$A$1,ROW(I656)-1,COLUMN(I656)-1))</f>
        <v/>
      </c>
      <c r="T656" s="3" t="str">
        <f ca="1">IF(A656&lt;&gt;"",MAX('Initiative Indirect'!$T:$T)+(ROW(A656)-1),"")</f>
        <v/>
      </c>
      <c r="U656" s="3" t="str">
        <f ca="1">IF(B656&lt;&gt;"",INDEX('Initiative Indirect'!$T:$T,MATCH(B656,'Initiative Indirect'!$A:$A,0)),"")</f>
        <v/>
      </c>
      <c r="V656" s="3" t="str">
        <f ca="1">IF(C656&lt;&gt;"",INDEX('Team Indirect'!$T:$T,MATCH(C656,'Team Indirect'!$A:$A,0)),"")</f>
        <v/>
      </c>
      <c r="W656" s="3"/>
      <c r="X656" s="3"/>
      <c r="Y656" s="3" t="str">
        <f ca="1">IF($C656&lt;&gt;"",INDEX('Team Indirect'!$D:$D,MATCH($C656,'Team Indirect'!$A:$A,0)),"")</f>
        <v/>
      </c>
      <c r="Z656" s="3" t="str">
        <f ca="1">IF($C656&lt;&gt;"",INDEX('Team Indirect'!$E:$E,MATCH($C656,'Team Indirect'!$A:$A,0)),"")</f>
        <v/>
      </c>
      <c r="AA656" s="3" t="str">
        <f ca="1">IF($C656&lt;&gt;"",INDEX('Team Indirect'!$F:$F,MATCH($C656,'Team Indirect'!$A:$A,0)),"")</f>
        <v/>
      </c>
      <c r="AB656" s="3" t="str">
        <f t="shared" ca="1" si="10"/>
        <v/>
      </c>
      <c r="AC656" s="3">
        <f ca="1">IF(OR(AllocationUnits="Stories", AllocationUnits="Points"),'Work Indirect'!F656,F656/MAX('Work Indirect'!AB656,1))</f>
        <v>1</v>
      </c>
    </row>
    <row r="657" spans="1:29"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7" t="str">
        <f ca="1">IF(OFFSET('4. Work'!$A$1,ROW(D657)-1,COLUMN(D657)-1)="","",OFFSET('4. Work'!$A$1,ROW(D657)-1,COLUMN(D657)-1))</f>
        <v/>
      </c>
      <c r="E657" s="147"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I657" s="3" t="str">
        <f ca="1">IF(OFFSET('4. Work'!$A$1,ROW(I657)-1,COLUMN(I657)-1)="","",OFFSET('4. Work'!$A$1,ROW(I657)-1,COLUMN(I657)-1))</f>
        <v/>
      </c>
      <c r="T657" s="3" t="str">
        <f ca="1">IF(A657&lt;&gt;"",MAX('Initiative Indirect'!$T:$T)+(ROW(A657)-1),"")</f>
        <v/>
      </c>
      <c r="U657" s="3" t="str">
        <f ca="1">IF(B657&lt;&gt;"",INDEX('Initiative Indirect'!$T:$T,MATCH(B657,'Initiative Indirect'!$A:$A,0)),"")</f>
        <v/>
      </c>
      <c r="V657" s="3" t="str">
        <f ca="1">IF(C657&lt;&gt;"",INDEX('Team Indirect'!$T:$T,MATCH(C657,'Team Indirect'!$A:$A,0)),"")</f>
        <v/>
      </c>
      <c r="W657" s="3"/>
      <c r="X657" s="3"/>
      <c r="Y657" s="3" t="str">
        <f ca="1">IF($C657&lt;&gt;"",INDEX('Team Indirect'!$D:$D,MATCH($C657,'Team Indirect'!$A:$A,0)),"")</f>
        <v/>
      </c>
      <c r="Z657" s="3" t="str">
        <f ca="1">IF($C657&lt;&gt;"",INDEX('Team Indirect'!$E:$E,MATCH($C657,'Team Indirect'!$A:$A,0)),"")</f>
        <v/>
      </c>
      <c r="AA657" s="3" t="str">
        <f ca="1">IF($C657&lt;&gt;"",INDEX('Team Indirect'!$F:$F,MATCH($C657,'Team Indirect'!$A:$A,0)),"")</f>
        <v/>
      </c>
      <c r="AB657" s="3" t="str">
        <f t="shared" ca="1" si="10"/>
        <v/>
      </c>
      <c r="AC657" s="3">
        <f ca="1">IF(OR(AllocationUnits="Stories", AllocationUnits="Points"),'Work Indirect'!F657,F657/MAX('Work Indirect'!AB657,1))</f>
        <v>1</v>
      </c>
    </row>
    <row r="658" spans="1:29"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7" t="str">
        <f ca="1">IF(OFFSET('4. Work'!$A$1,ROW(D658)-1,COLUMN(D658)-1)="","",OFFSET('4. Work'!$A$1,ROW(D658)-1,COLUMN(D658)-1))</f>
        <v/>
      </c>
      <c r="E658" s="147"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I658" s="3" t="str">
        <f ca="1">IF(OFFSET('4. Work'!$A$1,ROW(I658)-1,COLUMN(I658)-1)="","",OFFSET('4. Work'!$A$1,ROW(I658)-1,COLUMN(I658)-1))</f>
        <v/>
      </c>
      <c r="T658" s="3" t="str">
        <f ca="1">IF(A658&lt;&gt;"",MAX('Initiative Indirect'!$T:$T)+(ROW(A658)-1),"")</f>
        <v/>
      </c>
      <c r="U658" s="3" t="str">
        <f ca="1">IF(B658&lt;&gt;"",INDEX('Initiative Indirect'!$T:$T,MATCH(B658,'Initiative Indirect'!$A:$A,0)),"")</f>
        <v/>
      </c>
      <c r="V658" s="3" t="str">
        <f ca="1">IF(C658&lt;&gt;"",INDEX('Team Indirect'!$T:$T,MATCH(C658,'Team Indirect'!$A:$A,0)),"")</f>
        <v/>
      </c>
      <c r="W658" s="3"/>
      <c r="X658" s="3"/>
      <c r="Y658" s="3" t="str">
        <f ca="1">IF($C658&lt;&gt;"",INDEX('Team Indirect'!$D:$D,MATCH($C658,'Team Indirect'!$A:$A,0)),"")</f>
        <v/>
      </c>
      <c r="Z658" s="3" t="str">
        <f ca="1">IF($C658&lt;&gt;"",INDEX('Team Indirect'!$E:$E,MATCH($C658,'Team Indirect'!$A:$A,0)),"")</f>
        <v/>
      </c>
      <c r="AA658" s="3" t="str">
        <f ca="1">IF($C658&lt;&gt;"",INDEX('Team Indirect'!$F:$F,MATCH($C658,'Team Indirect'!$A:$A,0)),"")</f>
        <v/>
      </c>
      <c r="AB658" s="3" t="str">
        <f t="shared" ca="1" si="10"/>
        <v/>
      </c>
      <c r="AC658" s="3">
        <f ca="1">IF(OR(AllocationUnits="Stories", AllocationUnits="Points"),'Work Indirect'!F658,F658/MAX('Work Indirect'!AB658,1))</f>
        <v>1</v>
      </c>
    </row>
    <row r="659" spans="1:29"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7" t="str">
        <f ca="1">IF(OFFSET('4. Work'!$A$1,ROW(D659)-1,COLUMN(D659)-1)="","",OFFSET('4. Work'!$A$1,ROW(D659)-1,COLUMN(D659)-1))</f>
        <v/>
      </c>
      <c r="E659" s="147"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I659" s="3" t="str">
        <f ca="1">IF(OFFSET('4. Work'!$A$1,ROW(I659)-1,COLUMN(I659)-1)="","",OFFSET('4. Work'!$A$1,ROW(I659)-1,COLUMN(I659)-1))</f>
        <v/>
      </c>
      <c r="T659" s="3" t="str">
        <f ca="1">IF(A659&lt;&gt;"",MAX('Initiative Indirect'!$T:$T)+(ROW(A659)-1),"")</f>
        <v/>
      </c>
      <c r="U659" s="3" t="str">
        <f ca="1">IF(B659&lt;&gt;"",INDEX('Initiative Indirect'!$T:$T,MATCH(B659,'Initiative Indirect'!$A:$A,0)),"")</f>
        <v/>
      </c>
      <c r="V659" s="3" t="str">
        <f ca="1">IF(C659&lt;&gt;"",INDEX('Team Indirect'!$T:$T,MATCH(C659,'Team Indirect'!$A:$A,0)),"")</f>
        <v/>
      </c>
      <c r="W659" s="3"/>
      <c r="X659" s="3"/>
      <c r="Y659" s="3" t="str">
        <f ca="1">IF($C659&lt;&gt;"",INDEX('Team Indirect'!$D:$D,MATCH($C659,'Team Indirect'!$A:$A,0)),"")</f>
        <v/>
      </c>
      <c r="Z659" s="3" t="str">
        <f ca="1">IF($C659&lt;&gt;"",INDEX('Team Indirect'!$E:$E,MATCH($C659,'Team Indirect'!$A:$A,0)),"")</f>
        <v/>
      </c>
      <c r="AA659" s="3" t="str">
        <f ca="1">IF($C659&lt;&gt;"",INDEX('Team Indirect'!$F:$F,MATCH($C659,'Team Indirect'!$A:$A,0)),"")</f>
        <v/>
      </c>
      <c r="AB659" s="3" t="str">
        <f t="shared" ca="1" si="10"/>
        <v/>
      </c>
      <c r="AC659" s="3">
        <f ca="1">IF(OR(AllocationUnits="Stories", AllocationUnits="Points"),'Work Indirect'!F659,F659/MAX('Work Indirect'!AB659,1))</f>
        <v>1</v>
      </c>
    </row>
    <row r="660" spans="1:29"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7" t="str">
        <f ca="1">IF(OFFSET('4. Work'!$A$1,ROW(D660)-1,COLUMN(D660)-1)="","",OFFSET('4. Work'!$A$1,ROW(D660)-1,COLUMN(D660)-1))</f>
        <v/>
      </c>
      <c r="E660" s="147"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I660" s="3" t="str">
        <f ca="1">IF(OFFSET('4. Work'!$A$1,ROW(I660)-1,COLUMN(I660)-1)="","",OFFSET('4. Work'!$A$1,ROW(I660)-1,COLUMN(I660)-1))</f>
        <v/>
      </c>
      <c r="T660" s="3" t="str">
        <f ca="1">IF(A660&lt;&gt;"",MAX('Initiative Indirect'!$T:$T)+(ROW(A660)-1),"")</f>
        <v/>
      </c>
      <c r="U660" s="3" t="str">
        <f ca="1">IF(B660&lt;&gt;"",INDEX('Initiative Indirect'!$T:$T,MATCH(B660,'Initiative Indirect'!$A:$A,0)),"")</f>
        <v/>
      </c>
      <c r="V660" s="3" t="str">
        <f ca="1">IF(C660&lt;&gt;"",INDEX('Team Indirect'!$T:$T,MATCH(C660,'Team Indirect'!$A:$A,0)),"")</f>
        <v/>
      </c>
      <c r="W660" s="3"/>
      <c r="X660" s="3"/>
      <c r="Y660" s="3" t="str">
        <f ca="1">IF($C660&lt;&gt;"",INDEX('Team Indirect'!$D:$D,MATCH($C660,'Team Indirect'!$A:$A,0)),"")</f>
        <v/>
      </c>
      <c r="Z660" s="3" t="str">
        <f ca="1">IF($C660&lt;&gt;"",INDEX('Team Indirect'!$E:$E,MATCH($C660,'Team Indirect'!$A:$A,0)),"")</f>
        <v/>
      </c>
      <c r="AA660" s="3" t="str">
        <f ca="1">IF($C660&lt;&gt;"",INDEX('Team Indirect'!$F:$F,MATCH($C660,'Team Indirect'!$A:$A,0)),"")</f>
        <v/>
      </c>
      <c r="AB660" s="3" t="str">
        <f t="shared" ca="1" si="10"/>
        <v/>
      </c>
      <c r="AC660" s="3">
        <f ca="1">IF(OR(AllocationUnits="Stories", AllocationUnits="Points"),'Work Indirect'!F660,F660/MAX('Work Indirect'!AB660,1))</f>
        <v>1</v>
      </c>
    </row>
    <row r="661" spans="1:29"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7" t="str">
        <f ca="1">IF(OFFSET('4. Work'!$A$1,ROW(D661)-1,COLUMN(D661)-1)="","",OFFSET('4. Work'!$A$1,ROW(D661)-1,COLUMN(D661)-1))</f>
        <v/>
      </c>
      <c r="E661" s="147"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I661" s="3" t="str">
        <f ca="1">IF(OFFSET('4. Work'!$A$1,ROW(I661)-1,COLUMN(I661)-1)="","",OFFSET('4. Work'!$A$1,ROW(I661)-1,COLUMN(I661)-1))</f>
        <v/>
      </c>
      <c r="T661" s="3" t="str">
        <f ca="1">IF(A661&lt;&gt;"",MAX('Initiative Indirect'!$T:$T)+(ROW(A661)-1),"")</f>
        <v/>
      </c>
      <c r="U661" s="3" t="str">
        <f ca="1">IF(B661&lt;&gt;"",INDEX('Initiative Indirect'!$T:$T,MATCH(B661,'Initiative Indirect'!$A:$A,0)),"")</f>
        <v/>
      </c>
      <c r="V661" s="3" t="str">
        <f ca="1">IF(C661&lt;&gt;"",INDEX('Team Indirect'!$T:$T,MATCH(C661,'Team Indirect'!$A:$A,0)),"")</f>
        <v/>
      </c>
      <c r="W661" s="3"/>
      <c r="X661" s="3"/>
      <c r="Y661" s="3" t="str">
        <f ca="1">IF($C661&lt;&gt;"",INDEX('Team Indirect'!$D:$D,MATCH($C661,'Team Indirect'!$A:$A,0)),"")</f>
        <v/>
      </c>
      <c r="Z661" s="3" t="str">
        <f ca="1">IF($C661&lt;&gt;"",INDEX('Team Indirect'!$E:$E,MATCH($C661,'Team Indirect'!$A:$A,0)),"")</f>
        <v/>
      </c>
      <c r="AA661" s="3" t="str">
        <f ca="1">IF($C661&lt;&gt;"",INDEX('Team Indirect'!$F:$F,MATCH($C661,'Team Indirect'!$A:$A,0)),"")</f>
        <v/>
      </c>
      <c r="AB661" s="3" t="str">
        <f t="shared" ca="1" si="10"/>
        <v/>
      </c>
      <c r="AC661" s="3">
        <f ca="1">IF(OR(AllocationUnits="Stories", AllocationUnits="Points"),'Work Indirect'!F661,F661/MAX('Work Indirect'!AB661,1))</f>
        <v>1</v>
      </c>
    </row>
    <row r="662" spans="1:29"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7" t="str">
        <f ca="1">IF(OFFSET('4. Work'!$A$1,ROW(D662)-1,COLUMN(D662)-1)="","",OFFSET('4. Work'!$A$1,ROW(D662)-1,COLUMN(D662)-1))</f>
        <v/>
      </c>
      <c r="E662" s="147"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I662" s="3" t="str">
        <f ca="1">IF(OFFSET('4. Work'!$A$1,ROW(I662)-1,COLUMN(I662)-1)="","",OFFSET('4. Work'!$A$1,ROW(I662)-1,COLUMN(I662)-1))</f>
        <v/>
      </c>
      <c r="T662" s="3" t="str">
        <f ca="1">IF(A662&lt;&gt;"",MAX('Initiative Indirect'!$T:$T)+(ROW(A662)-1),"")</f>
        <v/>
      </c>
      <c r="U662" s="3" t="str">
        <f ca="1">IF(B662&lt;&gt;"",INDEX('Initiative Indirect'!$T:$T,MATCH(B662,'Initiative Indirect'!$A:$A,0)),"")</f>
        <v/>
      </c>
      <c r="V662" s="3" t="str">
        <f ca="1">IF(C662&lt;&gt;"",INDEX('Team Indirect'!$T:$T,MATCH(C662,'Team Indirect'!$A:$A,0)),"")</f>
        <v/>
      </c>
      <c r="W662" s="3"/>
      <c r="X662" s="3"/>
      <c r="Y662" s="3" t="str">
        <f ca="1">IF($C662&lt;&gt;"",INDEX('Team Indirect'!$D:$D,MATCH($C662,'Team Indirect'!$A:$A,0)),"")</f>
        <v/>
      </c>
      <c r="Z662" s="3" t="str">
        <f ca="1">IF($C662&lt;&gt;"",INDEX('Team Indirect'!$E:$E,MATCH($C662,'Team Indirect'!$A:$A,0)),"")</f>
        <v/>
      </c>
      <c r="AA662" s="3" t="str">
        <f ca="1">IF($C662&lt;&gt;"",INDEX('Team Indirect'!$F:$F,MATCH($C662,'Team Indirect'!$A:$A,0)),"")</f>
        <v/>
      </c>
      <c r="AB662" s="3" t="str">
        <f t="shared" ca="1" si="10"/>
        <v/>
      </c>
      <c r="AC662" s="3">
        <f ca="1">IF(OR(AllocationUnits="Stories", AllocationUnits="Points"),'Work Indirect'!F662,F662/MAX('Work Indirect'!AB662,1))</f>
        <v>1</v>
      </c>
    </row>
    <row r="663" spans="1:29"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7" t="str">
        <f ca="1">IF(OFFSET('4. Work'!$A$1,ROW(D663)-1,COLUMN(D663)-1)="","",OFFSET('4. Work'!$A$1,ROW(D663)-1,COLUMN(D663)-1))</f>
        <v/>
      </c>
      <c r="E663" s="147"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I663" s="3" t="str">
        <f ca="1">IF(OFFSET('4. Work'!$A$1,ROW(I663)-1,COLUMN(I663)-1)="","",OFFSET('4. Work'!$A$1,ROW(I663)-1,COLUMN(I663)-1))</f>
        <v/>
      </c>
      <c r="T663" s="3" t="str">
        <f ca="1">IF(A663&lt;&gt;"",MAX('Initiative Indirect'!$T:$T)+(ROW(A663)-1),"")</f>
        <v/>
      </c>
      <c r="U663" s="3" t="str">
        <f ca="1">IF(B663&lt;&gt;"",INDEX('Initiative Indirect'!$T:$T,MATCH(B663,'Initiative Indirect'!$A:$A,0)),"")</f>
        <v/>
      </c>
      <c r="V663" s="3" t="str">
        <f ca="1">IF(C663&lt;&gt;"",INDEX('Team Indirect'!$T:$T,MATCH(C663,'Team Indirect'!$A:$A,0)),"")</f>
        <v/>
      </c>
      <c r="W663" s="3"/>
      <c r="X663" s="3"/>
      <c r="Y663" s="3" t="str">
        <f ca="1">IF($C663&lt;&gt;"",INDEX('Team Indirect'!$D:$D,MATCH($C663,'Team Indirect'!$A:$A,0)),"")</f>
        <v/>
      </c>
      <c r="Z663" s="3" t="str">
        <f ca="1">IF($C663&lt;&gt;"",INDEX('Team Indirect'!$E:$E,MATCH($C663,'Team Indirect'!$A:$A,0)),"")</f>
        <v/>
      </c>
      <c r="AA663" s="3" t="str">
        <f ca="1">IF($C663&lt;&gt;"",INDEX('Team Indirect'!$F:$F,MATCH($C663,'Team Indirect'!$A:$A,0)),"")</f>
        <v/>
      </c>
      <c r="AB663" s="3" t="str">
        <f t="shared" ca="1" si="10"/>
        <v/>
      </c>
      <c r="AC663" s="3">
        <f ca="1">IF(OR(AllocationUnits="Stories", AllocationUnits="Points"),'Work Indirect'!F663,F663/MAX('Work Indirect'!AB663,1))</f>
        <v>1</v>
      </c>
    </row>
    <row r="664" spans="1:29"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7" t="str">
        <f ca="1">IF(OFFSET('4. Work'!$A$1,ROW(D664)-1,COLUMN(D664)-1)="","",OFFSET('4. Work'!$A$1,ROW(D664)-1,COLUMN(D664)-1))</f>
        <v/>
      </c>
      <c r="E664" s="147"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I664" s="3" t="str">
        <f ca="1">IF(OFFSET('4. Work'!$A$1,ROW(I664)-1,COLUMN(I664)-1)="","",OFFSET('4. Work'!$A$1,ROW(I664)-1,COLUMN(I664)-1))</f>
        <v/>
      </c>
      <c r="T664" s="3" t="str">
        <f ca="1">IF(A664&lt;&gt;"",MAX('Initiative Indirect'!$T:$T)+(ROW(A664)-1),"")</f>
        <v/>
      </c>
      <c r="U664" s="3" t="str">
        <f ca="1">IF(B664&lt;&gt;"",INDEX('Initiative Indirect'!$T:$T,MATCH(B664,'Initiative Indirect'!$A:$A,0)),"")</f>
        <v/>
      </c>
      <c r="V664" s="3" t="str">
        <f ca="1">IF(C664&lt;&gt;"",INDEX('Team Indirect'!$T:$T,MATCH(C664,'Team Indirect'!$A:$A,0)),"")</f>
        <v/>
      </c>
      <c r="W664" s="3"/>
      <c r="X664" s="3"/>
      <c r="Y664" s="3" t="str">
        <f ca="1">IF($C664&lt;&gt;"",INDEX('Team Indirect'!$D:$D,MATCH($C664,'Team Indirect'!$A:$A,0)),"")</f>
        <v/>
      </c>
      <c r="Z664" s="3" t="str">
        <f ca="1">IF($C664&lt;&gt;"",INDEX('Team Indirect'!$E:$E,MATCH($C664,'Team Indirect'!$A:$A,0)),"")</f>
        <v/>
      </c>
      <c r="AA664" s="3" t="str">
        <f ca="1">IF($C664&lt;&gt;"",INDEX('Team Indirect'!$F:$F,MATCH($C664,'Team Indirect'!$A:$A,0)),"")</f>
        <v/>
      </c>
      <c r="AB664" s="3" t="str">
        <f t="shared" ca="1" si="10"/>
        <v/>
      </c>
      <c r="AC664" s="3">
        <f ca="1">IF(OR(AllocationUnits="Stories", AllocationUnits="Points"),'Work Indirect'!F664,F664/MAX('Work Indirect'!AB664,1))</f>
        <v>1</v>
      </c>
    </row>
    <row r="665" spans="1:29"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7" t="str">
        <f ca="1">IF(OFFSET('4. Work'!$A$1,ROW(D665)-1,COLUMN(D665)-1)="","",OFFSET('4. Work'!$A$1,ROW(D665)-1,COLUMN(D665)-1))</f>
        <v/>
      </c>
      <c r="E665" s="147"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I665" s="3" t="str">
        <f ca="1">IF(OFFSET('4. Work'!$A$1,ROW(I665)-1,COLUMN(I665)-1)="","",OFFSET('4. Work'!$A$1,ROW(I665)-1,COLUMN(I665)-1))</f>
        <v/>
      </c>
      <c r="T665" s="3" t="str">
        <f ca="1">IF(A665&lt;&gt;"",MAX('Initiative Indirect'!$T:$T)+(ROW(A665)-1),"")</f>
        <v/>
      </c>
      <c r="U665" s="3" t="str">
        <f ca="1">IF(B665&lt;&gt;"",INDEX('Initiative Indirect'!$T:$T,MATCH(B665,'Initiative Indirect'!$A:$A,0)),"")</f>
        <v/>
      </c>
      <c r="V665" s="3" t="str">
        <f ca="1">IF(C665&lt;&gt;"",INDEX('Team Indirect'!$T:$T,MATCH(C665,'Team Indirect'!$A:$A,0)),"")</f>
        <v/>
      </c>
      <c r="W665" s="3"/>
      <c r="X665" s="3"/>
      <c r="Y665" s="3" t="str">
        <f ca="1">IF($C665&lt;&gt;"",INDEX('Team Indirect'!$D:$D,MATCH($C665,'Team Indirect'!$A:$A,0)),"")</f>
        <v/>
      </c>
      <c r="Z665" s="3" t="str">
        <f ca="1">IF($C665&lt;&gt;"",INDEX('Team Indirect'!$E:$E,MATCH($C665,'Team Indirect'!$A:$A,0)),"")</f>
        <v/>
      </c>
      <c r="AA665" s="3" t="str">
        <f ca="1">IF($C665&lt;&gt;"",INDEX('Team Indirect'!$F:$F,MATCH($C665,'Team Indirect'!$A:$A,0)),"")</f>
        <v/>
      </c>
      <c r="AB665" s="3" t="str">
        <f t="shared" ca="1" si="10"/>
        <v/>
      </c>
      <c r="AC665" s="3">
        <f ca="1">IF(OR(AllocationUnits="Stories", AllocationUnits="Points"),'Work Indirect'!F665,F665/MAX('Work Indirect'!AB665,1))</f>
        <v>1</v>
      </c>
    </row>
    <row r="666" spans="1:29"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7" t="str">
        <f ca="1">IF(OFFSET('4. Work'!$A$1,ROW(D666)-1,COLUMN(D666)-1)="","",OFFSET('4. Work'!$A$1,ROW(D666)-1,COLUMN(D666)-1))</f>
        <v/>
      </c>
      <c r="E666" s="147"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I666" s="3" t="str">
        <f ca="1">IF(OFFSET('4. Work'!$A$1,ROW(I666)-1,COLUMN(I666)-1)="","",OFFSET('4. Work'!$A$1,ROW(I666)-1,COLUMN(I666)-1))</f>
        <v/>
      </c>
      <c r="T666" s="3" t="str">
        <f ca="1">IF(A666&lt;&gt;"",MAX('Initiative Indirect'!$T:$T)+(ROW(A666)-1),"")</f>
        <v/>
      </c>
      <c r="U666" s="3" t="str">
        <f ca="1">IF(B666&lt;&gt;"",INDEX('Initiative Indirect'!$T:$T,MATCH(B666,'Initiative Indirect'!$A:$A,0)),"")</f>
        <v/>
      </c>
      <c r="V666" s="3" t="str">
        <f ca="1">IF(C666&lt;&gt;"",INDEX('Team Indirect'!$T:$T,MATCH(C666,'Team Indirect'!$A:$A,0)),"")</f>
        <v/>
      </c>
      <c r="W666" s="3"/>
      <c r="X666" s="3"/>
      <c r="Y666" s="3" t="str">
        <f ca="1">IF($C666&lt;&gt;"",INDEX('Team Indirect'!$D:$D,MATCH($C666,'Team Indirect'!$A:$A,0)),"")</f>
        <v/>
      </c>
      <c r="Z666" s="3" t="str">
        <f ca="1">IF($C666&lt;&gt;"",INDEX('Team Indirect'!$E:$E,MATCH($C666,'Team Indirect'!$A:$A,0)),"")</f>
        <v/>
      </c>
      <c r="AA666" s="3" t="str">
        <f ca="1">IF($C666&lt;&gt;"",INDEX('Team Indirect'!$F:$F,MATCH($C666,'Team Indirect'!$A:$A,0)),"")</f>
        <v/>
      </c>
      <c r="AB666" s="3" t="str">
        <f t="shared" ca="1" si="10"/>
        <v/>
      </c>
      <c r="AC666" s="3">
        <f ca="1">IF(OR(AllocationUnits="Stories", AllocationUnits="Points"),'Work Indirect'!F666,F666/MAX('Work Indirect'!AB666,1))</f>
        <v>1</v>
      </c>
    </row>
    <row r="667" spans="1:29"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7" t="str">
        <f ca="1">IF(OFFSET('4. Work'!$A$1,ROW(D667)-1,COLUMN(D667)-1)="","",OFFSET('4. Work'!$A$1,ROW(D667)-1,COLUMN(D667)-1))</f>
        <v/>
      </c>
      <c r="E667" s="147"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I667" s="3" t="str">
        <f ca="1">IF(OFFSET('4. Work'!$A$1,ROW(I667)-1,COLUMN(I667)-1)="","",OFFSET('4. Work'!$A$1,ROW(I667)-1,COLUMN(I667)-1))</f>
        <v/>
      </c>
      <c r="T667" s="3" t="str">
        <f ca="1">IF(A667&lt;&gt;"",MAX('Initiative Indirect'!$T:$T)+(ROW(A667)-1),"")</f>
        <v/>
      </c>
      <c r="U667" s="3" t="str">
        <f ca="1">IF(B667&lt;&gt;"",INDEX('Initiative Indirect'!$T:$T,MATCH(B667,'Initiative Indirect'!$A:$A,0)),"")</f>
        <v/>
      </c>
      <c r="V667" s="3" t="str">
        <f ca="1">IF(C667&lt;&gt;"",INDEX('Team Indirect'!$T:$T,MATCH(C667,'Team Indirect'!$A:$A,0)),"")</f>
        <v/>
      </c>
      <c r="W667" s="3"/>
      <c r="X667" s="3"/>
      <c r="Y667" s="3" t="str">
        <f ca="1">IF($C667&lt;&gt;"",INDEX('Team Indirect'!$D:$D,MATCH($C667,'Team Indirect'!$A:$A,0)),"")</f>
        <v/>
      </c>
      <c r="Z667" s="3" t="str">
        <f ca="1">IF($C667&lt;&gt;"",INDEX('Team Indirect'!$E:$E,MATCH($C667,'Team Indirect'!$A:$A,0)),"")</f>
        <v/>
      </c>
      <c r="AA667" s="3" t="str">
        <f ca="1">IF($C667&lt;&gt;"",INDEX('Team Indirect'!$F:$F,MATCH($C667,'Team Indirect'!$A:$A,0)),"")</f>
        <v/>
      </c>
      <c r="AB667" s="3" t="str">
        <f t="shared" ca="1" si="10"/>
        <v/>
      </c>
      <c r="AC667" s="3">
        <f ca="1">IF(OR(AllocationUnits="Stories", AllocationUnits="Points"),'Work Indirect'!F667,F667/MAX('Work Indirect'!AB667,1))</f>
        <v>1</v>
      </c>
    </row>
    <row r="668" spans="1:29"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7" t="str">
        <f ca="1">IF(OFFSET('4. Work'!$A$1,ROW(D668)-1,COLUMN(D668)-1)="","",OFFSET('4. Work'!$A$1,ROW(D668)-1,COLUMN(D668)-1))</f>
        <v/>
      </c>
      <c r="E668" s="147"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I668" s="3" t="str">
        <f ca="1">IF(OFFSET('4. Work'!$A$1,ROW(I668)-1,COLUMN(I668)-1)="","",OFFSET('4. Work'!$A$1,ROW(I668)-1,COLUMN(I668)-1))</f>
        <v/>
      </c>
      <c r="T668" s="3" t="str">
        <f ca="1">IF(A668&lt;&gt;"",MAX('Initiative Indirect'!$T:$T)+(ROW(A668)-1),"")</f>
        <v/>
      </c>
      <c r="U668" s="3" t="str">
        <f ca="1">IF(B668&lt;&gt;"",INDEX('Initiative Indirect'!$T:$T,MATCH(B668,'Initiative Indirect'!$A:$A,0)),"")</f>
        <v/>
      </c>
      <c r="V668" s="3" t="str">
        <f ca="1">IF(C668&lt;&gt;"",INDEX('Team Indirect'!$T:$T,MATCH(C668,'Team Indirect'!$A:$A,0)),"")</f>
        <v/>
      </c>
      <c r="W668" s="3"/>
      <c r="X668" s="3"/>
      <c r="Y668" s="3" t="str">
        <f ca="1">IF($C668&lt;&gt;"",INDEX('Team Indirect'!$D:$D,MATCH($C668,'Team Indirect'!$A:$A,0)),"")</f>
        <v/>
      </c>
      <c r="Z668" s="3" t="str">
        <f ca="1">IF($C668&lt;&gt;"",INDEX('Team Indirect'!$E:$E,MATCH($C668,'Team Indirect'!$A:$A,0)),"")</f>
        <v/>
      </c>
      <c r="AA668" s="3" t="str">
        <f ca="1">IF($C668&lt;&gt;"",INDEX('Team Indirect'!$F:$F,MATCH($C668,'Team Indirect'!$A:$A,0)),"")</f>
        <v/>
      </c>
      <c r="AB668" s="3" t="str">
        <f t="shared" ca="1" si="10"/>
        <v/>
      </c>
      <c r="AC668" s="3">
        <f ca="1">IF(OR(AllocationUnits="Stories", AllocationUnits="Points"),'Work Indirect'!F668,F668/MAX('Work Indirect'!AB668,1))</f>
        <v>1</v>
      </c>
    </row>
    <row r="669" spans="1:29"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7" t="str">
        <f ca="1">IF(OFFSET('4. Work'!$A$1,ROW(D669)-1,COLUMN(D669)-1)="","",OFFSET('4. Work'!$A$1,ROW(D669)-1,COLUMN(D669)-1))</f>
        <v/>
      </c>
      <c r="E669" s="147"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I669" s="3" t="str">
        <f ca="1">IF(OFFSET('4. Work'!$A$1,ROW(I669)-1,COLUMN(I669)-1)="","",OFFSET('4. Work'!$A$1,ROW(I669)-1,COLUMN(I669)-1))</f>
        <v/>
      </c>
      <c r="T669" s="3" t="str">
        <f ca="1">IF(A669&lt;&gt;"",MAX('Initiative Indirect'!$T:$T)+(ROW(A669)-1),"")</f>
        <v/>
      </c>
      <c r="U669" s="3" t="str">
        <f ca="1">IF(B669&lt;&gt;"",INDEX('Initiative Indirect'!$T:$T,MATCH(B669,'Initiative Indirect'!$A:$A,0)),"")</f>
        <v/>
      </c>
      <c r="V669" s="3" t="str">
        <f ca="1">IF(C669&lt;&gt;"",INDEX('Team Indirect'!$T:$T,MATCH(C669,'Team Indirect'!$A:$A,0)),"")</f>
        <v/>
      </c>
      <c r="W669" s="3"/>
      <c r="X669" s="3"/>
      <c r="Y669" s="3" t="str">
        <f ca="1">IF($C669&lt;&gt;"",INDEX('Team Indirect'!$D:$D,MATCH($C669,'Team Indirect'!$A:$A,0)),"")</f>
        <v/>
      </c>
      <c r="Z669" s="3" t="str">
        <f ca="1">IF($C669&lt;&gt;"",INDEX('Team Indirect'!$E:$E,MATCH($C669,'Team Indirect'!$A:$A,0)),"")</f>
        <v/>
      </c>
      <c r="AA669" s="3" t="str">
        <f ca="1">IF($C669&lt;&gt;"",INDEX('Team Indirect'!$F:$F,MATCH($C669,'Team Indirect'!$A:$A,0)),"")</f>
        <v/>
      </c>
      <c r="AB669" s="3" t="str">
        <f t="shared" ca="1" si="10"/>
        <v/>
      </c>
      <c r="AC669" s="3">
        <f ca="1">IF(OR(AllocationUnits="Stories", AllocationUnits="Points"),'Work Indirect'!F669,F669/MAX('Work Indirect'!AB669,1))</f>
        <v>1</v>
      </c>
    </row>
    <row r="670" spans="1:29"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7" t="str">
        <f ca="1">IF(OFFSET('4. Work'!$A$1,ROW(D670)-1,COLUMN(D670)-1)="","",OFFSET('4. Work'!$A$1,ROW(D670)-1,COLUMN(D670)-1))</f>
        <v/>
      </c>
      <c r="E670" s="147"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I670" s="3" t="str">
        <f ca="1">IF(OFFSET('4. Work'!$A$1,ROW(I670)-1,COLUMN(I670)-1)="","",OFFSET('4. Work'!$A$1,ROW(I670)-1,COLUMN(I670)-1))</f>
        <v/>
      </c>
      <c r="T670" s="3" t="str">
        <f ca="1">IF(A670&lt;&gt;"",MAX('Initiative Indirect'!$T:$T)+(ROW(A670)-1),"")</f>
        <v/>
      </c>
      <c r="U670" s="3" t="str">
        <f ca="1">IF(B670&lt;&gt;"",INDEX('Initiative Indirect'!$T:$T,MATCH(B670,'Initiative Indirect'!$A:$A,0)),"")</f>
        <v/>
      </c>
      <c r="V670" s="3" t="str">
        <f ca="1">IF(C670&lt;&gt;"",INDEX('Team Indirect'!$T:$T,MATCH(C670,'Team Indirect'!$A:$A,0)),"")</f>
        <v/>
      </c>
      <c r="W670" s="3"/>
      <c r="X670" s="3"/>
      <c r="Y670" s="3" t="str">
        <f ca="1">IF($C670&lt;&gt;"",INDEX('Team Indirect'!$D:$D,MATCH($C670,'Team Indirect'!$A:$A,0)),"")</f>
        <v/>
      </c>
      <c r="Z670" s="3" t="str">
        <f ca="1">IF($C670&lt;&gt;"",INDEX('Team Indirect'!$E:$E,MATCH($C670,'Team Indirect'!$A:$A,0)),"")</f>
        <v/>
      </c>
      <c r="AA670" s="3" t="str">
        <f ca="1">IF($C670&lt;&gt;"",INDEX('Team Indirect'!$F:$F,MATCH($C670,'Team Indirect'!$A:$A,0)),"")</f>
        <v/>
      </c>
      <c r="AB670" s="3" t="str">
        <f t="shared" ca="1" si="10"/>
        <v/>
      </c>
      <c r="AC670" s="3">
        <f ca="1">IF(OR(AllocationUnits="Stories", AllocationUnits="Points"),'Work Indirect'!F670,F670/MAX('Work Indirect'!AB670,1))</f>
        <v>1</v>
      </c>
    </row>
    <row r="671" spans="1:29"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7" t="str">
        <f ca="1">IF(OFFSET('4. Work'!$A$1,ROW(D671)-1,COLUMN(D671)-1)="","",OFFSET('4. Work'!$A$1,ROW(D671)-1,COLUMN(D671)-1))</f>
        <v/>
      </c>
      <c r="E671" s="147"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I671" s="3" t="str">
        <f ca="1">IF(OFFSET('4. Work'!$A$1,ROW(I671)-1,COLUMN(I671)-1)="","",OFFSET('4. Work'!$A$1,ROW(I671)-1,COLUMN(I671)-1))</f>
        <v/>
      </c>
      <c r="T671" s="3" t="str">
        <f ca="1">IF(A671&lt;&gt;"",MAX('Initiative Indirect'!$T:$T)+(ROW(A671)-1),"")</f>
        <v/>
      </c>
      <c r="U671" s="3" t="str">
        <f ca="1">IF(B671&lt;&gt;"",INDEX('Initiative Indirect'!$T:$T,MATCH(B671,'Initiative Indirect'!$A:$A,0)),"")</f>
        <v/>
      </c>
      <c r="V671" s="3" t="str">
        <f ca="1">IF(C671&lt;&gt;"",INDEX('Team Indirect'!$T:$T,MATCH(C671,'Team Indirect'!$A:$A,0)),"")</f>
        <v/>
      </c>
      <c r="W671" s="3"/>
      <c r="X671" s="3"/>
      <c r="Y671" s="3" t="str">
        <f ca="1">IF($C671&lt;&gt;"",INDEX('Team Indirect'!$D:$D,MATCH($C671,'Team Indirect'!$A:$A,0)),"")</f>
        <v/>
      </c>
      <c r="Z671" s="3" t="str">
        <f ca="1">IF($C671&lt;&gt;"",INDEX('Team Indirect'!$E:$E,MATCH($C671,'Team Indirect'!$A:$A,0)),"")</f>
        <v/>
      </c>
      <c r="AA671" s="3" t="str">
        <f ca="1">IF($C671&lt;&gt;"",INDEX('Team Indirect'!$F:$F,MATCH($C671,'Team Indirect'!$A:$A,0)),"")</f>
        <v/>
      </c>
      <c r="AB671" s="3" t="str">
        <f t="shared" ca="1" si="10"/>
        <v/>
      </c>
      <c r="AC671" s="3">
        <f ca="1">IF(OR(AllocationUnits="Stories", AllocationUnits="Points"),'Work Indirect'!F671,F671/MAX('Work Indirect'!AB671,1))</f>
        <v>1</v>
      </c>
    </row>
    <row r="672" spans="1:29"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7" t="str">
        <f ca="1">IF(OFFSET('4. Work'!$A$1,ROW(D672)-1,COLUMN(D672)-1)="","",OFFSET('4. Work'!$A$1,ROW(D672)-1,COLUMN(D672)-1))</f>
        <v/>
      </c>
      <c r="E672" s="147"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I672" s="3" t="str">
        <f ca="1">IF(OFFSET('4. Work'!$A$1,ROW(I672)-1,COLUMN(I672)-1)="","",OFFSET('4. Work'!$A$1,ROW(I672)-1,COLUMN(I672)-1))</f>
        <v/>
      </c>
      <c r="T672" s="3" t="str">
        <f ca="1">IF(A672&lt;&gt;"",MAX('Initiative Indirect'!$T:$T)+(ROW(A672)-1),"")</f>
        <v/>
      </c>
      <c r="U672" s="3" t="str">
        <f ca="1">IF(B672&lt;&gt;"",INDEX('Initiative Indirect'!$T:$T,MATCH(B672,'Initiative Indirect'!$A:$A,0)),"")</f>
        <v/>
      </c>
      <c r="V672" s="3" t="str">
        <f ca="1">IF(C672&lt;&gt;"",INDEX('Team Indirect'!$T:$T,MATCH(C672,'Team Indirect'!$A:$A,0)),"")</f>
        <v/>
      </c>
      <c r="W672" s="3"/>
      <c r="X672" s="3"/>
      <c r="Y672" s="3" t="str">
        <f ca="1">IF($C672&lt;&gt;"",INDEX('Team Indirect'!$D:$D,MATCH($C672,'Team Indirect'!$A:$A,0)),"")</f>
        <v/>
      </c>
      <c r="Z672" s="3" t="str">
        <f ca="1">IF($C672&lt;&gt;"",INDEX('Team Indirect'!$E:$E,MATCH($C672,'Team Indirect'!$A:$A,0)),"")</f>
        <v/>
      </c>
      <c r="AA672" s="3" t="str">
        <f ca="1">IF($C672&lt;&gt;"",INDEX('Team Indirect'!$F:$F,MATCH($C672,'Team Indirect'!$A:$A,0)),"")</f>
        <v/>
      </c>
      <c r="AB672" s="3" t="str">
        <f t="shared" ca="1" si="10"/>
        <v/>
      </c>
      <c r="AC672" s="3">
        <f ca="1">IF(OR(AllocationUnits="Stories", AllocationUnits="Points"),'Work Indirect'!F672,F672/MAX('Work Indirect'!AB672,1))</f>
        <v>1</v>
      </c>
    </row>
    <row r="673" spans="1:29"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7" t="str">
        <f ca="1">IF(OFFSET('4. Work'!$A$1,ROW(D673)-1,COLUMN(D673)-1)="","",OFFSET('4. Work'!$A$1,ROW(D673)-1,COLUMN(D673)-1))</f>
        <v/>
      </c>
      <c r="E673" s="147"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I673" s="3" t="str">
        <f ca="1">IF(OFFSET('4. Work'!$A$1,ROW(I673)-1,COLUMN(I673)-1)="","",OFFSET('4. Work'!$A$1,ROW(I673)-1,COLUMN(I673)-1))</f>
        <v/>
      </c>
      <c r="T673" s="3" t="str">
        <f ca="1">IF(A673&lt;&gt;"",MAX('Initiative Indirect'!$T:$T)+(ROW(A673)-1),"")</f>
        <v/>
      </c>
      <c r="U673" s="3" t="str">
        <f ca="1">IF(B673&lt;&gt;"",INDEX('Initiative Indirect'!$T:$T,MATCH(B673,'Initiative Indirect'!$A:$A,0)),"")</f>
        <v/>
      </c>
      <c r="V673" s="3" t="str">
        <f ca="1">IF(C673&lt;&gt;"",INDEX('Team Indirect'!$T:$T,MATCH(C673,'Team Indirect'!$A:$A,0)),"")</f>
        <v/>
      </c>
      <c r="W673" s="3"/>
      <c r="X673" s="3"/>
      <c r="Y673" s="3" t="str">
        <f ca="1">IF($C673&lt;&gt;"",INDEX('Team Indirect'!$D:$D,MATCH($C673,'Team Indirect'!$A:$A,0)),"")</f>
        <v/>
      </c>
      <c r="Z673" s="3" t="str">
        <f ca="1">IF($C673&lt;&gt;"",INDEX('Team Indirect'!$E:$E,MATCH($C673,'Team Indirect'!$A:$A,0)),"")</f>
        <v/>
      </c>
      <c r="AA673" s="3" t="str">
        <f ca="1">IF($C673&lt;&gt;"",INDEX('Team Indirect'!$F:$F,MATCH($C673,'Team Indirect'!$A:$A,0)),"")</f>
        <v/>
      </c>
      <c r="AB673" s="3" t="str">
        <f t="shared" ca="1" si="10"/>
        <v/>
      </c>
      <c r="AC673" s="3">
        <f ca="1">IF(OR(AllocationUnits="Stories", AllocationUnits="Points"),'Work Indirect'!F673,F673/MAX('Work Indirect'!AB673,1))</f>
        <v>1</v>
      </c>
    </row>
    <row r="674" spans="1:29"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7" t="str">
        <f ca="1">IF(OFFSET('4. Work'!$A$1,ROW(D674)-1,COLUMN(D674)-1)="","",OFFSET('4. Work'!$A$1,ROW(D674)-1,COLUMN(D674)-1))</f>
        <v/>
      </c>
      <c r="E674" s="147"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I674" s="3" t="str">
        <f ca="1">IF(OFFSET('4. Work'!$A$1,ROW(I674)-1,COLUMN(I674)-1)="","",OFFSET('4. Work'!$A$1,ROW(I674)-1,COLUMN(I674)-1))</f>
        <v/>
      </c>
      <c r="T674" s="3" t="str">
        <f ca="1">IF(A674&lt;&gt;"",MAX('Initiative Indirect'!$T:$T)+(ROW(A674)-1),"")</f>
        <v/>
      </c>
      <c r="U674" s="3" t="str">
        <f ca="1">IF(B674&lt;&gt;"",INDEX('Initiative Indirect'!$T:$T,MATCH(B674,'Initiative Indirect'!$A:$A,0)),"")</f>
        <v/>
      </c>
      <c r="V674" s="3" t="str">
        <f ca="1">IF(C674&lt;&gt;"",INDEX('Team Indirect'!$T:$T,MATCH(C674,'Team Indirect'!$A:$A,0)),"")</f>
        <v/>
      </c>
      <c r="W674" s="3"/>
      <c r="X674" s="3"/>
      <c r="Y674" s="3" t="str">
        <f ca="1">IF($C674&lt;&gt;"",INDEX('Team Indirect'!$D:$D,MATCH($C674,'Team Indirect'!$A:$A,0)),"")</f>
        <v/>
      </c>
      <c r="Z674" s="3" t="str">
        <f ca="1">IF($C674&lt;&gt;"",INDEX('Team Indirect'!$E:$E,MATCH($C674,'Team Indirect'!$A:$A,0)),"")</f>
        <v/>
      </c>
      <c r="AA674" s="3" t="str">
        <f ca="1">IF($C674&lt;&gt;"",INDEX('Team Indirect'!$F:$F,MATCH($C674,'Team Indirect'!$A:$A,0)),"")</f>
        <v/>
      </c>
      <c r="AB674" s="3" t="str">
        <f t="shared" ca="1" si="10"/>
        <v/>
      </c>
      <c r="AC674" s="3">
        <f ca="1">IF(OR(AllocationUnits="Stories", AllocationUnits="Points"),'Work Indirect'!F674,F674/MAX('Work Indirect'!AB674,1))</f>
        <v>1</v>
      </c>
    </row>
    <row r="675" spans="1:29"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7" t="str">
        <f ca="1">IF(OFFSET('4. Work'!$A$1,ROW(D675)-1,COLUMN(D675)-1)="","",OFFSET('4. Work'!$A$1,ROW(D675)-1,COLUMN(D675)-1))</f>
        <v/>
      </c>
      <c r="E675" s="147"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I675" s="3" t="str">
        <f ca="1">IF(OFFSET('4. Work'!$A$1,ROW(I675)-1,COLUMN(I675)-1)="","",OFFSET('4. Work'!$A$1,ROW(I675)-1,COLUMN(I675)-1))</f>
        <v/>
      </c>
      <c r="T675" s="3" t="str">
        <f ca="1">IF(A675&lt;&gt;"",MAX('Initiative Indirect'!$T:$T)+(ROW(A675)-1),"")</f>
        <v/>
      </c>
      <c r="U675" s="3" t="str">
        <f ca="1">IF(B675&lt;&gt;"",INDEX('Initiative Indirect'!$T:$T,MATCH(B675,'Initiative Indirect'!$A:$A,0)),"")</f>
        <v/>
      </c>
      <c r="V675" s="3" t="str">
        <f ca="1">IF(C675&lt;&gt;"",INDEX('Team Indirect'!$T:$T,MATCH(C675,'Team Indirect'!$A:$A,0)),"")</f>
        <v/>
      </c>
      <c r="W675" s="3"/>
      <c r="X675" s="3"/>
      <c r="Y675" s="3" t="str">
        <f ca="1">IF($C675&lt;&gt;"",INDEX('Team Indirect'!$D:$D,MATCH($C675,'Team Indirect'!$A:$A,0)),"")</f>
        <v/>
      </c>
      <c r="Z675" s="3" t="str">
        <f ca="1">IF($C675&lt;&gt;"",INDEX('Team Indirect'!$E:$E,MATCH($C675,'Team Indirect'!$A:$A,0)),"")</f>
        <v/>
      </c>
      <c r="AA675" s="3" t="str">
        <f ca="1">IF($C675&lt;&gt;"",INDEX('Team Indirect'!$F:$F,MATCH($C675,'Team Indirect'!$A:$A,0)),"")</f>
        <v/>
      </c>
      <c r="AB675" s="3" t="str">
        <f t="shared" ca="1" si="10"/>
        <v/>
      </c>
      <c r="AC675" s="3">
        <f ca="1">IF(OR(AllocationUnits="Stories", AllocationUnits="Points"),'Work Indirect'!F675,F675/MAX('Work Indirect'!AB675,1))</f>
        <v>1</v>
      </c>
    </row>
    <row r="676" spans="1:29"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7" t="str">
        <f ca="1">IF(OFFSET('4. Work'!$A$1,ROW(D676)-1,COLUMN(D676)-1)="","",OFFSET('4. Work'!$A$1,ROW(D676)-1,COLUMN(D676)-1))</f>
        <v/>
      </c>
      <c r="E676" s="147"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I676" s="3" t="str">
        <f ca="1">IF(OFFSET('4. Work'!$A$1,ROW(I676)-1,COLUMN(I676)-1)="","",OFFSET('4. Work'!$A$1,ROW(I676)-1,COLUMN(I676)-1))</f>
        <v/>
      </c>
      <c r="T676" s="3" t="str">
        <f ca="1">IF(A676&lt;&gt;"",MAX('Initiative Indirect'!$T:$T)+(ROW(A676)-1),"")</f>
        <v/>
      </c>
      <c r="U676" s="3" t="str">
        <f ca="1">IF(B676&lt;&gt;"",INDEX('Initiative Indirect'!$T:$T,MATCH(B676,'Initiative Indirect'!$A:$A,0)),"")</f>
        <v/>
      </c>
      <c r="V676" s="3" t="str">
        <f ca="1">IF(C676&lt;&gt;"",INDEX('Team Indirect'!$T:$T,MATCH(C676,'Team Indirect'!$A:$A,0)),"")</f>
        <v/>
      </c>
      <c r="W676" s="3"/>
      <c r="X676" s="3"/>
      <c r="Y676" s="3" t="str">
        <f ca="1">IF($C676&lt;&gt;"",INDEX('Team Indirect'!$D:$D,MATCH($C676,'Team Indirect'!$A:$A,0)),"")</f>
        <v/>
      </c>
      <c r="Z676" s="3" t="str">
        <f ca="1">IF($C676&lt;&gt;"",INDEX('Team Indirect'!$E:$E,MATCH($C676,'Team Indirect'!$A:$A,0)),"")</f>
        <v/>
      </c>
      <c r="AA676" s="3" t="str">
        <f ca="1">IF($C676&lt;&gt;"",INDEX('Team Indirect'!$F:$F,MATCH($C676,'Team Indirect'!$A:$A,0)),"")</f>
        <v/>
      </c>
      <c r="AB676" s="3" t="str">
        <f t="shared" ca="1" si="10"/>
        <v/>
      </c>
      <c r="AC676" s="3">
        <f ca="1">IF(OR(AllocationUnits="Stories", AllocationUnits="Points"),'Work Indirect'!F676,F676/MAX('Work Indirect'!AB676,1))</f>
        <v>1</v>
      </c>
    </row>
    <row r="677" spans="1:29"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7" t="str">
        <f ca="1">IF(OFFSET('4. Work'!$A$1,ROW(D677)-1,COLUMN(D677)-1)="","",OFFSET('4. Work'!$A$1,ROW(D677)-1,COLUMN(D677)-1))</f>
        <v/>
      </c>
      <c r="E677" s="147"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I677" s="3" t="str">
        <f ca="1">IF(OFFSET('4. Work'!$A$1,ROW(I677)-1,COLUMN(I677)-1)="","",OFFSET('4. Work'!$A$1,ROW(I677)-1,COLUMN(I677)-1))</f>
        <v/>
      </c>
      <c r="T677" s="3" t="str">
        <f ca="1">IF(A677&lt;&gt;"",MAX('Initiative Indirect'!$T:$T)+(ROW(A677)-1),"")</f>
        <v/>
      </c>
      <c r="U677" s="3" t="str">
        <f ca="1">IF(B677&lt;&gt;"",INDEX('Initiative Indirect'!$T:$T,MATCH(B677,'Initiative Indirect'!$A:$A,0)),"")</f>
        <v/>
      </c>
      <c r="V677" s="3" t="str">
        <f ca="1">IF(C677&lt;&gt;"",INDEX('Team Indirect'!$T:$T,MATCH(C677,'Team Indirect'!$A:$A,0)),"")</f>
        <v/>
      </c>
      <c r="W677" s="3"/>
      <c r="X677" s="3"/>
      <c r="Y677" s="3" t="str">
        <f ca="1">IF($C677&lt;&gt;"",INDEX('Team Indirect'!$D:$D,MATCH($C677,'Team Indirect'!$A:$A,0)),"")</f>
        <v/>
      </c>
      <c r="Z677" s="3" t="str">
        <f ca="1">IF($C677&lt;&gt;"",INDEX('Team Indirect'!$E:$E,MATCH($C677,'Team Indirect'!$A:$A,0)),"")</f>
        <v/>
      </c>
      <c r="AA677" s="3" t="str">
        <f ca="1">IF($C677&lt;&gt;"",INDEX('Team Indirect'!$F:$F,MATCH($C677,'Team Indirect'!$A:$A,0)),"")</f>
        <v/>
      </c>
      <c r="AB677" s="3" t="str">
        <f t="shared" ca="1" si="10"/>
        <v/>
      </c>
      <c r="AC677" s="3">
        <f ca="1">IF(OR(AllocationUnits="Stories", AllocationUnits="Points"),'Work Indirect'!F677,F677/MAX('Work Indirect'!AB677,1))</f>
        <v>1</v>
      </c>
    </row>
    <row r="678" spans="1:29"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7" t="str">
        <f ca="1">IF(OFFSET('4. Work'!$A$1,ROW(D678)-1,COLUMN(D678)-1)="","",OFFSET('4. Work'!$A$1,ROW(D678)-1,COLUMN(D678)-1))</f>
        <v/>
      </c>
      <c r="E678" s="147"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I678" s="3" t="str">
        <f ca="1">IF(OFFSET('4. Work'!$A$1,ROW(I678)-1,COLUMN(I678)-1)="","",OFFSET('4. Work'!$A$1,ROW(I678)-1,COLUMN(I678)-1))</f>
        <v/>
      </c>
      <c r="T678" s="3" t="str">
        <f ca="1">IF(A678&lt;&gt;"",MAX('Initiative Indirect'!$T:$T)+(ROW(A678)-1),"")</f>
        <v/>
      </c>
      <c r="U678" s="3" t="str">
        <f ca="1">IF(B678&lt;&gt;"",INDEX('Initiative Indirect'!$T:$T,MATCH(B678,'Initiative Indirect'!$A:$A,0)),"")</f>
        <v/>
      </c>
      <c r="V678" s="3" t="str">
        <f ca="1">IF(C678&lt;&gt;"",INDEX('Team Indirect'!$T:$T,MATCH(C678,'Team Indirect'!$A:$A,0)),"")</f>
        <v/>
      </c>
      <c r="W678" s="3"/>
      <c r="X678" s="3"/>
      <c r="Y678" s="3" t="str">
        <f ca="1">IF($C678&lt;&gt;"",INDEX('Team Indirect'!$D:$D,MATCH($C678,'Team Indirect'!$A:$A,0)),"")</f>
        <v/>
      </c>
      <c r="Z678" s="3" t="str">
        <f ca="1">IF($C678&lt;&gt;"",INDEX('Team Indirect'!$E:$E,MATCH($C678,'Team Indirect'!$A:$A,0)),"")</f>
        <v/>
      </c>
      <c r="AA678" s="3" t="str">
        <f ca="1">IF($C678&lt;&gt;"",INDEX('Team Indirect'!$F:$F,MATCH($C678,'Team Indirect'!$A:$A,0)),"")</f>
        <v/>
      </c>
      <c r="AB678" s="3" t="str">
        <f t="shared" ca="1" si="10"/>
        <v/>
      </c>
      <c r="AC678" s="3">
        <f ca="1">IF(OR(AllocationUnits="Stories", AllocationUnits="Points"),'Work Indirect'!F678,F678/MAX('Work Indirect'!AB678,1))</f>
        <v>1</v>
      </c>
    </row>
    <row r="679" spans="1:29"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7" t="str">
        <f ca="1">IF(OFFSET('4. Work'!$A$1,ROW(D679)-1,COLUMN(D679)-1)="","",OFFSET('4. Work'!$A$1,ROW(D679)-1,COLUMN(D679)-1))</f>
        <v/>
      </c>
      <c r="E679" s="147"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I679" s="3" t="str">
        <f ca="1">IF(OFFSET('4. Work'!$A$1,ROW(I679)-1,COLUMN(I679)-1)="","",OFFSET('4. Work'!$A$1,ROW(I679)-1,COLUMN(I679)-1))</f>
        <v/>
      </c>
      <c r="T679" s="3" t="str">
        <f ca="1">IF(A679&lt;&gt;"",MAX('Initiative Indirect'!$T:$T)+(ROW(A679)-1),"")</f>
        <v/>
      </c>
      <c r="U679" s="3" t="str">
        <f ca="1">IF(B679&lt;&gt;"",INDEX('Initiative Indirect'!$T:$T,MATCH(B679,'Initiative Indirect'!$A:$A,0)),"")</f>
        <v/>
      </c>
      <c r="V679" s="3" t="str">
        <f ca="1">IF(C679&lt;&gt;"",INDEX('Team Indirect'!$T:$T,MATCH(C679,'Team Indirect'!$A:$A,0)),"")</f>
        <v/>
      </c>
      <c r="W679" s="3"/>
      <c r="X679" s="3"/>
      <c r="Y679" s="3" t="str">
        <f ca="1">IF($C679&lt;&gt;"",INDEX('Team Indirect'!$D:$D,MATCH($C679,'Team Indirect'!$A:$A,0)),"")</f>
        <v/>
      </c>
      <c r="Z679" s="3" t="str">
        <f ca="1">IF($C679&lt;&gt;"",INDEX('Team Indirect'!$E:$E,MATCH($C679,'Team Indirect'!$A:$A,0)),"")</f>
        <v/>
      </c>
      <c r="AA679" s="3" t="str">
        <f ca="1">IF($C679&lt;&gt;"",INDEX('Team Indirect'!$F:$F,MATCH($C679,'Team Indirect'!$A:$A,0)),"")</f>
        <v/>
      </c>
      <c r="AB679" s="3" t="str">
        <f t="shared" ca="1" si="10"/>
        <v/>
      </c>
      <c r="AC679" s="3">
        <f ca="1">IF(OR(AllocationUnits="Stories", AllocationUnits="Points"),'Work Indirect'!F679,F679/MAX('Work Indirect'!AB679,1))</f>
        <v>1</v>
      </c>
    </row>
    <row r="680" spans="1:29"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7" t="str">
        <f ca="1">IF(OFFSET('4. Work'!$A$1,ROW(D680)-1,COLUMN(D680)-1)="","",OFFSET('4. Work'!$A$1,ROW(D680)-1,COLUMN(D680)-1))</f>
        <v/>
      </c>
      <c r="E680" s="147"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I680" s="3" t="str">
        <f ca="1">IF(OFFSET('4. Work'!$A$1,ROW(I680)-1,COLUMN(I680)-1)="","",OFFSET('4. Work'!$A$1,ROW(I680)-1,COLUMN(I680)-1))</f>
        <v/>
      </c>
      <c r="T680" s="3" t="str">
        <f ca="1">IF(A680&lt;&gt;"",MAX('Initiative Indirect'!$T:$T)+(ROW(A680)-1),"")</f>
        <v/>
      </c>
      <c r="U680" s="3" t="str">
        <f ca="1">IF(B680&lt;&gt;"",INDEX('Initiative Indirect'!$T:$T,MATCH(B680,'Initiative Indirect'!$A:$A,0)),"")</f>
        <v/>
      </c>
      <c r="V680" s="3" t="str">
        <f ca="1">IF(C680&lt;&gt;"",INDEX('Team Indirect'!$T:$T,MATCH(C680,'Team Indirect'!$A:$A,0)),"")</f>
        <v/>
      </c>
      <c r="W680" s="3"/>
      <c r="X680" s="3"/>
      <c r="Y680" s="3" t="str">
        <f ca="1">IF($C680&lt;&gt;"",INDEX('Team Indirect'!$D:$D,MATCH($C680,'Team Indirect'!$A:$A,0)),"")</f>
        <v/>
      </c>
      <c r="Z680" s="3" t="str">
        <f ca="1">IF($C680&lt;&gt;"",INDEX('Team Indirect'!$E:$E,MATCH($C680,'Team Indirect'!$A:$A,0)),"")</f>
        <v/>
      </c>
      <c r="AA680" s="3" t="str">
        <f ca="1">IF($C680&lt;&gt;"",INDEX('Team Indirect'!$F:$F,MATCH($C680,'Team Indirect'!$A:$A,0)),"")</f>
        <v/>
      </c>
      <c r="AB680" s="3" t="str">
        <f t="shared" ca="1" si="10"/>
        <v/>
      </c>
      <c r="AC680" s="3">
        <f ca="1">IF(OR(AllocationUnits="Stories", AllocationUnits="Points"),'Work Indirect'!F680,F680/MAX('Work Indirect'!AB680,1))</f>
        <v>1</v>
      </c>
    </row>
    <row r="681" spans="1:29"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7" t="str">
        <f ca="1">IF(OFFSET('4. Work'!$A$1,ROW(D681)-1,COLUMN(D681)-1)="","",OFFSET('4. Work'!$A$1,ROW(D681)-1,COLUMN(D681)-1))</f>
        <v/>
      </c>
      <c r="E681" s="147"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I681" s="3" t="str">
        <f ca="1">IF(OFFSET('4. Work'!$A$1,ROW(I681)-1,COLUMN(I681)-1)="","",OFFSET('4. Work'!$A$1,ROW(I681)-1,COLUMN(I681)-1))</f>
        <v/>
      </c>
      <c r="T681" s="3" t="str">
        <f ca="1">IF(A681&lt;&gt;"",MAX('Initiative Indirect'!$T:$T)+(ROW(A681)-1),"")</f>
        <v/>
      </c>
      <c r="U681" s="3" t="str">
        <f ca="1">IF(B681&lt;&gt;"",INDEX('Initiative Indirect'!$T:$T,MATCH(B681,'Initiative Indirect'!$A:$A,0)),"")</f>
        <v/>
      </c>
      <c r="V681" s="3" t="str">
        <f ca="1">IF(C681&lt;&gt;"",INDEX('Team Indirect'!$T:$T,MATCH(C681,'Team Indirect'!$A:$A,0)),"")</f>
        <v/>
      </c>
      <c r="W681" s="3"/>
      <c r="X681" s="3"/>
      <c r="Y681" s="3" t="str">
        <f ca="1">IF($C681&lt;&gt;"",INDEX('Team Indirect'!$D:$D,MATCH($C681,'Team Indirect'!$A:$A,0)),"")</f>
        <v/>
      </c>
      <c r="Z681" s="3" t="str">
        <f ca="1">IF($C681&lt;&gt;"",INDEX('Team Indirect'!$E:$E,MATCH($C681,'Team Indirect'!$A:$A,0)),"")</f>
        <v/>
      </c>
      <c r="AA681" s="3" t="str">
        <f ca="1">IF($C681&lt;&gt;"",INDEX('Team Indirect'!$F:$F,MATCH($C681,'Team Indirect'!$A:$A,0)),"")</f>
        <v/>
      </c>
      <c r="AB681" s="3" t="str">
        <f t="shared" ca="1" si="10"/>
        <v/>
      </c>
      <c r="AC681" s="3">
        <f ca="1">IF(OR(AllocationUnits="Stories", AllocationUnits="Points"),'Work Indirect'!F681,F681/MAX('Work Indirect'!AB681,1))</f>
        <v>1</v>
      </c>
    </row>
    <row r="682" spans="1:29"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7" t="str">
        <f ca="1">IF(OFFSET('4. Work'!$A$1,ROW(D682)-1,COLUMN(D682)-1)="","",OFFSET('4. Work'!$A$1,ROW(D682)-1,COLUMN(D682)-1))</f>
        <v/>
      </c>
      <c r="E682" s="147"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I682" s="3" t="str">
        <f ca="1">IF(OFFSET('4. Work'!$A$1,ROW(I682)-1,COLUMN(I682)-1)="","",OFFSET('4. Work'!$A$1,ROW(I682)-1,COLUMN(I682)-1))</f>
        <v/>
      </c>
      <c r="T682" s="3" t="str">
        <f ca="1">IF(A682&lt;&gt;"",MAX('Initiative Indirect'!$T:$T)+(ROW(A682)-1),"")</f>
        <v/>
      </c>
      <c r="U682" s="3" t="str">
        <f ca="1">IF(B682&lt;&gt;"",INDEX('Initiative Indirect'!$T:$T,MATCH(B682,'Initiative Indirect'!$A:$A,0)),"")</f>
        <v/>
      </c>
      <c r="V682" s="3" t="str">
        <f ca="1">IF(C682&lt;&gt;"",INDEX('Team Indirect'!$T:$T,MATCH(C682,'Team Indirect'!$A:$A,0)),"")</f>
        <v/>
      </c>
      <c r="W682" s="3"/>
      <c r="X682" s="3"/>
      <c r="Y682" s="3" t="str">
        <f ca="1">IF($C682&lt;&gt;"",INDEX('Team Indirect'!$D:$D,MATCH($C682,'Team Indirect'!$A:$A,0)),"")</f>
        <v/>
      </c>
      <c r="Z682" s="3" t="str">
        <f ca="1">IF($C682&lt;&gt;"",INDEX('Team Indirect'!$E:$E,MATCH($C682,'Team Indirect'!$A:$A,0)),"")</f>
        <v/>
      </c>
      <c r="AA682" s="3" t="str">
        <f ca="1">IF($C682&lt;&gt;"",INDEX('Team Indirect'!$F:$F,MATCH($C682,'Team Indirect'!$A:$A,0)),"")</f>
        <v/>
      </c>
      <c r="AB682" s="3" t="str">
        <f t="shared" ca="1" si="10"/>
        <v/>
      </c>
      <c r="AC682" s="3">
        <f ca="1">IF(OR(AllocationUnits="Stories", AllocationUnits="Points"),'Work Indirect'!F682,F682/MAX('Work Indirect'!AB682,1))</f>
        <v>1</v>
      </c>
    </row>
    <row r="683" spans="1:29"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7" t="str">
        <f ca="1">IF(OFFSET('4. Work'!$A$1,ROW(D683)-1,COLUMN(D683)-1)="","",OFFSET('4. Work'!$A$1,ROW(D683)-1,COLUMN(D683)-1))</f>
        <v/>
      </c>
      <c r="E683" s="147"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I683" s="3" t="str">
        <f ca="1">IF(OFFSET('4. Work'!$A$1,ROW(I683)-1,COLUMN(I683)-1)="","",OFFSET('4. Work'!$A$1,ROW(I683)-1,COLUMN(I683)-1))</f>
        <v/>
      </c>
      <c r="T683" s="3" t="str">
        <f ca="1">IF(A683&lt;&gt;"",MAX('Initiative Indirect'!$T:$T)+(ROW(A683)-1),"")</f>
        <v/>
      </c>
      <c r="U683" s="3" t="str">
        <f ca="1">IF(B683&lt;&gt;"",INDEX('Initiative Indirect'!$T:$T,MATCH(B683,'Initiative Indirect'!$A:$A,0)),"")</f>
        <v/>
      </c>
      <c r="V683" s="3" t="str">
        <f ca="1">IF(C683&lt;&gt;"",INDEX('Team Indirect'!$T:$T,MATCH(C683,'Team Indirect'!$A:$A,0)),"")</f>
        <v/>
      </c>
      <c r="W683" s="3"/>
      <c r="X683" s="3"/>
      <c r="Y683" s="3" t="str">
        <f ca="1">IF($C683&lt;&gt;"",INDEX('Team Indirect'!$D:$D,MATCH($C683,'Team Indirect'!$A:$A,0)),"")</f>
        <v/>
      </c>
      <c r="Z683" s="3" t="str">
        <f ca="1">IF($C683&lt;&gt;"",INDEX('Team Indirect'!$E:$E,MATCH($C683,'Team Indirect'!$A:$A,0)),"")</f>
        <v/>
      </c>
      <c r="AA683" s="3" t="str">
        <f ca="1">IF($C683&lt;&gt;"",INDEX('Team Indirect'!$F:$F,MATCH($C683,'Team Indirect'!$A:$A,0)),"")</f>
        <v/>
      </c>
      <c r="AB683" s="3" t="str">
        <f t="shared" ca="1" si="10"/>
        <v/>
      </c>
      <c r="AC683" s="3">
        <f ca="1">IF(OR(AllocationUnits="Stories", AllocationUnits="Points"),'Work Indirect'!F683,F683/MAX('Work Indirect'!AB683,1))</f>
        <v>1</v>
      </c>
    </row>
    <row r="684" spans="1:29"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7" t="str">
        <f ca="1">IF(OFFSET('4. Work'!$A$1,ROW(D684)-1,COLUMN(D684)-1)="","",OFFSET('4. Work'!$A$1,ROW(D684)-1,COLUMN(D684)-1))</f>
        <v/>
      </c>
      <c r="E684" s="147"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I684" s="3" t="str">
        <f ca="1">IF(OFFSET('4. Work'!$A$1,ROW(I684)-1,COLUMN(I684)-1)="","",OFFSET('4. Work'!$A$1,ROW(I684)-1,COLUMN(I684)-1))</f>
        <v/>
      </c>
      <c r="T684" s="3" t="str">
        <f ca="1">IF(A684&lt;&gt;"",MAX('Initiative Indirect'!$T:$T)+(ROW(A684)-1),"")</f>
        <v/>
      </c>
      <c r="U684" s="3" t="str">
        <f ca="1">IF(B684&lt;&gt;"",INDEX('Initiative Indirect'!$T:$T,MATCH(B684,'Initiative Indirect'!$A:$A,0)),"")</f>
        <v/>
      </c>
      <c r="V684" s="3" t="str">
        <f ca="1">IF(C684&lt;&gt;"",INDEX('Team Indirect'!$T:$T,MATCH(C684,'Team Indirect'!$A:$A,0)),"")</f>
        <v/>
      </c>
      <c r="W684" s="3"/>
      <c r="X684" s="3"/>
      <c r="Y684" s="3" t="str">
        <f ca="1">IF($C684&lt;&gt;"",INDEX('Team Indirect'!$D:$D,MATCH($C684,'Team Indirect'!$A:$A,0)),"")</f>
        <v/>
      </c>
      <c r="Z684" s="3" t="str">
        <f ca="1">IF($C684&lt;&gt;"",INDEX('Team Indirect'!$E:$E,MATCH($C684,'Team Indirect'!$A:$A,0)),"")</f>
        <v/>
      </c>
      <c r="AA684" s="3" t="str">
        <f ca="1">IF($C684&lt;&gt;"",INDEX('Team Indirect'!$F:$F,MATCH($C684,'Team Indirect'!$A:$A,0)),"")</f>
        <v/>
      </c>
      <c r="AB684" s="3" t="str">
        <f t="shared" ca="1" si="10"/>
        <v/>
      </c>
      <c r="AC684" s="3">
        <f ca="1">IF(OR(AllocationUnits="Stories", AllocationUnits="Points"),'Work Indirect'!F684,F684/MAX('Work Indirect'!AB684,1))</f>
        <v>1</v>
      </c>
    </row>
    <row r="685" spans="1:29"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7" t="str">
        <f ca="1">IF(OFFSET('4. Work'!$A$1,ROW(D685)-1,COLUMN(D685)-1)="","",OFFSET('4. Work'!$A$1,ROW(D685)-1,COLUMN(D685)-1))</f>
        <v/>
      </c>
      <c r="E685" s="147"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I685" s="3" t="str">
        <f ca="1">IF(OFFSET('4. Work'!$A$1,ROW(I685)-1,COLUMN(I685)-1)="","",OFFSET('4. Work'!$A$1,ROW(I685)-1,COLUMN(I685)-1))</f>
        <v/>
      </c>
      <c r="T685" s="3" t="str">
        <f ca="1">IF(A685&lt;&gt;"",MAX('Initiative Indirect'!$T:$T)+(ROW(A685)-1),"")</f>
        <v/>
      </c>
      <c r="U685" s="3" t="str">
        <f ca="1">IF(B685&lt;&gt;"",INDEX('Initiative Indirect'!$T:$T,MATCH(B685,'Initiative Indirect'!$A:$A,0)),"")</f>
        <v/>
      </c>
      <c r="V685" s="3" t="str">
        <f ca="1">IF(C685&lt;&gt;"",INDEX('Team Indirect'!$T:$T,MATCH(C685,'Team Indirect'!$A:$A,0)),"")</f>
        <v/>
      </c>
      <c r="W685" s="3"/>
      <c r="X685" s="3"/>
      <c r="Y685" s="3" t="str">
        <f ca="1">IF($C685&lt;&gt;"",INDEX('Team Indirect'!$D:$D,MATCH($C685,'Team Indirect'!$A:$A,0)),"")</f>
        <v/>
      </c>
      <c r="Z685" s="3" t="str">
        <f ca="1">IF($C685&lt;&gt;"",INDEX('Team Indirect'!$E:$E,MATCH($C685,'Team Indirect'!$A:$A,0)),"")</f>
        <v/>
      </c>
      <c r="AA685" s="3" t="str">
        <f ca="1">IF($C685&lt;&gt;"",INDEX('Team Indirect'!$F:$F,MATCH($C685,'Team Indirect'!$A:$A,0)),"")</f>
        <v/>
      </c>
      <c r="AB685" s="3" t="str">
        <f t="shared" ca="1" si="10"/>
        <v/>
      </c>
      <c r="AC685" s="3">
        <f ca="1">IF(OR(AllocationUnits="Stories", AllocationUnits="Points"),'Work Indirect'!F685,F685/MAX('Work Indirect'!AB685,1))</f>
        <v>1</v>
      </c>
    </row>
    <row r="686" spans="1:29"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7" t="str">
        <f ca="1">IF(OFFSET('4. Work'!$A$1,ROW(D686)-1,COLUMN(D686)-1)="","",OFFSET('4. Work'!$A$1,ROW(D686)-1,COLUMN(D686)-1))</f>
        <v/>
      </c>
      <c r="E686" s="147"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I686" s="3" t="str">
        <f ca="1">IF(OFFSET('4. Work'!$A$1,ROW(I686)-1,COLUMN(I686)-1)="","",OFFSET('4. Work'!$A$1,ROW(I686)-1,COLUMN(I686)-1))</f>
        <v/>
      </c>
      <c r="T686" s="3" t="str">
        <f ca="1">IF(A686&lt;&gt;"",MAX('Initiative Indirect'!$T:$T)+(ROW(A686)-1),"")</f>
        <v/>
      </c>
      <c r="U686" s="3" t="str">
        <f ca="1">IF(B686&lt;&gt;"",INDEX('Initiative Indirect'!$T:$T,MATCH(B686,'Initiative Indirect'!$A:$A,0)),"")</f>
        <v/>
      </c>
      <c r="V686" s="3" t="str">
        <f ca="1">IF(C686&lt;&gt;"",INDEX('Team Indirect'!$T:$T,MATCH(C686,'Team Indirect'!$A:$A,0)),"")</f>
        <v/>
      </c>
      <c r="W686" s="3"/>
      <c r="X686" s="3"/>
      <c r="Y686" s="3" t="str">
        <f ca="1">IF($C686&lt;&gt;"",INDEX('Team Indirect'!$D:$D,MATCH($C686,'Team Indirect'!$A:$A,0)),"")</f>
        <v/>
      </c>
      <c r="Z686" s="3" t="str">
        <f ca="1">IF($C686&lt;&gt;"",INDEX('Team Indirect'!$E:$E,MATCH($C686,'Team Indirect'!$A:$A,0)),"")</f>
        <v/>
      </c>
      <c r="AA686" s="3" t="str">
        <f ca="1">IF($C686&lt;&gt;"",INDEX('Team Indirect'!$F:$F,MATCH($C686,'Team Indirect'!$A:$A,0)),"")</f>
        <v/>
      </c>
      <c r="AB686" s="3" t="str">
        <f t="shared" ca="1" si="10"/>
        <v/>
      </c>
      <c r="AC686" s="3">
        <f ca="1">IF(OR(AllocationUnits="Stories", AllocationUnits="Points"),'Work Indirect'!F686,F686/MAX('Work Indirect'!AB686,1))</f>
        <v>1</v>
      </c>
    </row>
    <row r="687" spans="1:29"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7" t="str">
        <f ca="1">IF(OFFSET('4. Work'!$A$1,ROW(D687)-1,COLUMN(D687)-1)="","",OFFSET('4. Work'!$A$1,ROW(D687)-1,COLUMN(D687)-1))</f>
        <v/>
      </c>
      <c r="E687" s="147"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I687" s="3" t="str">
        <f ca="1">IF(OFFSET('4. Work'!$A$1,ROW(I687)-1,COLUMN(I687)-1)="","",OFFSET('4. Work'!$A$1,ROW(I687)-1,COLUMN(I687)-1))</f>
        <v/>
      </c>
      <c r="T687" s="3" t="str">
        <f ca="1">IF(A687&lt;&gt;"",MAX('Initiative Indirect'!$T:$T)+(ROW(A687)-1),"")</f>
        <v/>
      </c>
      <c r="U687" s="3" t="str">
        <f ca="1">IF(B687&lt;&gt;"",INDEX('Initiative Indirect'!$T:$T,MATCH(B687,'Initiative Indirect'!$A:$A,0)),"")</f>
        <v/>
      </c>
      <c r="V687" s="3" t="str">
        <f ca="1">IF(C687&lt;&gt;"",INDEX('Team Indirect'!$T:$T,MATCH(C687,'Team Indirect'!$A:$A,0)),"")</f>
        <v/>
      </c>
      <c r="W687" s="3"/>
      <c r="X687" s="3"/>
      <c r="Y687" s="3" t="str">
        <f ca="1">IF($C687&lt;&gt;"",INDEX('Team Indirect'!$D:$D,MATCH($C687,'Team Indirect'!$A:$A,0)),"")</f>
        <v/>
      </c>
      <c r="Z687" s="3" t="str">
        <f ca="1">IF($C687&lt;&gt;"",INDEX('Team Indirect'!$E:$E,MATCH($C687,'Team Indirect'!$A:$A,0)),"")</f>
        <v/>
      </c>
      <c r="AA687" s="3" t="str">
        <f ca="1">IF($C687&lt;&gt;"",INDEX('Team Indirect'!$F:$F,MATCH($C687,'Team Indirect'!$A:$A,0)),"")</f>
        <v/>
      </c>
      <c r="AB687" s="3" t="str">
        <f t="shared" ca="1" si="10"/>
        <v/>
      </c>
      <c r="AC687" s="3">
        <f ca="1">IF(OR(AllocationUnits="Stories", AllocationUnits="Points"),'Work Indirect'!F687,F687/MAX('Work Indirect'!AB687,1))</f>
        <v>1</v>
      </c>
    </row>
    <row r="688" spans="1:29"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7" t="str">
        <f ca="1">IF(OFFSET('4. Work'!$A$1,ROW(D688)-1,COLUMN(D688)-1)="","",OFFSET('4. Work'!$A$1,ROW(D688)-1,COLUMN(D688)-1))</f>
        <v/>
      </c>
      <c r="E688" s="147"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I688" s="3" t="str">
        <f ca="1">IF(OFFSET('4. Work'!$A$1,ROW(I688)-1,COLUMN(I688)-1)="","",OFFSET('4. Work'!$A$1,ROW(I688)-1,COLUMN(I688)-1))</f>
        <v/>
      </c>
      <c r="T688" s="3" t="str">
        <f ca="1">IF(A688&lt;&gt;"",MAX('Initiative Indirect'!$T:$T)+(ROW(A688)-1),"")</f>
        <v/>
      </c>
      <c r="U688" s="3" t="str">
        <f ca="1">IF(B688&lt;&gt;"",INDEX('Initiative Indirect'!$T:$T,MATCH(B688,'Initiative Indirect'!$A:$A,0)),"")</f>
        <v/>
      </c>
      <c r="V688" s="3" t="str">
        <f ca="1">IF(C688&lt;&gt;"",INDEX('Team Indirect'!$T:$T,MATCH(C688,'Team Indirect'!$A:$A,0)),"")</f>
        <v/>
      </c>
      <c r="W688" s="3"/>
      <c r="X688" s="3"/>
      <c r="Y688" s="3" t="str">
        <f ca="1">IF($C688&lt;&gt;"",INDEX('Team Indirect'!$D:$D,MATCH($C688,'Team Indirect'!$A:$A,0)),"")</f>
        <v/>
      </c>
      <c r="Z688" s="3" t="str">
        <f ca="1">IF($C688&lt;&gt;"",INDEX('Team Indirect'!$E:$E,MATCH($C688,'Team Indirect'!$A:$A,0)),"")</f>
        <v/>
      </c>
      <c r="AA688" s="3" t="str">
        <f ca="1">IF($C688&lt;&gt;"",INDEX('Team Indirect'!$F:$F,MATCH($C688,'Team Indirect'!$A:$A,0)),"")</f>
        <v/>
      </c>
      <c r="AB688" s="3" t="str">
        <f t="shared" ca="1" si="10"/>
        <v/>
      </c>
      <c r="AC688" s="3">
        <f ca="1">IF(OR(AllocationUnits="Stories", AllocationUnits="Points"),'Work Indirect'!F688,F688/MAX('Work Indirect'!AB688,1))</f>
        <v>1</v>
      </c>
    </row>
    <row r="689" spans="1:29"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7" t="str">
        <f ca="1">IF(OFFSET('4. Work'!$A$1,ROW(D689)-1,COLUMN(D689)-1)="","",OFFSET('4. Work'!$A$1,ROW(D689)-1,COLUMN(D689)-1))</f>
        <v/>
      </c>
      <c r="E689" s="147"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I689" s="3" t="str">
        <f ca="1">IF(OFFSET('4. Work'!$A$1,ROW(I689)-1,COLUMN(I689)-1)="","",OFFSET('4. Work'!$A$1,ROW(I689)-1,COLUMN(I689)-1))</f>
        <v/>
      </c>
      <c r="T689" s="3" t="str">
        <f ca="1">IF(A689&lt;&gt;"",MAX('Initiative Indirect'!$T:$T)+(ROW(A689)-1),"")</f>
        <v/>
      </c>
      <c r="U689" s="3" t="str">
        <f ca="1">IF(B689&lt;&gt;"",INDEX('Initiative Indirect'!$T:$T,MATCH(B689,'Initiative Indirect'!$A:$A,0)),"")</f>
        <v/>
      </c>
      <c r="V689" s="3" t="str">
        <f ca="1">IF(C689&lt;&gt;"",INDEX('Team Indirect'!$T:$T,MATCH(C689,'Team Indirect'!$A:$A,0)),"")</f>
        <v/>
      </c>
      <c r="W689" s="3"/>
      <c r="X689" s="3"/>
      <c r="Y689" s="3" t="str">
        <f ca="1">IF($C689&lt;&gt;"",INDEX('Team Indirect'!$D:$D,MATCH($C689,'Team Indirect'!$A:$A,0)),"")</f>
        <v/>
      </c>
      <c r="Z689" s="3" t="str">
        <f ca="1">IF($C689&lt;&gt;"",INDEX('Team Indirect'!$E:$E,MATCH($C689,'Team Indirect'!$A:$A,0)),"")</f>
        <v/>
      </c>
      <c r="AA689" s="3" t="str">
        <f ca="1">IF($C689&lt;&gt;"",INDEX('Team Indirect'!$F:$F,MATCH($C689,'Team Indirect'!$A:$A,0)),"")</f>
        <v/>
      </c>
      <c r="AB689" s="3" t="str">
        <f t="shared" ca="1" si="10"/>
        <v/>
      </c>
      <c r="AC689" s="3">
        <f ca="1">IF(OR(AllocationUnits="Stories", AllocationUnits="Points"),'Work Indirect'!F689,F689/MAX('Work Indirect'!AB689,1))</f>
        <v>1</v>
      </c>
    </row>
    <row r="690" spans="1:29"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7" t="str">
        <f ca="1">IF(OFFSET('4. Work'!$A$1,ROW(D690)-1,COLUMN(D690)-1)="","",OFFSET('4. Work'!$A$1,ROW(D690)-1,COLUMN(D690)-1))</f>
        <v/>
      </c>
      <c r="E690" s="147"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I690" s="3" t="str">
        <f ca="1">IF(OFFSET('4. Work'!$A$1,ROW(I690)-1,COLUMN(I690)-1)="","",OFFSET('4. Work'!$A$1,ROW(I690)-1,COLUMN(I690)-1))</f>
        <v/>
      </c>
      <c r="T690" s="3" t="str">
        <f ca="1">IF(A690&lt;&gt;"",MAX('Initiative Indirect'!$T:$T)+(ROW(A690)-1),"")</f>
        <v/>
      </c>
      <c r="U690" s="3" t="str">
        <f ca="1">IF(B690&lt;&gt;"",INDEX('Initiative Indirect'!$T:$T,MATCH(B690,'Initiative Indirect'!$A:$A,0)),"")</f>
        <v/>
      </c>
      <c r="V690" s="3" t="str">
        <f ca="1">IF(C690&lt;&gt;"",INDEX('Team Indirect'!$T:$T,MATCH(C690,'Team Indirect'!$A:$A,0)),"")</f>
        <v/>
      </c>
      <c r="W690" s="3"/>
      <c r="X690" s="3"/>
      <c r="Y690" s="3" t="str">
        <f ca="1">IF($C690&lt;&gt;"",INDEX('Team Indirect'!$D:$D,MATCH($C690,'Team Indirect'!$A:$A,0)),"")</f>
        <v/>
      </c>
      <c r="Z690" s="3" t="str">
        <f ca="1">IF($C690&lt;&gt;"",INDEX('Team Indirect'!$E:$E,MATCH($C690,'Team Indirect'!$A:$A,0)),"")</f>
        <v/>
      </c>
      <c r="AA690" s="3" t="str">
        <f ca="1">IF($C690&lt;&gt;"",INDEX('Team Indirect'!$F:$F,MATCH($C690,'Team Indirect'!$A:$A,0)),"")</f>
        <v/>
      </c>
      <c r="AB690" s="3" t="str">
        <f t="shared" ca="1" si="10"/>
        <v/>
      </c>
      <c r="AC690" s="3">
        <f ca="1">IF(OR(AllocationUnits="Stories", AllocationUnits="Points"),'Work Indirect'!F690,F690/MAX('Work Indirect'!AB690,1))</f>
        <v>1</v>
      </c>
    </row>
    <row r="691" spans="1:29"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7" t="str">
        <f ca="1">IF(OFFSET('4. Work'!$A$1,ROW(D691)-1,COLUMN(D691)-1)="","",OFFSET('4. Work'!$A$1,ROW(D691)-1,COLUMN(D691)-1))</f>
        <v/>
      </c>
      <c r="E691" s="147"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I691" s="3" t="str">
        <f ca="1">IF(OFFSET('4. Work'!$A$1,ROW(I691)-1,COLUMN(I691)-1)="","",OFFSET('4. Work'!$A$1,ROW(I691)-1,COLUMN(I691)-1))</f>
        <v/>
      </c>
      <c r="T691" s="3" t="str">
        <f ca="1">IF(A691&lt;&gt;"",MAX('Initiative Indirect'!$T:$T)+(ROW(A691)-1),"")</f>
        <v/>
      </c>
      <c r="U691" s="3" t="str">
        <f ca="1">IF(B691&lt;&gt;"",INDEX('Initiative Indirect'!$T:$T,MATCH(B691,'Initiative Indirect'!$A:$A,0)),"")</f>
        <v/>
      </c>
      <c r="V691" s="3" t="str">
        <f ca="1">IF(C691&lt;&gt;"",INDEX('Team Indirect'!$T:$T,MATCH(C691,'Team Indirect'!$A:$A,0)),"")</f>
        <v/>
      </c>
      <c r="W691" s="3"/>
      <c r="X691" s="3"/>
      <c r="Y691" s="3" t="str">
        <f ca="1">IF($C691&lt;&gt;"",INDEX('Team Indirect'!$D:$D,MATCH($C691,'Team Indirect'!$A:$A,0)),"")</f>
        <v/>
      </c>
      <c r="Z691" s="3" t="str">
        <f ca="1">IF($C691&lt;&gt;"",INDEX('Team Indirect'!$E:$E,MATCH($C691,'Team Indirect'!$A:$A,0)),"")</f>
        <v/>
      </c>
      <c r="AA691" s="3" t="str">
        <f ca="1">IF($C691&lt;&gt;"",INDEX('Team Indirect'!$F:$F,MATCH($C691,'Team Indirect'!$A:$A,0)),"")</f>
        <v/>
      </c>
      <c r="AB691" s="3" t="str">
        <f t="shared" ca="1" si="10"/>
        <v/>
      </c>
      <c r="AC691" s="3">
        <f ca="1">IF(OR(AllocationUnits="Stories", AllocationUnits="Points"),'Work Indirect'!F691,F691/MAX('Work Indirect'!AB691,1))</f>
        <v>1</v>
      </c>
    </row>
    <row r="692" spans="1:29"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7" t="str">
        <f ca="1">IF(OFFSET('4. Work'!$A$1,ROW(D692)-1,COLUMN(D692)-1)="","",OFFSET('4. Work'!$A$1,ROW(D692)-1,COLUMN(D692)-1))</f>
        <v/>
      </c>
      <c r="E692" s="147"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I692" s="3" t="str">
        <f ca="1">IF(OFFSET('4. Work'!$A$1,ROW(I692)-1,COLUMN(I692)-1)="","",OFFSET('4. Work'!$A$1,ROW(I692)-1,COLUMN(I692)-1))</f>
        <v/>
      </c>
      <c r="T692" s="3" t="str">
        <f ca="1">IF(A692&lt;&gt;"",MAX('Initiative Indirect'!$T:$T)+(ROW(A692)-1),"")</f>
        <v/>
      </c>
      <c r="U692" s="3" t="str">
        <f ca="1">IF(B692&lt;&gt;"",INDEX('Initiative Indirect'!$T:$T,MATCH(B692,'Initiative Indirect'!$A:$A,0)),"")</f>
        <v/>
      </c>
      <c r="V692" s="3" t="str">
        <f ca="1">IF(C692&lt;&gt;"",INDEX('Team Indirect'!$T:$T,MATCH(C692,'Team Indirect'!$A:$A,0)),"")</f>
        <v/>
      </c>
      <c r="W692" s="3"/>
      <c r="X692" s="3"/>
      <c r="Y692" s="3" t="str">
        <f ca="1">IF($C692&lt;&gt;"",INDEX('Team Indirect'!$D:$D,MATCH($C692,'Team Indirect'!$A:$A,0)),"")</f>
        <v/>
      </c>
      <c r="Z692" s="3" t="str">
        <f ca="1">IF($C692&lt;&gt;"",INDEX('Team Indirect'!$E:$E,MATCH($C692,'Team Indirect'!$A:$A,0)),"")</f>
        <v/>
      </c>
      <c r="AA692" s="3" t="str">
        <f ca="1">IF($C692&lt;&gt;"",INDEX('Team Indirect'!$F:$F,MATCH($C692,'Team Indirect'!$A:$A,0)),"")</f>
        <v/>
      </c>
      <c r="AB692" s="3" t="str">
        <f t="shared" ca="1" si="10"/>
        <v/>
      </c>
      <c r="AC692" s="3">
        <f ca="1">IF(OR(AllocationUnits="Stories", AllocationUnits="Points"),'Work Indirect'!F692,F692/MAX('Work Indirect'!AB692,1))</f>
        <v>1</v>
      </c>
    </row>
    <row r="693" spans="1:29"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7" t="str">
        <f ca="1">IF(OFFSET('4. Work'!$A$1,ROW(D693)-1,COLUMN(D693)-1)="","",OFFSET('4. Work'!$A$1,ROW(D693)-1,COLUMN(D693)-1))</f>
        <v/>
      </c>
      <c r="E693" s="147"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I693" s="3" t="str">
        <f ca="1">IF(OFFSET('4. Work'!$A$1,ROW(I693)-1,COLUMN(I693)-1)="","",OFFSET('4. Work'!$A$1,ROW(I693)-1,COLUMN(I693)-1))</f>
        <v/>
      </c>
      <c r="T693" s="3" t="str">
        <f ca="1">IF(A693&lt;&gt;"",MAX('Initiative Indirect'!$T:$T)+(ROW(A693)-1),"")</f>
        <v/>
      </c>
      <c r="U693" s="3" t="str">
        <f ca="1">IF(B693&lt;&gt;"",INDEX('Initiative Indirect'!$T:$T,MATCH(B693,'Initiative Indirect'!$A:$A,0)),"")</f>
        <v/>
      </c>
      <c r="V693" s="3" t="str">
        <f ca="1">IF(C693&lt;&gt;"",INDEX('Team Indirect'!$T:$T,MATCH(C693,'Team Indirect'!$A:$A,0)),"")</f>
        <v/>
      </c>
      <c r="W693" s="3"/>
      <c r="X693" s="3"/>
      <c r="Y693" s="3" t="str">
        <f ca="1">IF($C693&lt;&gt;"",INDEX('Team Indirect'!$D:$D,MATCH($C693,'Team Indirect'!$A:$A,0)),"")</f>
        <v/>
      </c>
      <c r="Z693" s="3" t="str">
        <f ca="1">IF($C693&lt;&gt;"",INDEX('Team Indirect'!$E:$E,MATCH($C693,'Team Indirect'!$A:$A,0)),"")</f>
        <v/>
      </c>
      <c r="AA693" s="3" t="str">
        <f ca="1">IF($C693&lt;&gt;"",INDEX('Team Indirect'!$F:$F,MATCH($C693,'Team Indirect'!$A:$A,0)),"")</f>
        <v/>
      </c>
      <c r="AB693" s="3" t="str">
        <f t="shared" ca="1" si="10"/>
        <v/>
      </c>
      <c r="AC693" s="3">
        <f ca="1">IF(OR(AllocationUnits="Stories", AllocationUnits="Points"),'Work Indirect'!F693,F693/MAX('Work Indirect'!AB693,1))</f>
        <v>1</v>
      </c>
    </row>
    <row r="694" spans="1:29"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7" t="str">
        <f ca="1">IF(OFFSET('4. Work'!$A$1,ROW(D694)-1,COLUMN(D694)-1)="","",OFFSET('4. Work'!$A$1,ROW(D694)-1,COLUMN(D694)-1))</f>
        <v/>
      </c>
      <c r="E694" s="147"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I694" s="3" t="str">
        <f ca="1">IF(OFFSET('4. Work'!$A$1,ROW(I694)-1,COLUMN(I694)-1)="","",OFFSET('4. Work'!$A$1,ROW(I694)-1,COLUMN(I694)-1))</f>
        <v/>
      </c>
      <c r="T694" s="3" t="str">
        <f ca="1">IF(A694&lt;&gt;"",MAX('Initiative Indirect'!$T:$T)+(ROW(A694)-1),"")</f>
        <v/>
      </c>
      <c r="U694" s="3" t="str">
        <f ca="1">IF(B694&lt;&gt;"",INDEX('Initiative Indirect'!$T:$T,MATCH(B694,'Initiative Indirect'!$A:$A,0)),"")</f>
        <v/>
      </c>
      <c r="V694" s="3" t="str">
        <f ca="1">IF(C694&lt;&gt;"",INDEX('Team Indirect'!$T:$T,MATCH(C694,'Team Indirect'!$A:$A,0)),"")</f>
        <v/>
      </c>
      <c r="W694" s="3"/>
      <c r="X694" s="3"/>
      <c r="Y694" s="3" t="str">
        <f ca="1">IF($C694&lt;&gt;"",INDEX('Team Indirect'!$D:$D,MATCH($C694,'Team Indirect'!$A:$A,0)),"")</f>
        <v/>
      </c>
      <c r="Z694" s="3" t="str">
        <f ca="1">IF($C694&lt;&gt;"",INDEX('Team Indirect'!$E:$E,MATCH($C694,'Team Indirect'!$A:$A,0)),"")</f>
        <v/>
      </c>
      <c r="AA694" s="3" t="str">
        <f ca="1">IF($C694&lt;&gt;"",INDEX('Team Indirect'!$F:$F,MATCH($C694,'Team Indirect'!$A:$A,0)),"")</f>
        <v/>
      </c>
      <c r="AB694" s="3" t="str">
        <f t="shared" ca="1" si="10"/>
        <v/>
      </c>
      <c r="AC694" s="3">
        <f ca="1">IF(OR(AllocationUnits="Stories", AllocationUnits="Points"),'Work Indirect'!F694,F694/MAX('Work Indirect'!AB694,1))</f>
        <v>1</v>
      </c>
    </row>
    <row r="695" spans="1:29"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7" t="str">
        <f ca="1">IF(OFFSET('4. Work'!$A$1,ROW(D695)-1,COLUMN(D695)-1)="","",OFFSET('4. Work'!$A$1,ROW(D695)-1,COLUMN(D695)-1))</f>
        <v/>
      </c>
      <c r="E695" s="147"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I695" s="3" t="str">
        <f ca="1">IF(OFFSET('4. Work'!$A$1,ROW(I695)-1,COLUMN(I695)-1)="","",OFFSET('4. Work'!$A$1,ROW(I695)-1,COLUMN(I695)-1))</f>
        <v/>
      </c>
      <c r="T695" s="3" t="str">
        <f ca="1">IF(A695&lt;&gt;"",MAX('Initiative Indirect'!$T:$T)+(ROW(A695)-1),"")</f>
        <v/>
      </c>
      <c r="U695" s="3" t="str">
        <f ca="1">IF(B695&lt;&gt;"",INDEX('Initiative Indirect'!$T:$T,MATCH(B695,'Initiative Indirect'!$A:$A,0)),"")</f>
        <v/>
      </c>
      <c r="V695" s="3" t="str">
        <f ca="1">IF(C695&lt;&gt;"",INDEX('Team Indirect'!$T:$T,MATCH(C695,'Team Indirect'!$A:$A,0)),"")</f>
        <v/>
      </c>
      <c r="W695" s="3"/>
      <c r="X695" s="3"/>
      <c r="Y695" s="3" t="str">
        <f ca="1">IF($C695&lt;&gt;"",INDEX('Team Indirect'!$D:$D,MATCH($C695,'Team Indirect'!$A:$A,0)),"")</f>
        <v/>
      </c>
      <c r="Z695" s="3" t="str">
        <f ca="1">IF($C695&lt;&gt;"",INDEX('Team Indirect'!$E:$E,MATCH($C695,'Team Indirect'!$A:$A,0)),"")</f>
        <v/>
      </c>
      <c r="AA695" s="3" t="str">
        <f ca="1">IF($C695&lt;&gt;"",INDEX('Team Indirect'!$F:$F,MATCH($C695,'Team Indirect'!$A:$A,0)),"")</f>
        <v/>
      </c>
      <c r="AB695" s="3" t="str">
        <f t="shared" ca="1" si="10"/>
        <v/>
      </c>
      <c r="AC695" s="3">
        <f ca="1">IF(OR(AllocationUnits="Stories", AllocationUnits="Points"),'Work Indirect'!F695,F695/MAX('Work Indirect'!AB695,1))</f>
        <v>1</v>
      </c>
    </row>
    <row r="696" spans="1:29"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7" t="str">
        <f ca="1">IF(OFFSET('4. Work'!$A$1,ROW(D696)-1,COLUMN(D696)-1)="","",OFFSET('4. Work'!$A$1,ROW(D696)-1,COLUMN(D696)-1))</f>
        <v/>
      </c>
      <c r="E696" s="147"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I696" s="3" t="str">
        <f ca="1">IF(OFFSET('4. Work'!$A$1,ROW(I696)-1,COLUMN(I696)-1)="","",OFFSET('4. Work'!$A$1,ROW(I696)-1,COLUMN(I696)-1))</f>
        <v/>
      </c>
      <c r="T696" s="3" t="str">
        <f ca="1">IF(A696&lt;&gt;"",MAX('Initiative Indirect'!$T:$T)+(ROW(A696)-1),"")</f>
        <v/>
      </c>
      <c r="U696" s="3" t="str">
        <f ca="1">IF(B696&lt;&gt;"",INDEX('Initiative Indirect'!$T:$T,MATCH(B696,'Initiative Indirect'!$A:$A,0)),"")</f>
        <v/>
      </c>
      <c r="V696" s="3" t="str">
        <f ca="1">IF(C696&lt;&gt;"",INDEX('Team Indirect'!$T:$T,MATCH(C696,'Team Indirect'!$A:$A,0)),"")</f>
        <v/>
      </c>
      <c r="W696" s="3"/>
      <c r="X696" s="3"/>
      <c r="Y696" s="3" t="str">
        <f ca="1">IF($C696&lt;&gt;"",INDEX('Team Indirect'!$D:$D,MATCH($C696,'Team Indirect'!$A:$A,0)),"")</f>
        <v/>
      </c>
      <c r="Z696" s="3" t="str">
        <f ca="1">IF($C696&lt;&gt;"",INDEX('Team Indirect'!$E:$E,MATCH($C696,'Team Indirect'!$A:$A,0)),"")</f>
        <v/>
      </c>
      <c r="AA696" s="3" t="str">
        <f ca="1">IF($C696&lt;&gt;"",INDEX('Team Indirect'!$F:$F,MATCH($C696,'Team Indirect'!$A:$A,0)),"")</f>
        <v/>
      </c>
      <c r="AB696" s="3" t="str">
        <f t="shared" ca="1" si="10"/>
        <v/>
      </c>
      <c r="AC696" s="3">
        <f ca="1">IF(OR(AllocationUnits="Stories", AllocationUnits="Points"),'Work Indirect'!F696,F696/MAX('Work Indirect'!AB696,1))</f>
        <v>1</v>
      </c>
    </row>
    <row r="697" spans="1:29"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7" t="str">
        <f ca="1">IF(OFFSET('4. Work'!$A$1,ROW(D697)-1,COLUMN(D697)-1)="","",OFFSET('4. Work'!$A$1,ROW(D697)-1,COLUMN(D697)-1))</f>
        <v/>
      </c>
      <c r="E697" s="147"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I697" s="3" t="str">
        <f ca="1">IF(OFFSET('4. Work'!$A$1,ROW(I697)-1,COLUMN(I697)-1)="","",OFFSET('4. Work'!$A$1,ROW(I697)-1,COLUMN(I697)-1))</f>
        <v/>
      </c>
      <c r="T697" s="3" t="str">
        <f ca="1">IF(A697&lt;&gt;"",MAX('Initiative Indirect'!$T:$T)+(ROW(A697)-1),"")</f>
        <v/>
      </c>
      <c r="U697" s="3" t="str">
        <f ca="1">IF(B697&lt;&gt;"",INDEX('Initiative Indirect'!$T:$T,MATCH(B697,'Initiative Indirect'!$A:$A,0)),"")</f>
        <v/>
      </c>
      <c r="V697" s="3" t="str">
        <f ca="1">IF(C697&lt;&gt;"",INDEX('Team Indirect'!$T:$T,MATCH(C697,'Team Indirect'!$A:$A,0)),"")</f>
        <v/>
      </c>
      <c r="W697" s="3"/>
      <c r="X697" s="3"/>
      <c r="Y697" s="3" t="str">
        <f ca="1">IF($C697&lt;&gt;"",INDEX('Team Indirect'!$D:$D,MATCH($C697,'Team Indirect'!$A:$A,0)),"")</f>
        <v/>
      </c>
      <c r="Z697" s="3" t="str">
        <f ca="1">IF($C697&lt;&gt;"",INDEX('Team Indirect'!$E:$E,MATCH($C697,'Team Indirect'!$A:$A,0)),"")</f>
        <v/>
      </c>
      <c r="AA697" s="3" t="str">
        <f ca="1">IF($C697&lt;&gt;"",INDEX('Team Indirect'!$F:$F,MATCH($C697,'Team Indirect'!$A:$A,0)),"")</f>
        <v/>
      </c>
      <c r="AB697" s="3" t="str">
        <f t="shared" ca="1" si="10"/>
        <v/>
      </c>
      <c r="AC697" s="3">
        <f ca="1">IF(OR(AllocationUnits="Stories", AllocationUnits="Points"),'Work Indirect'!F697,F697/MAX('Work Indirect'!AB697,1))</f>
        <v>1</v>
      </c>
    </row>
    <row r="698" spans="1:29"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7" t="str">
        <f ca="1">IF(OFFSET('4. Work'!$A$1,ROW(D698)-1,COLUMN(D698)-1)="","",OFFSET('4. Work'!$A$1,ROW(D698)-1,COLUMN(D698)-1))</f>
        <v/>
      </c>
      <c r="E698" s="147"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I698" s="3" t="str">
        <f ca="1">IF(OFFSET('4. Work'!$A$1,ROW(I698)-1,COLUMN(I698)-1)="","",OFFSET('4. Work'!$A$1,ROW(I698)-1,COLUMN(I698)-1))</f>
        <v/>
      </c>
      <c r="T698" s="3" t="str">
        <f ca="1">IF(A698&lt;&gt;"",MAX('Initiative Indirect'!$T:$T)+(ROW(A698)-1),"")</f>
        <v/>
      </c>
      <c r="U698" s="3" t="str">
        <f ca="1">IF(B698&lt;&gt;"",INDEX('Initiative Indirect'!$T:$T,MATCH(B698,'Initiative Indirect'!$A:$A,0)),"")</f>
        <v/>
      </c>
      <c r="V698" s="3" t="str">
        <f ca="1">IF(C698&lt;&gt;"",INDEX('Team Indirect'!$T:$T,MATCH(C698,'Team Indirect'!$A:$A,0)),"")</f>
        <v/>
      </c>
      <c r="W698" s="3"/>
      <c r="X698" s="3"/>
      <c r="Y698" s="3" t="str">
        <f ca="1">IF($C698&lt;&gt;"",INDEX('Team Indirect'!$D:$D,MATCH($C698,'Team Indirect'!$A:$A,0)),"")</f>
        <v/>
      </c>
      <c r="Z698" s="3" t="str">
        <f ca="1">IF($C698&lt;&gt;"",INDEX('Team Indirect'!$E:$E,MATCH($C698,'Team Indirect'!$A:$A,0)),"")</f>
        <v/>
      </c>
      <c r="AA698" s="3" t="str">
        <f ca="1">IF($C698&lt;&gt;"",INDEX('Team Indirect'!$F:$F,MATCH($C698,'Team Indirect'!$A:$A,0)),"")</f>
        <v/>
      </c>
      <c r="AB698" s="3" t="str">
        <f t="shared" ca="1" si="10"/>
        <v/>
      </c>
      <c r="AC698" s="3">
        <f ca="1">IF(OR(AllocationUnits="Stories", AllocationUnits="Points"),'Work Indirect'!F698,F698/MAX('Work Indirect'!AB698,1))</f>
        <v>1</v>
      </c>
    </row>
    <row r="699" spans="1:29"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7" t="str">
        <f ca="1">IF(OFFSET('4. Work'!$A$1,ROW(D699)-1,COLUMN(D699)-1)="","",OFFSET('4. Work'!$A$1,ROW(D699)-1,COLUMN(D699)-1))</f>
        <v/>
      </c>
      <c r="E699" s="147"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I699" s="3" t="str">
        <f ca="1">IF(OFFSET('4. Work'!$A$1,ROW(I699)-1,COLUMN(I699)-1)="","",OFFSET('4. Work'!$A$1,ROW(I699)-1,COLUMN(I699)-1))</f>
        <v/>
      </c>
      <c r="T699" s="3" t="str">
        <f ca="1">IF(A699&lt;&gt;"",MAX('Initiative Indirect'!$T:$T)+(ROW(A699)-1),"")</f>
        <v/>
      </c>
      <c r="U699" s="3" t="str">
        <f ca="1">IF(B699&lt;&gt;"",INDEX('Initiative Indirect'!$T:$T,MATCH(B699,'Initiative Indirect'!$A:$A,0)),"")</f>
        <v/>
      </c>
      <c r="V699" s="3" t="str">
        <f ca="1">IF(C699&lt;&gt;"",INDEX('Team Indirect'!$T:$T,MATCH(C699,'Team Indirect'!$A:$A,0)),"")</f>
        <v/>
      </c>
      <c r="W699" s="3"/>
      <c r="X699" s="3"/>
      <c r="Y699" s="3" t="str">
        <f ca="1">IF($C699&lt;&gt;"",INDEX('Team Indirect'!$D:$D,MATCH($C699,'Team Indirect'!$A:$A,0)),"")</f>
        <v/>
      </c>
      <c r="Z699" s="3" t="str">
        <f ca="1">IF($C699&lt;&gt;"",INDEX('Team Indirect'!$E:$E,MATCH($C699,'Team Indirect'!$A:$A,0)),"")</f>
        <v/>
      </c>
      <c r="AA699" s="3" t="str">
        <f ca="1">IF($C699&lt;&gt;"",INDEX('Team Indirect'!$F:$F,MATCH($C699,'Team Indirect'!$A:$A,0)),"")</f>
        <v/>
      </c>
      <c r="AB699" s="3" t="str">
        <f t="shared" ca="1" si="10"/>
        <v/>
      </c>
      <c r="AC699" s="3">
        <f ca="1">IF(OR(AllocationUnits="Stories", AllocationUnits="Points"),'Work Indirect'!F699,F699/MAX('Work Indirect'!AB699,1))</f>
        <v>1</v>
      </c>
    </row>
    <row r="700" spans="1:29"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7" t="str">
        <f ca="1">IF(OFFSET('4. Work'!$A$1,ROW(D700)-1,COLUMN(D700)-1)="","",OFFSET('4. Work'!$A$1,ROW(D700)-1,COLUMN(D700)-1))</f>
        <v/>
      </c>
      <c r="E700" s="147"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I700" s="3" t="str">
        <f ca="1">IF(OFFSET('4. Work'!$A$1,ROW(I700)-1,COLUMN(I700)-1)="","",OFFSET('4. Work'!$A$1,ROW(I700)-1,COLUMN(I700)-1))</f>
        <v/>
      </c>
      <c r="T700" s="3" t="str">
        <f ca="1">IF(A700&lt;&gt;"",MAX('Initiative Indirect'!$T:$T)+(ROW(A700)-1),"")</f>
        <v/>
      </c>
      <c r="U700" s="3" t="str">
        <f ca="1">IF(B700&lt;&gt;"",INDEX('Initiative Indirect'!$T:$T,MATCH(B700,'Initiative Indirect'!$A:$A,0)),"")</f>
        <v/>
      </c>
      <c r="V700" s="3" t="str">
        <f ca="1">IF(C700&lt;&gt;"",INDEX('Team Indirect'!$T:$T,MATCH(C700,'Team Indirect'!$A:$A,0)),"")</f>
        <v/>
      </c>
      <c r="W700" s="3"/>
      <c r="X700" s="3"/>
      <c r="Y700" s="3" t="str">
        <f ca="1">IF($C700&lt;&gt;"",INDEX('Team Indirect'!$D:$D,MATCH($C700,'Team Indirect'!$A:$A,0)),"")</f>
        <v/>
      </c>
      <c r="Z700" s="3" t="str">
        <f ca="1">IF($C700&lt;&gt;"",INDEX('Team Indirect'!$E:$E,MATCH($C700,'Team Indirect'!$A:$A,0)),"")</f>
        <v/>
      </c>
      <c r="AA700" s="3" t="str">
        <f ca="1">IF($C700&lt;&gt;"",INDEX('Team Indirect'!$F:$F,MATCH($C700,'Team Indirect'!$A:$A,0)),"")</f>
        <v/>
      </c>
      <c r="AB700" s="3" t="str">
        <f t="shared" ca="1" si="10"/>
        <v/>
      </c>
      <c r="AC700" s="3">
        <f ca="1">IF(OR(AllocationUnits="Stories", AllocationUnits="Points"),'Work Indirect'!F700,F700/MAX('Work Indirect'!AB700,1))</f>
        <v>1</v>
      </c>
    </row>
    <row r="701" spans="1:29"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7" t="str">
        <f ca="1">IF(OFFSET('4. Work'!$A$1,ROW(D701)-1,COLUMN(D701)-1)="","",OFFSET('4. Work'!$A$1,ROW(D701)-1,COLUMN(D701)-1))</f>
        <v/>
      </c>
      <c r="E701" s="147"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I701" s="3" t="str">
        <f ca="1">IF(OFFSET('4. Work'!$A$1,ROW(I701)-1,COLUMN(I701)-1)="","",OFFSET('4. Work'!$A$1,ROW(I701)-1,COLUMN(I701)-1))</f>
        <v/>
      </c>
      <c r="T701" s="3" t="str">
        <f ca="1">IF(A701&lt;&gt;"",MAX('Initiative Indirect'!$T:$T)+(ROW(A701)-1),"")</f>
        <v/>
      </c>
      <c r="U701" s="3" t="str">
        <f ca="1">IF(B701&lt;&gt;"",INDEX('Initiative Indirect'!$T:$T,MATCH(B701,'Initiative Indirect'!$A:$A,0)),"")</f>
        <v/>
      </c>
      <c r="V701" s="3" t="str">
        <f ca="1">IF(C701&lt;&gt;"",INDEX('Team Indirect'!$T:$T,MATCH(C701,'Team Indirect'!$A:$A,0)),"")</f>
        <v/>
      </c>
      <c r="W701" s="3"/>
      <c r="X701" s="3"/>
      <c r="Y701" s="3" t="str">
        <f ca="1">IF($C701&lt;&gt;"",INDEX('Team Indirect'!$D:$D,MATCH($C701,'Team Indirect'!$A:$A,0)),"")</f>
        <v/>
      </c>
      <c r="Z701" s="3" t="str">
        <f ca="1">IF($C701&lt;&gt;"",INDEX('Team Indirect'!$E:$E,MATCH($C701,'Team Indirect'!$A:$A,0)),"")</f>
        <v/>
      </c>
      <c r="AA701" s="3" t="str">
        <f ca="1">IF($C701&lt;&gt;"",INDEX('Team Indirect'!$F:$F,MATCH($C701,'Team Indirect'!$A:$A,0)),"")</f>
        <v/>
      </c>
      <c r="AB701" s="3" t="str">
        <f t="shared" ca="1" si="10"/>
        <v/>
      </c>
      <c r="AC701" s="3">
        <f ca="1">IF(OR(AllocationUnits="Stories", AllocationUnits="Points"),'Work Indirect'!F701,F701/MAX('Work Indirect'!AB701,1))</f>
        <v>1</v>
      </c>
    </row>
    <row r="702" spans="1:29"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7" t="str">
        <f ca="1">IF(OFFSET('4. Work'!$A$1,ROW(D702)-1,COLUMN(D702)-1)="","",OFFSET('4. Work'!$A$1,ROW(D702)-1,COLUMN(D702)-1))</f>
        <v/>
      </c>
      <c r="E702" s="147"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I702" s="3" t="str">
        <f ca="1">IF(OFFSET('4. Work'!$A$1,ROW(I702)-1,COLUMN(I702)-1)="","",OFFSET('4. Work'!$A$1,ROW(I702)-1,COLUMN(I702)-1))</f>
        <v/>
      </c>
      <c r="T702" s="3" t="str">
        <f ca="1">IF(A702&lt;&gt;"",MAX('Initiative Indirect'!$T:$T)+(ROW(A702)-1),"")</f>
        <v/>
      </c>
      <c r="U702" s="3" t="str">
        <f ca="1">IF(B702&lt;&gt;"",INDEX('Initiative Indirect'!$T:$T,MATCH(B702,'Initiative Indirect'!$A:$A,0)),"")</f>
        <v/>
      </c>
      <c r="V702" s="3" t="str">
        <f ca="1">IF(C702&lt;&gt;"",INDEX('Team Indirect'!$T:$T,MATCH(C702,'Team Indirect'!$A:$A,0)),"")</f>
        <v/>
      </c>
      <c r="W702" s="3"/>
      <c r="X702" s="3"/>
      <c r="Y702" s="3" t="str">
        <f ca="1">IF($C702&lt;&gt;"",INDEX('Team Indirect'!$D:$D,MATCH($C702,'Team Indirect'!$A:$A,0)),"")</f>
        <v/>
      </c>
      <c r="Z702" s="3" t="str">
        <f ca="1">IF($C702&lt;&gt;"",INDEX('Team Indirect'!$E:$E,MATCH($C702,'Team Indirect'!$A:$A,0)),"")</f>
        <v/>
      </c>
      <c r="AA702" s="3" t="str">
        <f ca="1">IF($C702&lt;&gt;"",INDEX('Team Indirect'!$F:$F,MATCH($C702,'Team Indirect'!$A:$A,0)),"")</f>
        <v/>
      </c>
      <c r="AB702" s="3" t="str">
        <f t="shared" ca="1" si="10"/>
        <v/>
      </c>
      <c r="AC702" s="3">
        <f ca="1">IF(OR(AllocationUnits="Stories", AllocationUnits="Points"),'Work Indirect'!F702,F702/MAX('Work Indirect'!AB702,1))</f>
        <v>1</v>
      </c>
    </row>
    <row r="703" spans="1:29"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7" t="str">
        <f ca="1">IF(OFFSET('4. Work'!$A$1,ROW(D703)-1,COLUMN(D703)-1)="","",OFFSET('4. Work'!$A$1,ROW(D703)-1,COLUMN(D703)-1))</f>
        <v/>
      </c>
      <c r="E703" s="147"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I703" s="3" t="str">
        <f ca="1">IF(OFFSET('4. Work'!$A$1,ROW(I703)-1,COLUMN(I703)-1)="","",OFFSET('4. Work'!$A$1,ROW(I703)-1,COLUMN(I703)-1))</f>
        <v/>
      </c>
      <c r="T703" s="3" t="str">
        <f ca="1">IF(A703&lt;&gt;"",MAX('Initiative Indirect'!$T:$T)+(ROW(A703)-1),"")</f>
        <v/>
      </c>
      <c r="U703" s="3" t="str">
        <f ca="1">IF(B703&lt;&gt;"",INDEX('Initiative Indirect'!$T:$T,MATCH(B703,'Initiative Indirect'!$A:$A,0)),"")</f>
        <v/>
      </c>
      <c r="V703" s="3" t="str">
        <f ca="1">IF(C703&lt;&gt;"",INDEX('Team Indirect'!$T:$T,MATCH(C703,'Team Indirect'!$A:$A,0)),"")</f>
        <v/>
      </c>
      <c r="W703" s="3"/>
      <c r="X703" s="3"/>
      <c r="Y703" s="3" t="str">
        <f ca="1">IF($C703&lt;&gt;"",INDEX('Team Indirect'!$D:$D,MATCH($C703,'Team Indirect'!$A:$A,0)),"")</f>
        <v/>
      </c>
      <c r="Z703" s="3" t="str">
        <f ca="1">IF($C703&lt;&gt;"",INDEX('Team Indirect'!$E:$E,MATCH($C703,'Team Indirect'!$A:$A,0)),"")</f>
        <v/>
      </c>
      <c r="AA703" s="3" t="str">
        <f ca="1">IF($C703&lt;&gt;"",INDEX('Team Indirect'!$F:$F,MATCH($C703,'Team Indirect'!$A:$A,0)),"")</f>
        <v/>
      </c>
      <c r="AB703" s="3" t="str">
        <f t="shared" ca="1" si="10"/>
        <v/>
      </c>
      <c r="AC703" s="3">
        <f ca="1">IF(OR(AllocationUnits="Stories", AllocationUnits="Points"),'Work Indirect'!F703,F703/MAX('Work Indirect'!AB703,1))</f>
        <v>1</v>
      </c>
    </row>
    <row r="704" spans="1:29"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7" t="str">
        <f ca="1">IF(OFFSET('4. Work'!$A$1,ROW(D704)-1,COLUMN(D704)-1)="","",OFFSET('4. Work'!$A$1,ROW(D704)-1,COLUMN(D704)-1))</f>
        <v/>
      </c>
      <c r="E704" s="147"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I704" s="3" t="str">
        <f ca="1">IF(OFFSET('4. Work'!$A$1,ROW(I704)-1,COLUMN(I704)-1)="","",OFFSET('4. Work'!$A$1,ROW(I704)-1,COLUMN(I704)-1))</f>
        <v/>
      </c>
      <c r="T704" s="3" t="str">
        <f ca="1">IF(A704&lt;&gt;"",MAX('Initiative Indirect'!$T:$T)+(ROW(A704)-1),"")</f>
        <v/>
      </c>
      <c r="U704" s="3" t="str">
        <f ca="1">IF(B704&lt;&gt;"",INDEX('Initiative Indirect'!$T:$T,MATCH(B704,'Initiative Indirect'!$A:$A,0)),"")</f>
        <v/>
      </c>
      <c r="V704" s="3" t="str">
        <f ca="1">IF(C704&lt;&gt;"",INDEX('Team Indirect'!$T:$T,MATCH(C704,'Team Indirect'!$A:$A,0)),"")</f>
        <v/>
      </c>
      <c r="W704" s="3"/>
      <c r="X704" s="3"/>
      <c r="Y704" s="3" t="str">
        <f ca="1">IF($C704&lt;&gt;"",INDEX('Team Indirect'!$D:$D,MATCH($C704,'Team Indirect'!$A:$A,0)),"")</f>
        <v/>
      </c>
      <c r="Z704" s="3" t="str">
        <f ca="1">IF($C704&lt;&gt;"",INDEX('Team Indirect'!$E:$E,MATCH($C704,'Team Indirect'!$A:$A,0)),"")</f>
        <v/>
      </c>
      <c r="AA704" s="3" t="str">
        <f ca="1">IF($C704&lt;&gt;"",INDEX('Team Indirect'!$F:$F,MATCH($C704,'Team Indirect'!$A:$A,0)),"")</f>
        <v/>
      </c>
      <c r="AB704" s="3" t="str">
        <f t="shared" ca="1" si="10"/>
        <v/>
      </c>
      <c r="AC704" s="3">
        <f ca="1">IF(OR(AllocationUnits="Stories", AllocationUnits="Points"),'Work Indirect'!F704,F704/MAX('Work Indirect'!AB704,1))</f>
        <v>1</v>
      </c>
    </row>
    <row r="705" spans="1:29"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7" t="str">
        <f ca="1">IF(OFFSET('4. Work'!$A$1,ROW(D705)-1,COLUMN(D705)-1)="","",OFFSET('4. Work'!$A$1,ROW(D705)-1,COLUMN(D705)-1))</f>
        <v/>
      </c>
      <c r="E705" s="147"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I705" s="3" t="str">
        <f ca="1">IF(OFFSET('4. Work'!$A$1,ROW(I705)-1,COLUMN(I705)-1)="","",OFFSET('4. Work'!$A$1,ROW(I705)-1,COLUMN(I705)-1))</f>
        <v/>
      </c>
      <c r="T705" s="3" t="str">
        <f ca="1">IF(A705&lt;&gt;"",MAX('Initiative Indirect'!$T:$T)+(ROW(A705)-1),"")</f>
        <v/>
      </c>
      <c r="U705" s="3" t="str">
        <f ca="1">IF(B705&lt;&gt;"",INDEX('Initiative Indirect'!$T:$T,MATCH(B705,'Initiative Indirect'!$A:$A,0)),"")</f>
        <v/>
      </c>
      <c r="V705" s="3" t="str">
        <f ca="1">IF(C705&lt;&gt;"",INDEX('Team Indirect'!$T:$T,MATCH(C705,'Team Indirect'!$A:$A,0)),"")</f>
        <v/>
      </c>
      <c r="W705" s="3"/>
      <c r="X705" s="3"/>
      <c r="Y705" s="3" t="str">
        <f ca="1">IF($C705&lt;&gt;"",INDEX('Team Indirect'!$D:$D,MATCH($C705,'Team Indirect'!$A:$A,0)),"")</f>
        <v/>
      </c>
      <c r="Z705" s="3" t="str">
        <f ca="1">IF($C705&lt;&gt;"",INDEX('Team Indirect'!$E:$E,MATCH($C705,'Team Indirect'!$A:$A,0)),"")</f>
        <v/>
      </c>
      <c r="AA705" s="3" t="str">
        <f ca="1">IF($C705&lt;&gt;"",INDEX('Team Indirect'!$F:$F,MATCH($C705,'Team Indirect'!$A:$A,0)),"")</f>
        <v/>
      </c>
      <c r="AB705" s="3" t="str">
        <f t="shared" ca="1" si="10"/>
        <v/>
      </c>
      <c r="AC705" s="3">
        <f ca="1">IF(OR(AllocationUnits="Stories", AllocationUnits="Points"),'Work Indirect'!F705,F705/MAX('Work Indirect'!AB705,1))</f>
        <v>1</v>
      </c>
    </row>
    <row r="706" spans="1:29"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7" t="str">
        <f ca="1">IF(OFFSET('4. Work'!$A$1,ROW(D706)-1,COLUMN(D706)-1)="","",OFFSET('4. Work'!$A$1,ROW(D706)-1,COLUMN(D706)-1))</f>
        <v/>
      </c>
      <c r="E706" s="147"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I706" s="3" t="str">
        <f ca="1">IF(OFFSET('4. Work'!$A$1,ROW(I706)-1,COLUMN(I706)-1)="","",OFFSET('4. Work'!$A$1,ROW(I706)-1,COLUMN(I706)-1))</f>
        <v/>
      </c>
      <c r="T706" s="3" t="str">
        <f ca="1">IF(A706&lt;&gt;"",MAX('Initiative Indirect'!$T:$T)+(ROW(A706)-1),"")</f>
        <v/>
      </c>
      <c r="U706" s="3" t="str">
        <f ca="1">IF(B706&lt;&gt;"",INDEX('Initiative Indirect'!$T:$T,MATCH(B706,'Initiative Indirect'!$A:$A,0)),"")</f>
        <v/>
      </c>
      <c r="V706" s="3" t="str">
        <f ca="1">IF(C706&lt;&gt;"",INDEX('Team Indirect'!$T:$T,MATCH(C706,'Team Indirect'!$A:$A,0)),"")</f>
        <v/>
      </c>
      <c r="W706" s="3"/>
      <c r="X706" s="3"/>
      <c r="Y706" s="3" t="str">
        <f ca="1">IF($C706&lt;&gt;"",INDEX('Team Indirect'!$D:$D,MATCH($C706,'Team Indirect'!$A:$A,0)),"")</f>
        <v/>
      </c>
      <c r="Z706" s="3" t="str">
        <f ca="1">IF($C706&lt;&gt;"",INDEX('Team Indirect'!$E:$E,MATCH($C706,'Team Indirect'!$A:$A,0)),"")</f>
        <v/>
      </c>
      <c r="AA706" s="3" t="str">
        <f ca="1">IF($C706&lt;&gt;"",INDEX('Team Indirect'!$F:$F,MATCH($C706,'Team Indirect'!$A:$A,0)),"")</f>
        <v/>
      </c>
      <c r="AB706" s="3" t="str">
        <f t="shared" ref="AB706:AB769" ca="1" si="11">IF(AND(Y706&lt;&gt;"",Z706&lt;&gt;""),Y706+((Z706-Y706)*(1-MAX(0,AA706))*(1-Probability)),"")</f>
        <v/>
      </c>
      <c r="AC706" s="3">
        <f ca="1">IF(OR(AllocationUnits="Stories", AllocationUnits="Points"),'Work Indirect'!F706,F706/MAX('Work Indirect'!AB706,1))</f>
        <v>1</v>
      </c>
    </row>
    <row r="707" spans="1:29"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7" t="str">
        <f ca="1">IF(OFFSET('4. Work'!$A$1,ROW(D707)-1,COLUMN(D707)-1)="","",OFFSET('4. Work'!$A$1,ROW(D707)-1,COLUMN(D707)-1))</f>
        <v/>
      </c>
      <c r="E707" s="147"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I707" s="3" t="str">
        <f ca="1">IF(OFFSET('4. Work'!$A$1,ROW(I707)-1,COLUMN(I707)-1)="","",OFFSET('4. Work'!$A$1,ROW(I707)-1,COLUMN(I707)-1))</f>
        <v/>
      </c>
      <c r="T707" s="3" t="str">
        <f ca="1">IF(A707&lt;&gt;"",MAX('Initiative Indirect'!$T:$T)+(ROW(A707)-1),"")</f>
        <v/>
      </c>
      <c r="U707" s="3" t="str">
        <f ca="1">IF(B707&lt;&gt;"",INDEX('Initiative Indirect'!$T:$T,MATCH(B707,'Initiative Indirect'!$A:$A,0)),"")</f>
        <v/>
      </c>
      <c r="V707" s="3" t="str">
        <f ca="1">IF(C707&lt;&gt;"",INDEX('Team Indirect'!$T:$T,MATCH(C707,'Team Indirect'!$A:$A,0)),"")</f>
        <v/>
      </c>
      <c r="W707" s="3"/>
      <c r="X707" s="3"/>
      <c r="Y707" s="3" t="str">
        <f ca="1">IF($C707&lt;&gt;"",INDEX('Team Indirect'!$D:$D,MATCH($C707,'Team Indirect'!$A:$A,0)),"")</f>
        <v/>
      </c>
      <c r="Z707" s="3" t="str">
        <f ca="1">IF($C707&lt;&gt;"",INDEX('Team Indirect'!$E:$E,MATCH($C707,'Team Indirect'!$A:$A,0)),"")</f>
        <v/>
      </c>
      <c r="AA707" s="3" t="str">
        <f ca="1">IF($C707&lt;&gt;"",INDEX('Team Indirect'!$F:$F,MATCH($C707,'Team Indirect'!$A:$A,0)),"")</f>
        <v/>
      </c>
      <c r="AB707" s="3" t="str">
        <f t="shared" ca="1" si="11"/>
        <v/>
      </c>
      <c r="AC707" s="3">
        <f ca="1">IF(OR(AllocationUnits="Stories", AllocationUnits="Points"),'Work Indirect'!F707,F707/MAX('Work Indirect'!AB707,1))</f>
        <v>1</v>
      </c>
    </row>
    <row r="708" spans="1:29"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7" t="str">
        <f ca="1">IF(OFFSET('4. Work'!$A$1,ROW(D708)-1,COLUMN(D708)-1)="","",OFFSET('4. Work'!$A$1,ROW(D708)-1,COLUMN(D708)-1))</f>
        <v/>
      </c>
      <c r="E708" s="147"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I708" s="3" t="str">
        <f ca="1">IF(OFFSET('4. Work'!$A$1,ROW(I708)-1,COLUMN(I708)-1)="","",OFFSET('4. Work'!$A$1,ROW(I708)-1,COLUMN(I708)-1))</f>
        <v/>
      </c>
      <c r="T708" s="3" t="str">
        <f ca="1">IF(A708&lt;&gt;"",MAX('Initiative Indirect'!$T:$T)+(ROW(A708)-1),"")</f>
        <v/>
      </c>
      <c r="U708" s="3" t="str">
        <f ca="1">IF(B708&lt;&gt;"",INDEX('Initiative Indirect'!$T:$T,MATCH(B708,'Initiative Indirect'!$A:$A,0)),"")</f>
        <v/>
      </c>
      <c r="V708" s="3" t="str">
        <f ca="1">IF(C708&lt;&gt;"",INDEX('Team Indirect'!$T:$T,MATCH(C708,'Team Indirect'!$A:$A,0)),"")</f>
        <v/>
      </c>
      <c r="W708" s="3"/>
      <c r="X708" s="3"/>
      <c r="Y708" s="3" t="str">
        <f ca="1">IF($C708&lt;&gt;"",INDEX('Team Indirect'!$D:$D,MATCH($C708,'Team Indirect'!$A:$A,0)),"")</f>
        <v/>
      </c>
      <c r="Z708" s="3" t="str">
        <f ca="1">IF($C708&lt;&gt;"",INDEX('Team Indirect'!$E:$E,MATCH($C708,'Team Indirect'!$A:$A,0)),"")</f>
        <v/>
      </c>
      <c r="AA708" s="3" t="str">
        <f ca="1">IF($C708&lt;&gt;"",INDEX('Team Indirect'!$F:$F,MATCH($C708,'Team Indirect'!$A:$A,0)),"")</f>
        <v/>
      </c>
      <c r="AB708" s="3" t="str">
        <f t="shared" ca="1" si="11"/>
        <v/>
      </c>
      <c r="AC708" s="3">
        <f ca="1">IF(OR(AllocationUnits="Stories", AllocationUnits="Points"),'Work Indirect'!F708,F708/MAX('Work Indirect'!AB708,1))</f>
        <v>1</v>
      </c>
    </row>
    <row r="709" spans="1:29"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7" t="str">
        <f ca="1">IF(OFFSET('4. Work'!$A$1,ROW(D709)-1,COLUMN(D709)-1)="","",OFFSET('4. Work'!$A$1,ROW(D709)-1,COLUMN(D709)-1))</f>
        <v/>
      </c>
      <c r="E709" s="147"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I709" s="3" t="str">
        <f ca="1">IF(OFFSET('4. Work'!$A$1,ROW(I709)-1,COLUMN(I709)-1)="","",OFFSET('4. Work'!$A$1,ROW(I709)-1,COLUMN(I709)-1))</f>
        <v/>
      </c>
      <c r="T709" s="3" t="str">
        <f ca="1">IF(A709&lt;&gt;"",MAX('Initiative Indirect'!$T:$T)+(ROW(A709)-1),"")</f>
        <v/>
      </c>
      <c r="U709" s="3" t="str">
        <f ca="1">IF(B709&lt;&gt;"",INDEX('Initiative Indirect'!$T:$T,MATCH(B709,'Initiative Indirect'!$A:$A,0)),"")</f>
        <v/>
      </c>
      <c r="V709" s="3" t="str">
        <f ca="1">IF(C709&lt;&gt;"",INDEX('Team Indirect'!$T:$T,MATCH(C709,'Team Indirect'!$A:$A,0)),"")</f>
        <v/>
      </c>
      <c r="W709" s="3"/>
      <c r="X709" s="3"/>
      <c r="Y709" s="3" t="str">
        <f ca="1">IF($C709&lt;&gt;"",INDEX('Team Indirect'!$D:$D,MATCH($C709,'Team Indirect'!$A:$A,0)),"")</f>
        <v/>
      </c>
      <c r="Z709" s="3" t="str">
        <f ca="1">IF($C709&lt;&gt;"",INDEX('Team Indirect'!$E:$E,MATCH($C709,'Team Indirect'!$A:$A,0)),"")</f>
        <v/>
      </c>
      <c r="AA709" s="3" t="str">
        <f ca="1">IF($C709&lt;&gt;"",INDEX('Team Indirect'!$F:$F,MATCH($C709,'Team Indirect'!$A:$A,0)),"")</f>
        <v/>
      </c>
      <c r="AB709" s="3" t="str">
        <f t="shared" ca="1" si="11"/>
        <v/>
      </c>
      <c r="AC709" s="3">
        <f ca="1">IF(OR(AllocationUnits="Stories", AllocationUnits="Points"),'Work Indirect'!F709,F709/MAX('Work Indirect'!AB709,1))</f>
        <v>1</v>
      </c>
    </row>
    <row r="710" spans="1:29"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7" t="str">
        <f ca="1">IF(OFFSET('4. Work'!$A$1,ROW(D710)-1,COLUMN(D710)-1)="","",OFFSET('4. Work'!$A$1,ROW(D710)-1,COLUMN(D710)-1))</f>
        <v/>
      </c>
      <c r="E710" s="147"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I710" s="3" t="str">
        <f ca="1">IF(OFFSET('4. Work'!$A$1,ROW(I710)-1,COLUMN(I710)-1)="","",OFFSET('4. Work'!$A$1,ROW(I710)-1,COLUMN(I710)-1))</f>
        <v/>
      </c>
      <c r="T710" s="3" t="str">
        <f ca="1">IF(A710&lt;&gt;"",MAX('Initiative Indirect'!$T:$T)+(ROW(A710)-1),"")</f>
        <v/>
      </c>
      <c r="U710" s="3" t="str">
        <f ca="1">IF(B710&lt;&gt;"",INDEX('Initiative Indirect'!$T:$T,MATCH(B710,'Initiative Indirect'!$A:$A,0)),"")</f>
        <v/>
      </c>
      <c r="V710" s="3" t="str">
        <f ca="1">IF(C710&lt;&gt;"",INDEX('Team Indirect'!$T:$T,MATCH(C710,'Team Indirect'!$A:$A,0)),"")</f>
        <v/>
      </c>
      <c r="W710" s="3"/>
      <c r="X710" s="3"/>
      <c r="Y710" s="3" t="str">
        <f ca="1">IF($C710&lt;&gt;"",INDEX('Team Indirect'!$D:$D,MATCH($C710,'Team Indirect'!$A:$A,0)),"")</f>
        <v/>
      </c>
      <c r="Z710" s="3" t="str">
        <f ca="1">IF($C710&lt;&gt;"",INDEX('Team Indirect'!$E:$E,MATCH($C710,'Team Indirect'!$A:$A,0)),"")</f>
        <v/>
      </c>
      <c r="AA710" s="3" t="str">
        <f ca="1">IF($C710&lt;&gt;"",INDEX('Team Indirect'!$F:$F,MATCH($C710,'Team Indirect'!$A:$A,0)),"")</f>
        <v/>
      </c>
      <c r="AB710" s="3" t="str">
        <f t="shared" ca="1" si="11"/>
        <v/>
      </c>
      <c r="AC710" s="3">
        <f ca="1">IF(OR(AllocationUnits="Stories", AllocationUnits="Points"),'Work Indirect'!F710,F710/MAX('Work Indirect'!AB710,1))</f>
        <v>1</v>
      </c>
    </row>
    <row r="711" spans="1:29"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7" t="str">
        <f ca="1">IF(OFFSET('4. Work'!$A$1,ROW(D711)-1,COLUMN(D711)-1)="","",OFFSET('4. Work'!$A$1,ROW(D711)-1,COLUMN(D711)-1))</f>
        <v/>
      </c>
      <c r="E711" s="147"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I711" s="3" t="str">
        <f ca="1">IF(OFFSET('4. Work'!$A$1,ROW(I711)-1,COLUMN(I711)-1)="","",OFFSET('4. Work'!$A$1,ROW(I711)-1,COLUMN(I711)-1))</f>
        <v/>
      </c>
      <c r="T711" s="3" t="str">
        <f ca="1">IF(A711&lt;&gt;"",MAX('Initiative Indirect'!$T:$T)+(ROW(A711)-1),"")</f>
        <v/>
      </c>
      <c r="U711" s="3" t="str">
        <f ca="1">IF(B711&lt;&gt;"",INDEX('Initiative Indirect'!$T:$T,MATCH(B711,'Initiative Indirect'!$A:$A,0)),"")</f>
        <v/>
      </c>
      <c r="V711" s="3" t="str">
        <f ca="1">IF(C711&lt;&gt;"",INDEX('Team Indirect'!$T:$T,MATCH(C711,'Team Indirect'!$A:$A,0)),"")</f>
        <v/>
      </c>
      <c r="W711" s="3"/>
      <c r="X711" s="3"/>
      <c r="Y711" s="3" t="str">
        <f ca="1">IF($C711&lt;&gt;"",INDEX('Team Indirect'!$D:$D,MATCH($C711,'Team Indirect'!$A:$A,0)),"")</f>
        <v/>
      </c>
      <c r="Z711" s="3" t="str">
        <f ca="1">IF($C711&lt;&gt;"",INDEX('Team Indirect'!$E:$E,MATCH($C711,'Team Indirect'!$A:$A,0)),"")</f>
        <v/>
      </c>
      <c r="AA711" s="3" t="str">
        <f ca="1">IF($C711&lt;&gt;"",INDEX('Team Indirect'!$F:$F,MATCH($C711,'Team Indirect'!$A:$A,0)),"")</f>
        <v/>
      </c>
      <c r="AB711" s="3" t="str">
        <f t="shared" ca="1" si="11"/>
        <v/>
      </c>
      <c r="AC711" s="3">
        <f ca="1">IF(OR(AllocationUnits="Stories", AllocationUnits="Points"),'Work Indirect'!F711,F711/MAX('Work Indirect'!AB711,1))</f>
        <v>1</v>
      </c>
    </row>
    <row r="712" spans="1:29"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7" t="str">
        <f ca="1">IF(OFFSET('4. Work'!$A$1,ROW(D712)-1,COLUMN(D712)-1)="","",OFFSET('4. Work'!$A$1,ROW(D712)-1,COLUMN(D712)-1))</f>
        <v/>
      </c>
      <c r="E712" s="147"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I712" s="3" t="str">
        <f ca="1">IF(OFFSET('4. Work'!$A$1,ROW(I712)-1,COLUMN(I712)-1)="","",OFFSET('4. Work'!$A$1,ROW(I712)-1,COLUMN(I712)-1))</f>
        <v/>
      </c>
      <c r="T712" s="3" t="str">
        <f ca="1">IF(A712&lt;&gt;"",MAX('Initiative Indirect'!$T:$T)+(ROW(A712)-1),"")</f>
        <v/>
      </c>
      <c r="U712" s="3" t="str">
        <f ca="1">IF(B712&lt;&gt;"",INDEX('Initiative Indirect'!$T:$T,MATCH(B712,'Initiative Indirect'!$A:$A,0)),"")</f>
        <v/>
      </c>
      <c r="V712" s="3" t="str">
        <f ca="1">IF(C712&lt;&gt;"",INDEX('Team Indirect'!$T:$T,MATCH(C712,'Team Indirect'!$A:$A,0)),"")</f>
        <v/>
      </c>
      <c r="W712" s="3"/>
      <c r="X712" s="3"/>
      <c r="Y712" s="3" t="str">
        <f ca="1">IF($C712&lt;&gt;"",INDEX('Team Indirect'!$D:$D,MATCH($C712,'Team Indirect'!$A:$A,0)),"")</f>
        <v/>
      </c>
      <c r="Z712" s="3" t="str">
        <f ca="1">IF($C712&lt;&gt;"",INDEX('Team Indirect'!$E:$E,MATCH($C712,'Team Indirect'!$A:$A,0)),"")</f>
        <v/>
      </c>
      <c r="AA712" s="3" t="str">
        <f ca="1">IF($C712&lt;&gt;"",INDEX('Team Indirect'!$F:$F,MATCH($C712,'Team Indirect'!$A:$A,0)),"")</f>
        <v/>
      </c>
      <c r="AB712" s="3" t="str">
        <f t="shared" ca="1" si="11"/>
        <v/>
      </c>
      <c r="AC712" s="3">
        <f ca="1">IF(OR(AllocationUnits="Stories", AllocationUnits="Points"),'Work Indirect'!F712,F712/MAX('Work Indirect'!AB712,1))</f>
        <v>1</v>
      </c>
    </row>
    <row r="713" spans="1:29"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7" t="str">
        <f ca="1">IF(OFFSET('4. Work'!$A$1,ROW(D713)-1,COLUMN(D713)-1)="","",OFFSET('4. Work'!$A$1,ROW(D713)-1,COLUMN(D713)-1))</f>
        <v/>
      </c>
      <c r="E713" s="147"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I713" s="3" t="str">
        <f ca="1">IF(OFFSET('4. Work'!$A$1,ROW(I713)-1,COLUMN(I713)-1)="","",OFFSET('4. Work'!$A$1,ROW(I713)-1,COLUMN(I713)-1))</f>
        <v/>
      </c>
      <c r="T713" s="3" t="str">
        <f ca="1">IF(A713&lt;&gt;"",MAX('Initiative Indirect'!$T:$T)+(ROW(A713)-1),"")</f>
        <v/>
      </c>
      <c r="U713" s="3" t="str">
        <f ca="1">IF(B713&lt;&gt;"",INDEX('Initiative Indirect'!$T:$T,MATCH(B713,'Initiative Indirect'!$A:$A,0)),"")</f>
        <v/>
      </c>
      <c r="V713" s="3" t="str">
        <f ca="1">IF(C713&lt;&gt;"",INDEX('Team Indirect'!$T:$T,MATCH(C713,'Team Indirect'!$A:$A,0)),"")</f>
        <v/>
      </c>
      <c r="W713" s="3"/>
      <c r="X713" s="3"/>
      <c r="Y713" s="3" t="str">
        <f ca="1">IF($C713&lt;&gt;"",INDEX('Team Indirect'!$D:$D,MATCH($C713,'Team Indirect'!$A:$A,0)),"")</f>
        <v/>
      </c>
      <c r="Z713" s="3" t="str">
        <f ca="1">IF($C713&lt;&gt;"",INDEX('Team Indirect'!$E:$E,MATCH($C713,'Team Indirect'!$A:$A,0)),"")</f>
        <v/>
      </c>
      <c r="AA713" s="3" t="str">
        <f ca="1">IF($C713&lt;&gt;"",INDEX('Team Indirect'!$F:$F,MATCH($C713,'Team Indirect'!$A:$A,0)),"")</f>
        <v/>
      </c>
      <c r="AB713" s="3" t="str">
        <f t="shared" ca="1" si="11"/>
        <v/>
      </c>
      <c r="AC713" s="3">
        <f ca="1">IF(OR(AllocationUnits="Stories", AllocationUnits="Points"),'Work Indirect'!F713,F713/MAX('Work Indirect'!AB713,1))</f>
        <v>1</v>
      </c>
    </row>
    <row r="714" spans="1:29"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7" t="str">
        <f ca="1">IF(OFFSET('4. Work'!$A$1,ROW(D714)-1,COLUMN(D714)-1)="","",OFFSET('4. Work'!$A$1,ROW(D714)-1,COLUMN(D714)-1))</f>
        <v/>
      </c>
      <c r="E714" s="147"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I714" s="3" t="str">
        <f ca="1">IF(OFFSET('4. Work'!$A$1,ROW(I714)-1,COLUMN(I714)-1)="","",OFFSET('4. Work'!$A$1,ROW(I714)-1,COLUMN(I714)-1))</f>
        <v/>
      </c>
      <c r="T714" s="3" t="str">
        <f ca="1">IF(A714&lt;&gt;"",MAX('Initiative Indirect'!$T:$T)+(ROW(A714)-1),"")</f>
        <v/>
      </c>
      <c r="U714" s="3" t="str">
        <f ca="1">IF(B714&lt;&gt;"",INDEX('Initiative Indirect'!$T:$T,MATCH(B714,'Initiative Indirect'!$A:$A,0)),"")</f>
        <v/>
      </c>
      <c r="V714" s="3" t="str">
        <f ca="1">IF(C714&lt;&gt;"",INDEX('Team Indirect'!$T:$T,MATCH(C714,'Team Indirect'!$A:$A,0)),"")</f>
        <v/>
      </c>
      <c r="W714" s="3"/>
      <c r="X714" s="3"/>
      <c r="Y714" s="3" t="str">
        <f ca="1">IF($C714&lt;&gt;"",INDEX('Team Indirect'!$D:$D,MATCH($C714,'Team Indirect'!$A:$A,0)),"")</f>
        <v/>
      </c>
      <c r="Z714" s="3" t="str">
        <f ca="1">IF($C714&lt;&gt;"",INDEX('Team Indirect'!$E:$E,MATCH($C714,'Team Indirect'!$A:$A,0)),"")</f>
        <v/>
      </c>
      <c r="AA714" s="3" t="str">
        <f ca="1">IF($C714&lt;&gt;"",INDEX('Team Indirect'!$F:$F,MATCH($C714,'Team Indirect'!$A:$A,0)),"")</f>
        <v/>
      </c>
      <c r="AB714" s="3" t="str">
        <f t="shared" ca="1" si="11"/>
        <v/>
      </c>
      <c r="AC714" s="3">
        <f ca="1">IF(OR(AllocationUnits="Stories", AllocationUnits="Points"),'Work Indirect'!F714,F714/MAX('Work Indirect'!AB714,1))</f>
        <v>1</v>
      </c>
    </row>
    <row r="715" spans="1:29"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7" t="str">
        <f ca="1">IF(OFFSET('4. Work'!$A$1,ROW(D715)-1,COLUMN(D715)-1)="","",OFFSET('4. Work'!$A$1,ROW(D715)-1,COLUMN(D715)-1))</f>
        <v/>
      </c>
      <c r="E715" s="147"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I715" s="3" t="str">
        <f ca="1">IF(OFFSET('4. Work'!$A$1,ROW(I715)-1,COLUMN(I715)-1)="","",OFFSET('4. Work'!$A$1,ROW(I715)-1,COLUMN(I715)-1))</f>
        <v/>
      </c>
      <c r="T715" s="3" t="str">
        <f ca="1">IF(A715&lt;&gt;"",MAX('Initiative Indirect'!$T:$T)+(ROW(A715)-1),"")</f>
        <v/>
      </c>
      <c r="U715" s="3" t="str">
        <f ca="1">IF(B715&lt;&gt;"",INDEX('Initiative Indirect'!$T:$T,MATCH(B715,'Initiative Indirect'!$A:$A,0)),"")</f>
        <v/>
      </c>
      <c r="V715" s="3" t="str">
        <f ca="1">IF(C715&lt;&gt;"",INDEX('Team Indirect'!$T:$T,MATCH(C715,'Team Indirect'!$A:$A,0)),"")</f>
        <v/>
      </c>
      <c r="W715" s="3"/>
      <c r="X715" s="3"/>
      <c r="Y715" s="3" t="str">
        <f ca="1">IF($C715&lt;&gt;"",INDEX('Team Indirect'!$D:$D,MATCH($C715,'Team Indirect'!$A:$A,0)),"")</f>
        <v/>
      </c>
      <c r="Z715" s="3" t="str">
        <f ca="1">IF($C715&lt;&gt;"",INDEX('Team Indirect'!$E:$E,MATCH($C715,'Team Indirect'!$A:$A,0)),"")</f>
        <v/>
      </c>
      <c r="AA715" s="3" t="str">
        <f ca="1">IF($C715&lt;&gt;"",INDEX('Team Indirect'!$F:$F,MATCH($C715,'Team Indirect'!$A:$A,0)),"")</f>
        <v/>
      </c>
      <c r="AB715" s="3" t="str">
        <f t="shared" ca="1" si="11"/>
        <v/>
      </c>
      <c r="AC715" s="3">
        <f ca="1">IF(OR(AllocationUnits="Stories", AllocationUnits="Points"),'Work Indirect'!F715,F715/MAX('Work Indirect'!AB715,1))</f>
        <v>1</v>
      </c>
    </row>
    <row r="716" spans="1:29"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7" t="str">
        <f ca="1">IF(OFFSET('4. Work'!$A$1,ROW(D716)-1,COLUMN(D716)-1)="","",OFFSET('4. Work'!$A$1,ROW(D716)-1,COLUMN(D716)-1))</f>
        <v/>
      </c>
      <c r="E716" s="147"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I716" s="3" t="str">
        <f ca="1">IF(OFFSET('4. Work'!$A$1,ROW(I716)-1,COLUMN(I716)-1)="","",OFFSET('4. Work'!$A$1,ROW(I716)-1,COLUMN(I716)-1))</f>
        <v/>
      </c>
      <c r="T716" s="3" t="str">
        <f ca="1">IF(A716&lt;&gt;"",MAX('Initiative Indirect'!$T:$T)+(ROW(A716)-1),"")</f>
        <v/>
      </c>
      <c r="U716" s="3" t="str">
        <f ca="1">IF(B716&lt;&gt;"",INDEX('Initiative Indirect'!$T:$T,MATCH(B716,'Initiative Indirect'!$A:$A,0)),"")</f>
        <v/>
      </c>
      <c r="V716" s="3" t="str">
        <f ca="1">IF(C716&lt;&gt;"",INDEX('Team Indirect'!$T:$T,MATCH(C716,'Team Indirect'!$A:$A,0)),"")</f>
        <v/>
      </c>
      <c r="W716" s="3"/>
      <c r="X716" s="3"/>
      <c r="Y716" s="3" t="str">
        <f ca="1">IF($C716&lt;&gt;"",INDEX('Team Indirect'!$D:$D,MATCH($C716,'Team Indirect'!$A:$A,0)),"")</f>
        <v/>
      </c>
      <c r="Z716" s="3" t="str">
        <f ca="1">IF($C716&lt;&gt;"",INDEX('Team Indirect'!$E:$E,MATCH($C716,'Team Indirect'!$A:$A,0)),"")</f>
        <v/>
      </c>
      <c r="AA716" s="3" t="str">
        <f ca="1">IF($C716&lt;&gt;"",INDEX('Team Indirect'!$F:$F,MATCH($C716,'Team Indirect'!$A:$A,0)),"")</f>
        <v/>
      </c>
      <c r="AB716" s="3" t="str">
        <f t="shared" ca="1" si="11"/>
        <v/>
      </c>
      <c r="AC716" s="3">
        <f ca="1">IF(OR(AllocationUnits="Stories", AllocationUnits="Points"),'Work Indirect'!F716,F716/MAX('Work Indirect'!AB716,1))</f>
        <v>1</v>
      </c>
    </row>
    <row r="717" spans="1:29"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7" t="str">
        <f ca="1">IF(OFFSET('4. Work'!$A$1,ROW(D717)-1,COLUMN(D717)-1)="","",OFFSET('4. Work'!$A$1,ROW(D717)-1,COLUMN(D717)-1))</f>
        <v/>
      </c>
      <c r="E717" s="147"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I717" s="3" t="str">
        <f ca="1">IF(OFFSET('4. Work'!$A$1,ROW(I717)-1,COLUMN(I717)-1)="","",OFFSET('4. Work'!$A$1,ROW(I717)-1,COLUMN(I717)-1))</f>
        <v/>
      </c>
      <c r="T717" s="3" t="str">
        <f ca="1">IF(A717&lt;&gt;"",MAX('Initiative Indirect'!$T:$T)+(ROW(A717)-1),"")</f>
        <v/>
      </c>
      <c r="U717" s="3" t="str">
        <f ca="1">IF(B717&lt;&gt;"",INDEX('Initiative Indirect'!$T:$T,MATCH(B717,'Initiative Indirect'!$A:$A,0)),"")</f>
        <v/>
      </c>
      <c r="V717" s="3" t="str">
        <f ca="1">IF(C717&lt;&gt;"",INDEX('Team Indirect'!$T:$T,MATCH(C717,'Team Indirect'!$A:$A,0)),"")</f>
        <v/>
      </c>
      <c r="W717" s="3"/>
      <c r="X717" s="3"/>
      <c r="Y717" s="3" t="str">
        <f ca="1">IF($C717&lt;&gt;"",INDEX('Team Indirect'!$D:$D,MATCH($C717,'Team Indirect'!$A:$A,0)),"")</f>
        <v/>
      </c>
      <c r="Z717" s="3" t="str">
        <f ca="1">IF($C717&lt;&gt;"",INDEX('Team Indirect'!$E:$E,MATCH($C717,'Team Indirect'!$A:$A,0)),"")</f>
        <v/>
      </c>
      <c r="AA717" s="3" t="str">
        <f ca="1">IF($C717&lt;&gt;"",INDEX('Team Indirect'!$F:$F,MATCH($C717,'Team Indirect'!$A:$A,0)),"")</f>
        <v/>
      </c>
      <c r="AB717" s="3" t="str">
        <f t="shared" ca="1" si="11"/>
        <v/>
      </c>
      <c r="AC717" s="3">
        <f ca="1">IF(OR(AllocationUnits="Stories", AllocationUnits="Points"),'Work Indirect'!F717,F717/MAX('Work Indirect'!AB717,1))</f>
        <v>1</v>
      </c>
    </row>
    <row r="718" spans="1:29"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7" t="str">
        <f ca="1">IF(OFFSET('4. Work'!$A$1,ROW(D718)-1,COLUMN(D718)-1)="","",OFFSET('4. Work'!$A$1,ROW(D718)-1,COLUMN(D718)-1))</f>
        <v/>
      </c>
      <c r="E718" s="147"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I718" s="3" t="str">
        <f ca="1">IF(OFFSET('4. Work'!$A$1,ROW(I718)-1,COLUMN(I718)-1)="","",OFFSET('4. Work'!$A$1,ROW(I718)-1,COLUMN(I718)-1))</f>
        <v/>
      </c>
      <c r="T718" s="3" t="str">
        <f ca="1">IF(A718&lt;&gt;"",MAX('Initiative Indirect'!$T:$T)+(ROW(A718)-1),"")</f>
        <v/>
      </c>
      <c r="U718" s="3" t="str">
        <f ca="1">IF(B718&lt;&gt;"",INDEX('Initiative Indirect'!$T:$T,MATCH(B718,'Initiative Indirect'!$A:$A,0)),"")</f>
        <v/>
      </c>
      <c r="V718" s="3" t="str">
        <f ca="1">IF(C718&lt;&gt;"",INDEX('Team Indirect'!$T:$T,MATCH(C718,'Team Indirect'!$A:$A,0)),"")</f>
        <v/>
      </c>
      <c r="W718" s="3"/>
      <c r="X718" s="3"/>
      <c r="Y718" s="3" t="str">
        <f ca="1">IF($C718&lt;&gt;"",INDEX('Team Indirect'!$D:$D,MATCH($C718,'Team Indirect'!$A:$A,0)),"")</f>
        <v/>
      </c>
      <c r="Z718" s="3" t="str">
        <f ca="1">IF($C718&lt;&gt;"",INDEX('Team Indirect'!$E:$E,MATCH($C718,'Team Indirect'!$A:$A,0)),"")</f>
        <v/>
      </c>
      <c r="AA718" s="3" t="str">
        <f ca="1">IF($C718&lt;&gt;"",INDEX('Team Indirect'!$F:$F,MATCH($C718,'Team Indirect'!$A:$A,0)),"")</f>
        <v/>
      </c>
      <c r="AB718" s="3" t="str">
        <f t="shared" ca="1" si="11"/>
        <v/>
      </c>
      <c r="AC718" s="3">
        <f ca="1">IF(OR(AllocationUnits="Stories", AllocationUnits="Points"),'Work Indirect'!F718,F718/MAX('Work Indirect'!AB718,1))</f>
        <v>1</v>
      </c>
    </row>
    <row r="719" spans="1:29"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7" t="str">
        <f ca="1">IF(OFFSET('4. Work'!$A$1,ROW(D719)-1,COLUMN(D719)-1)="","",OFFSET('4. Work'!$A$1,ROW(D719)-1,COLUMN(D719)-1))</f>
        <v/>
      </c>
      <c r="E719" s="147"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I719" s="3" t="str">
        <f ca="1">IF(OFFSET('4. Work'!$A$1,ROW(I719)-1,COLUMN(I719)-1)="","",OFFSET('4. Work'!$A$1,ROW(I719)-1,COLUMN(I719)-1))</f>
        <v/>
      </c>
      <c r="T719" s="3" t="str">
        <f ca="1">IF(A719&lt;&gt;"",MAX('Initiative Indirect'!$T:$T)+(ROW(A719)-1),"")</f>
        <v/>
      </c>
      <c r="U719" s="3" t="str">
        <f ca="1">IF(B719&lt;&gt;"",INDEX('Initiative Indirect'!$T:$T,MATCH(B719,'Initiative Indirect'!$A:$A,0)),"")</f>
        <v/>
      </c>
      <c r="V719" s="3" t="str">
        <f ca="1">IF(C719&lt;&gt;"",INDEX('Team Indirect'!$T:$T,MATCH(C719,'Team Indirect'!$A:$A,0)),"")</f>
        <v/>
      </c>
      <c r="W719" s="3"/>
      <c r="X719" s="3"/>
      <c r="Y719" s="3" t="str">
        <f ca="1">IF($C719&lt;&gt;"",INDEX('Team Indirect'!$D:$D,MATCH($C719,'Team Indirect'!$A:$A,0)),"")</f>
        <v/>
      </c>
      <c r="Z719" s="3" t="str">
        <f ca="1">IF($C719&lt;&gt;"",INDEX('Team Indirect'!$E:$E,MATCH($C719,'Team Indirect'!$A:$A,0)),"")</f>
        <v/>
      </c>
      <c r="AA719" s="3" t="str">
        <f ca="1">IF($C719&lt;&gt;"",INDEX('Team Indirect'!$F:$F,MATCH($C719,'Team Indirect'!$A:$A,0)),"")</f>
        <v/>
      </c>
      <c r="AB719" s="3" t="str">
        <f t="shared" ca="1" si="11"/>
        <v/>
      </c>
      <c r="AC719" s="3">
        <f ca="1">IF(OR(AllocationUnits="Stories", AllocationUnits="Points"),'Work Indirect'!F719,F719/MAX('Work Indirect'!AB719,1))</f>
        <v>1</v>
      </c>
    </row>
    <row r="720" spans="1:29"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7" t="str">
        <f ca="1">IF(OFFSET('4. Work'!$A$1,ROW(D720)-1,COLUMN(D720)-1)="","",OFFSET('4. Work'!$A$1,ROW(D720)-1,COLUMN(D720)-1))</f>
        <v/>
      </c>
      <c r="E720" s="147"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I720" s="3" t="str">
        <f ca="1">IF(OFFSET('4. Work'!$A$1,ROW(I720)-1,COLUMN(I720)-1)="","",OFFSET('4. Work'!$A$1,ROW(I720)-1,COLUMN(I720)-1))</f>
        <v/>
      </c>
      <c r="T720" s="3" t="str">
        <f ca="1">IF(A720&lt;&gt;"",MAX('Initiative Indirect'!$T:$T)+(ROW(A720)-1),"")</f>
        <v/>
      </c>
      <c r="U720" s="3" t="str">
        <f ca="1">IF(B720&lt;&gt;"",INDEX('Initiative Indirect'!$T:$T,MATCH(B720,'Initiative Indirect'!$A:$A,0)),"")</f>
        <v/>
      </c>
      <c r="V720" s="3" t="str">
        <f ca="1">IF(C720&lt;&gt;"",INDEX('Team Indirect'!$T:$T,MATCH(C720,'Team Indirect'!$A:$A,0)),"")</f>
        <v/>
      </c>
      <c r="W720" s="3"/>
      <c r="X720" s="3"/>
      <c r="Y720" s="3" t="str">
        <f ca="1">IF($C720&lt;&gt;"",INDEX('Team Indirect'!$D:$D,MATCH($C720,'Team Indirect'!$A:$A,0)),"")</f>
        <v/>
      </c>
      <c r="Z720" s="3" t="str">
        <f ca="1">IF($C720&lt;&gt;"",INDEX('Team Indirect'!$E:$E,MATCH($C720,'Team Indirect'!$A:$A,0)),"")</f>
        <v/>
      </c>
      <c r="AA720" s="3" t="str">
        <f ca="1">IF($C720&lt;&gt;"",INDEX('Team Indirect'!$F:$F,MATCH($C720,'Team Indirect'!$A:$A,0)),"")</f>
        <v/>
      </c>
      <c r="AB720" s="3" t="str">
        <f t="shared" ca="1" si="11"/>
        <v/>
      </c>
      <c r="AC720" s="3">
        <f ca="1">IF(OR(AllocationUnits="Stories", AllocationUnits="Points"),'Work Indirect'!F720,F720/MAX('Work Indirect'!AB720,1))</f>
        <v>1</v>
      </c>
    </row>
    <row r="721" spans="1:29"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7" t="str">
        <f ca="1">IF(OFFSET('4. Work'!$A$1,ROW(D721)-1,COLUMN(D721)-1)="","",OFFSET('4. Work'!$A$1,ROW(D721)-1,COLUMN(D721)-1))</f>
        <v/>
      </c>
      <c r="E721" s="147"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I721" s="3" t="str">
        <f ca="1">IF(OFFSET('4. Work'!$A$1,ROW(I721)-1,COLUMN(I721)-1)="","",OFFSET('4. Work'!$A$1,ROW(I721)-1,COLUMN(I721)-1))</f>
        <v/>
      </c>
      <c r="T721" s="3" t="str">
        <f ca="1">IF(A721&lt;&gt;"",MAX('Initiative Indirect'!$T:$T)+(ROW(A721)-1),"")</f>
        <v/>
      </c>
      <c r="U721" s="3" t="str">
        <f ca="1">IF(B721&lt;&gt;"",INDEX('Initiative Indirect'!$T:$T,MATCH(B721,'Initiative Indirect'!$A:$A,0)),"")</f>
        <v/>
      </c>
      <c r="V721" s="3" t="str">
        <f ca="1">IF(C721&lt;&gt;"",INDEX('Team Indirect'!$T:$T,MATCH(C721,'Team Indirect'!$A:$A,0)),"")</f>
        <v/>
      </c>
      <c r="W721" s="3"/>
      <c r="X721" s="3"/>
      <c r="Y721" s="3" t="str">
        <f ca="1">IF($C721&lt;&gt;"",INDEX('Team Indirect'!$D:$D,MATCH($C721,'Team Indirect'!$A:$A,0)),"")</f>
        <v/>
      </c>
      <c r="Z721" s="3" t="str">
        <f ca="1">IF($C721&lt;&gt;"",INDEX('Team Indirect'!$E:$E,MATCH($C721,'Team Indirect'!$A:$A,0)),"")</f>
        <v/>
      </c>
      <c r="AA721" s="3" t="str">
        <f ca="1">IF($C721&lt;&gt;"",INDEX('Team Indirect'!$F:$F,MATCH($C721,'Team Indirect'!$A:$A,0)),"")</f>
        <v/>
      </c>
      <c r="AB721" s="3" t="str">
        <f t="shared" ca="1" si="11"/>
        <v/>
      </c>
      <c r="AC721" s="3">
        <f ca="1">IF(OR(AllocationUnits="Stories", AllocationUnits="Points"),'Work Indirect'!F721,F721/MAX('Work Indirect'!AB721,1))</f>
        <v>1</v>
      </c>
    </row>
    <row r="722" spans="1:29"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7" t="str">
        <f ca="1">IF(OFFSET('4. Work'!$A$1,ROW(D722)-1,COLUMN(D722)-1)="","",OFFSET('4. Work'!$A$1,ROW(D722)-1,COLUMN(D722)-1))</f>
        <v/>
      </c>
      <c r="E722" s="147"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I722" s="3" t="str">
        <f ca="1">IF(OFFSET('4. Work'!$A$1,ROW(I722)-1,COLUMN(I722)-1)="","",OFFSET('4. Work'!$A$1,ROW(I722)-1,COLUMN(I722)-1))</f>
        <v/>
      </c>
      <c r="T722" s="3" t="str">
        <f ca="1">IF(A722&lt;&gt;"",MAX('Initiative Indirect'!$T:$T)+(ROW(A722)-1),"")</f>
        <v/>
      </c>
      <c r="U722" s="3" t="str">
        <f ca="1">IF(B722&lt;&gt;"",INDEX('Initiative Indirect'!$T:$T,MATCH(B722,'Initiative Indirect'!$A:$A,0)),"")</f>
        <v/>
      </c>
      <c r="V722" s="3" t="str">
        <f ca="1">IF(C722&lt;&gt;"",INDEX('Team Indirect'!$T:$T,MATCH(C722,'Team Indirect'!$A:$A,0)),"")</f>
        <v/>
      </c>
      <c r="W722" s="3"/>
      <c r="X722" s="3"/>
      <c r="Y722" s="3" t="str">
        <f ca="1">IF($C722&lt;&gt;"",INDEX('Team Indirect'!$D:$D,MATCH($C722,'Team Indirect'!$A:$A,0)),"")</f>
        <v/>
      </c>
      <c r="Z722" s="3" t="str">
        <f ca="1">IF($C722&lt;&gt;"",INDEX('Team Indirect'!$E:$E,MATCH($C722,'Team Indirect'!$A:$A,0)),"")</f>
        <v/>
      </c>
      <c r="AA722" s="3" t="str">
        <f ca="1">IF($C722&lt;&gt;"",INDEX('Team Indirect'!$F:$F,MATCH($C722,'Team Indirect'!$A:$A,0)),"")</f>
        <v/>
      </c>
      <c r="AB722" s="3" t="str">
        <f t="shared" ca="1" si="11"/>
        <v/>
      </c>
      <c r="AC722" s="3">
        <f ca="1">IF(OR(AllocationUnits="Stories", AllocationUnits="Points"),'Work Indirect'!F722,F722/MAX('Work Indirect'!AB722,1))</f>
        <v>1</v>
      </c>
    </row>
    <row r="723" spans="1:29"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7" t="str">
        <f ca="1">IF(OFFSET('4. Work'!$A$1,ROW(D723)-1,COLUMN(D723)-1)="","",OFFSET('4. Work'!$A$1,ROW(D723)-1,COLUMN(D723)-1))</f>
        <v/>
      </c>
      <c r="E723" s="147"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I723" s="3" t="str">
        <f ca="1">IF(OFFSET('4. Work'!$A$1,ROW(I723)-1,COLUMN(I723)-1)="","",OFFSET('4. Work'!$A$1,ROW(I723)-1,COLUMN(I723)-1))</f>
        <v/>
      </c>
      <c r="T723" s="3" t="str">
        <f ca="1">IF(A723&lt;&gt;"",MAX('Initiative Indirect'!$T:$T)+(ROW(A723)-1),"")</f>
        <v/>
      </c>
      <c r="U723" s="3" t="str">
        <f ca="1">IF(B723&lt;&gt;"",INDEX('Initiative Indirect'!$T:$T,MATCH(B723,'Initiative Indirect'!$A:$A,0)),"")</f>
        <v/>
      </c>
      <c r="V723" s="3" t="str">
        <f ca="1">IF(C723&lt;&gt;"",INDEX('Team Indirect'!$T:$T,MATCH(C723,'Team Indirect'!$A:$A,0)),"")</f>
        <v/>
      </c>
      <c r="W723" s="3"/>
      <c r="X723" s="3"/>
      <c r="Y723" s="3" t="str">
        <f ca="1">IF($C723&lt;&gt;"",INDEX('Team Indirect'!$D:$D,MATCH($C723,'Team Indirect'!$A:$A,0)),"")</f>
        <v/>
      </c>
      <c r="Z723" s="3" t="str">
        <f ca="1">IF($C723&lt;&gt;"",INDEX('Team Indirect'!$E:$E,MATCH($C723,'Team Indirect'!$A:$A,0)),"")</f>
        <v/>
      </c>
      <c r="AA723" s="3" t="str">
        <f ca="1">IF($C723&lt;&gt;"",INDEX('Team Indirect'!$F:$F,MATCH($C723,'Team Indirect'!$A:$A,0)),"")</f>
        <v/>
      </c>
      <c r="AB723" s="3" t="str">
        <f t="shared" ca="1" si="11"/>
        <v/>
      </c>
      <c r="AC723" s="3">
        <f ca="1">IF(OR(AllocationUnits="Stories", AllocationUnits="Points"),'Work Indirect'!F723,F723/MAX('Work Indirect'!AB723,1))</f>
        <v>1</v>
      </c>
    </row>
    <row r="724" spans="1:29"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7" t="str">
        <f ca="1">IF(OFFSET('4. Work'!$A$1,ROW(D724)-1,COLUMN(D724)-1)="","",OFFSET('4. Work'!$A$1,ROW(D724)-1,COLUMN(D724)-1))</f>
        <v/>
      </c>
      <c r="E724" s="147"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I724" s="3" t="str">
        <f ca="1">IF(OFFSET('4. Work'!$A$1,ROW(I724)-1,COLUMN(I724)-1)="","",OFFSET('4. Work'!$A$1,ROW(I724)-1,COLUMN(I724)-1))</f>
        <v/>
      </c>
      <c r="T724" s="3" t="str">
        <f ca="1">IF(A724&lt;&gt;"",MAX('Initiative Indirect'!$T:$T)+(ROW(A724)-1),"")</f>
        <v/>
      </c>
      <c r="U724" s="3" t="str">
        <f ca="1">IF(B724&lt;&gt;"",INDEX('Initiative Indirect'!$T:$T,MATCH(B724,'Initiative Indirect'!$A:$A,0)),"")</f>
        <v/>
      </c>
      <c r="V724" s="3" t="str">
        <f ca="1">IF(C724&lt;&gt;"",INDEX('Team Indirect'!$T:$T,MATCH(C724,'Team Indirect'!$A:$A,0)),"")</f>
        <v/>
      </c>
      <c r="W724" s="3"/>
      <c r="X724" s="3"/>
      <c r="Y724" s="3" t="str">
        <f ca="1">IF($C724&lt;&gt;"",INDEX('Team Indirect'!$D:$D,MATCH($C724,'Team Indirect'!$A:$A,0)),"")</f>
        <v/>
      </c>
      <c r="Z724" s="3" t="str">
        <f ca="1">IF($C724&lt;&gt;"",INDEX('Team Indirect'!$E:$E,MATCH($C724,'Team Indirect'!$A:$A,0)),"")</f>
        <v/>
      </c>
      <c r="AA724" s="3" t="str">
        <f ca="1">IF($C724&lt;&gt;"",INDEX('Team Indirect'!$F:$F,MATCH($C724,'Team Indirect'!$A:$A,0)),"")</f>
        <v/>
      </c>
      <c r="AB724" s="3" t="str">
        <f t="shared" ca="1" si="11"/>
        <v/>
      </c>
      <c r="AC724" s="3">
        <f ca="1">IF(OR(AllocationUnits="Stories", AllocationUnits="Points"),'Work Indirect'!F724,F724/MAX('Work Indirect'!AB724,1))</f>
        <v>1</v>
      </c>
    </row>
    <row r="725" spans="1:29"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7" t="str">
        <f ca="1">IF(OFFSET('4. Work'!$A$1,ROW(D725)-1,COLUMN(D725)-1)="","",OFFSET('4. Work'!$A$1,ROW(D725)-1,COLUMN(D725)-1))</f>
        <v/>
      </c>
      <c r="E725" s="147"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I725" s="3" t="str">
        <f ca="1">IF(OFFSET('4. Work'!$A$1,ROW(I725)-1,COLUMN(I725)-1)="","",OFFSET('4. Work'!$A$1,ROW(I725)-1,COLUMN(I725)-1))</f>
        <v/>
      </c>
      <c r="T725" s="3" t="str">
        <f ca="1">IF(A725&lt;&gt;"",MAX('Initiative Indirect'!$T:$T)+(ROW(A725)-1),"")</f>
        <v/>
      </c>
      <c r="U725" s="3" t="str">
        <f ca="1">IF(B725&lt;&gt;"",INDEX('Initiative Indirect'!$T:$T,MATCH(B725,'Initiative Indirect'!$A:$A,0)),"")</f>
        <v/>
      </c>
      <c r="V725" s="3" t="str">
        <f ca="1">IF(C725&lt;&gt;"",INDEX('Team Indirect'!$T:$T,MATCH(C725,'Team Indirect'!$A:$A,0)),"")</f>
        <v/>
      </c>
      <c r="W725" s="3"/>
      <c r="X725" s="3"/>
      <c r="Y725" s="3" t="str">
        <f ca="1">IF($C725&lt;&gt;"",INDEX('Team Indirect'!$D:$D,MATCH($C725,'Team Indirect'!$A:$A,0)),"")</f>
        <v/>
      </c>
      <c r="Z725" s="3" t="str">
        <f ca="1">IF($C725&lt;&gt;"",INDEX('Team Indirect'!$E:$E,MATCH($C725,'Team Indirect'!$A:$A,0)),"")</f>
        <v/>
      </c>
      <c r="AA725" s="3" t="str">
        <f ca="1">IF($C725&lt;&gt;"",INDEX('Team Indirect'!$F:$F,MATCH($C725,'Team Indirect'!$A:$A,0)),"")</f>
        <v/>
      </c>
      <c r="AB725" s="3" t="str">
        <f t="shared" ca="1" si="11"/>
        <v/>
      </c>
      <c r="AC725" s="3">
        <f ca="1">IF(OR(AllocationUnits="Stories", AllocationUnits="Points"),'Work Indirect'!F725,F725/MAX('Work Indirect'!AB725,1))</f>
        <v>1</v>
      </c>
    </row>
    <row r="726" spans="1:29"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7" t="str">
        <f ca="1">IF(OFFSET('4. Work'!$A$1,ROW(D726)-1,COLUMN(D726)-1)="","",OFFSET('4. Work'!$A$1,ROW(D726)-1,COLUMN(D726)-1))</f>
        <v/>
      </c>
      <c r="E726" s="147"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I726" s="3" t="str">
        <f ca="1">IF(OFFSET('4. Work'!$A$1,ROW(I726)-1,COLUMN(I726)-1)="","",OFFSET('4. Work'!$A$1,ROW(I726)-1,COLUMN(I726)-1))</f>
        <v/>
      </c>
      <c r="T726" s="3" t="str">
        <f ca="1">IF(A726&lt;&gt;"",MAX('Initiative Indirect'!$T:$T)+(ROW(A726)-1),"")</f>
        <v/>
      </c>
      <c r="U726" s="3" t="str">
        <f ca="1">IF(B726&lt;&gt;"",INDEX('Initiative Indirect'!$T:$T,MATCH(B726,'Initiative Indirect'!$A:$A,0)),"")</f>
        <v/>
      </c>
      <c r="V726" s="3" t="str">
        <f ca="1">IF(C726&lt;&gt;"",INDEX('Team Indirect'!$T:$T,MATCH(C726,'Team Indirect'!$A:$A,0)),"")</f>
        <v/>
      </c>
      <c r="W726" s="3"/>
      <c r="X726" s="3"/>
      <c r="Y726" s="3" t="str">
        <f ca="1">IF($C726&lt;&gt;"",INDEX('Team Indirect'!$D:$D,MATCH($C726,'Team Indirect'!$A:$A,0)),"")</f>
        <v/>
      </c>
      <c r="Z726" s="3" t="str">
        <f ca="1">IF($C726&lt;&gt;"",INDEX('Team Indirect'!$E:$E,MATCH($C726,'Team Indirect'!$A:$A,0)),"")</f>
        <v/>
      </c>
      <c r="AA726" s="3" t="str">
        <f ca="1">IF($C726&lt;&gt;"",INDEX('Team Indirect'!$F:$F,MATCH($C726,'Team Indirect'!$A:$A,0)),"")</f>
        <v/>
      </c>
      <c r="AB726" s="3" t="str">
        <f t="shared" ca="1" si="11"/>
        <v/>
      </c>
      <c r="AC726" s="3">
        <f ca="1">IF(OR(AllocationUnits="Stories", AllocationUnits="Points"),'Work Indirect'!F726,F726/MAX('Work Indirect'!AB726,1))</f>
        <v>1</v>
      </c>
    </row>
    <row r="727" spans="1:29"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7" t="str">
        <f ca="1">IF(OFFSET('4. Work'!$A$1,ROW(D727)-1,COLUMN(D727)-1)="","",OFFSET('4. Work'!$A$1,ROW(D727)-1,COLUMN(D727)-1))</f>
        <v/>
      </c>
      <c r="E727" s="147"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I727" s="3" t="str">
        <f ca="1">IF(OFFSET('4. Work'!$A$1,ROW(I727)-1,COLUMN(I727)-1)="","",OFFSET('4. Work'!$A$1,ROW(I727)-1,COLUMN(I727)-1))</f>
        <v/>
      </c>
      <c r="T727" s="3" t="str">
        <f ca="1">IF(A727&lt;&gt;"",MAX('Initiative Indirect'!$T:$T)+(ROW(A727)-1),"")</f>
        <v/>
      </c>
      <c r="U727" s="3" t="str">
        <f ca="1">IF(B727&lt;&gt;"",INDEX('Initiative Indirect'!$T:$T,MATCH(B727,'Initiative Indirect'!$A:$A,0)),"")</f>
        <v/>
      </c>
      <c r="V727" s="3" t="str">
        <f ca="1">IF(C727&lt;&gt;"",INDEX('Team Indirect'!$T:$T,MATCH(C727,'Team Indirect'!$A:$A,0)),"")</f>
        <v/>
      </c>
      <c r="W727" s="3"/>
      <c r="X727" s="3"/>
      <c r="Y727" s="3" t="str">
        <f ca="1">IF($C727&lt;&gt;"",INDEX('Team Indirect'!$D:$D,MATCH($C727,'Team Indirect'!$A:$A,0)),"")</f>
        <v/>
      </c>
      <c r="Z727" s="3" t="str">
        <f ca="1">IF($C727&lt;&gt;"",INDEX('Team Indirect'!$E:$E,MATCH($C727,'Team Indirect'!$A:$A,0)),"")</f>
        <v/>
      </c>
      <c r="AA727" s="3" t="str">
        <f ca="1">IF($C727&lt;&gt;"",INDEX('Team Indirect'!$F:$F,MATCH($C727,'Team Indirect'!$A:$A,0)),"")</f>
        <v/>
      </c>
      <c r="AB727" s="3" t="str">
        <f t="shared" ca="1" si="11"/>
        <v/>
      </c>
      <c r="AC727" s="3">
        <f ca="1">IF(OR(AllocationUnits="Stories", AllocationUnits="Points"),'Work Indirect'!F727,F727/MAX('Work Indirect'!AB727,1))</f>
        <v>1</v>
      </c>
    </row>
    <row r="728" spans="1:29"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7" t="str">
        <f ca="1">IF(OFFSET('4. Work'!$A$1,ROW(D728)-1,COLUMN(D728)-1)="","",OFFSET('4. Work'!$A$1,ROW(D728)-1,COLUMN(D728)-1))</f>
        <v/>
      </c>
      <c r="E728" s="147"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I728" s="3" t="str">
        <f ca="1">IF(OFFSET('4. Work'!$A$1,ROW(I728)-1,COLUMN(I728)-1)="","",OFFSET('4. Work'!$A$1,ROW(I728)-1,COLUMN(I728)-1))</f>
        <v/>
      </c>
      <c r="T728" s="3" t="str">
        <f ca="1">IF(A728&lt;&gt;"",MAX('Initiative Indirect'!$T:$T)+(ROW(A728)-1),"")</f>
        <v/>
      </c>
      <c r="U728" s="3" t="str">
        <f ca="1">IF(B728&lt;&gt;"",INDEX('Initiative Indirect'!$T:$T,MATCH(B728,'Initiative Indirect'!$A:$A,0)),"")</f>
        <v/>
      </c>
      <c r="V728" s="3" t="str">
        <f ca="1">IF(C728&lt;&gt;"",INDEX('Team Indirect'!$T:$T,MATCH(C728,'Team Indirect'!$A:$A,0)),"")</f>
        <v/>
      </c>
      <c r="W728" s="3"/>
      <c r="X728" s="3"/>
      <c r="Y728" s="3" t="str">
        <f ca="1">IF($C728&lt;&gt;"",INDEX('Team Indirect'!$D:$D,MATCH($C728,'Team Indirect'!$A:$A,0)),"")</f>
        <v/>
      </c>
      <c r="Z728" s="3" t="str">
        <f ca="1">IF($C728&lt;&gt;"",INDEX('Team Indirect'!$E:$E,MATCH($C728,'Team Indirect'!$A:$A,0)),"")</f>
        <v/>
      </c>
      <c r="AA728" s="3" t="str">
        <f ca="1">IF($C728&lt;&gt;"",INDEX('Team Indirect'!$F:$F,MATCH($C728,'Team Indirect'!$A:$A,0)),"")</f>
        <v/>
      </c>
      <c r="AB728" s="3" t="str">
        <f t="shared" ca="1" si="11"/>
        <v/>
      </c>
      <c r="AC728" s="3">
        <f ca="1">IF(OR(AllocationUnits="Stories", AllocationUnits="Points"),'Work Indirect'!F728,F728/MAX('Work Indirect'!AB728,1))</f>
        <v>1</v>
      </c>
    </row>
    <row r="729" spans="1:29"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7" t="str">
        <f ca="1">IF(OFFSET('4. Work'!$A$1,ROW(D729)-1,COLUMN(D729)-1)="","",OFFSET('4. Work'!$A$1,ROW(D729)-1,COLUMN(D729)-1))</f>
        <v/>
      </c>
      <c r="E729" s="147"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I729" s="3" t="str">
        <f ca="1">IF(OFFSET('4. Work'!$A$1,ROW(I729)-1,COLUMN(I729)-1)="","",OFFSET('4. Work'!$A$1,ROW(I729)-1,COLUMN(I729)-1))</f>
        <v/>
      </c>
      <c r="T729" s="3" t="str">
        <f ca="1">IF(A729&lt;&gt;"",MAX('Initiative Indirect'!$T:$T)+(ROW(A729)-1),"")</f>
        <v/>
      </c>
      <c r="U729" s="3" t="str">
        <f ca="1">IF(B729&lt;&gt;"",INDEX('Initiative Indirect'!$T:$T,MATCH(B729,'Initiative Indirect'!$A:$A,0)),"")</f>
        <v/>
      </c>
      <c r="V729" s="3" t="str">
        <f ca="1">IF(C729&lt;&gt;"",INDEX('Team Indirect'!$T:$T,MATCH(C729,'Team Indirect'!$A:$A,0)),"")</f>
        <v/>
      </c>
      <c r="W729" s="3"/>
      <c r="X729" s="3"/>
      <c r="Y729" s="3" t="str">
        <f ca="1">IF($C729&lt;&gt;"",INDEX('Team Indirect'!$D:$D,MATCH($C729,'Team Indirect'!$A:$A,0)),"")</f>
        <v/>
      </c>
      <c r="Z729" s="3" t="str">
        <f ca="1">IF($C729&lt;&gt;"",INDEX('Team Indirect'!$E:$E,MATCH($C729,'Team Indirect'!$A:$A,0)),"")</f>
        <v/>
      </c>
      <c r="AA729" s="3" t="str">
        <f ca="1">IF($C729&lt;&gt;"",INDEX('Team Indirect'!$F:$F,MATCH($C729,'Team Indirect'!$A:$A,0)),"")</f>
        <v/>
      </c>
      <c r="AB729" s="3" t="str">
        <f t="shared" ca="1" si="11"/>
        <v/>
      </c>
      <c r="AC729" s="3">
        <f ca="1">IF(OR(AllocationUnits="Stories", AllocationUnits="Points"),'Work Indirect'!F729,F729/MAX('Work Indirect'!AB729,1))</f>
        <v>1</v>
      </c>
    </row>
    <row r="730" spans="1:29"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7" t="str">
        <f ca="1">IF(OFFSET('4. Work'!$A$1,ROW(D730)-1,COLUMN(D730)-1)="","",OFFSET('4. Work'!$A$1,ROW(D730)-1,COLUMN(D730)-1))</f>
        <v/>
      </c>
      <c r="E730" s="147"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I730" s="3" t="str">
        <f ca="1">IF(OFFSET('4. Work'!$A$1,ROW(I730)-1,COLUMN(I730)-1)="","",OFFSET('4. Work'!$A$1,ROW(I730)-1,COLUMN(I730)-1))</f>
        <v/>
      </c>
      <c r="T730" s="3" t="str">
        <f ca="1">IF(A730&lt;&gt;"",MAX('Initiative Indirect'!$T:$T)+(ROW(A730)-1),"")</f>
        <v/>
      </c>
      <c r="U730" s="3" t="str">
        <f ca="1">IF(B730&lt;&gt;"",INDEX('Initiative Indirect'!$T:$T,MATCH(B730,'Initiative Indirect'!$A:$A,0)),"")</f>
        <v/>
      </c>
      <c r="V730" s="3" t="str">
        <f ca="1">IF(C730&lt;&gt;"",INDEX('Team Indirect'!$T:$T,MATCH(C730,'Team Indirect'!$A:$A,0)),"")</f>
        <v/>
      </c>
      <c r="W730" s="3"/>
      <c r="X730" s="3"/>
      <c r="Y730" s="3" t="str">
        <f ca="1">IF($C730&lt;&gt;"",INDEX('Team Indirect'!$D:$D,MATCH($C730,'Team Indirect'!$A:$A,0)),"")</f>
        <v/>
      </c>
      <c r="Z730" s="3" t="str">
        <f ca="1">IF($C730&lt;&gt;"",INDEX('Team Indirect'!$E:$E,MATCH($C730,'Team Indirect'!$A:$A,0)),"")</f>
        <v/>
      </c>
      <c r="AA730" s="3" t="str">
        <f ca="1">IF($C730&lt;&gt;"",INDEX('Team Indirect'!$F:$F,MATCH($C730,'Team Indirect'!$A:$A,0)),"")</f>
        <v/>
      </c>
      <c r="AB730" s="3" t="str">
        <f t="shared" ca="1" si="11"/>
        <v/>
      </c>
      <c r="AC730" s="3">
        <f ca="1">IF(OR(AllocationUnits="Stories", AllocationUnits="Points"),'Work Indirect'!F730,F730/MAX('Work Indirect'!AB730,1))</f>
        <v>1</v>
      </c>
    </row>
    <row r="731" spans="1:29"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7" t="str">
        <f ca="1">IF(OFFSET('4. Work'!$A$1,ROW(D731)-1,COLUMN(D731)-1)="","",OFFSET('4. Work'!$A$1,ROW(D731)-1,COLUMN(D731)-1))</f>
        <v/>
      </c>
      <c r="E731" s="147"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I731" s="3" t="str">
        <f ca="1">IF(OFFSET('4. Work'!$A$1,ROW(I731)-1,COLUMN(I731)-1)="","",OFFSET('4. Work'!$A$1,ROW(I731)-1,COLUMN(I731)-1))</f>
        <v/>
      </c>
      <c r="T731" s="3" t="str">
        <f ca="1">IF(A731&lt;&gt;"",MAX('Initiative Indirect'!$T:$T)+(ROW(A731)-1),"")</f>
        <v/>
      </c>
      <c r="U731" s="3" t="str">
        <f ca="1">IF(B731&lt;&gt;"",INDEX('Initiative Indirect'!$T:$T,MATCH(B731,'Initiative Indirect'!$A:$A,0)),"")</f>
        <v/>
      </c>
      <c r="V731" s="3" t="str">
        <f ca="1">IF(C731&lt;&gt;"",INDEX('Team Indirect'!$T:$T,MATCH(C731,'Team Indirect'!$A:$A,0)),"")</f>
        <v/>
      </c>
      <c r="W731" s="3"/>
      <c r="X731" s="3"/>
      <c r="Y731" s="3" t="str">
        <f ca="1">IF($C731&lt;&gt;"",INDEX('Team Indirect'!$D:$D,MATCH($C731,'Team Indirect'!$A:$A,0)),"")</f>
        <v/>
      </c>
      <c r="Z731" s="3" t="str">
        <f ca="1">IF($C731&lt;&gt;"",INDEX('Team Indirect'!$E:$E,MATCH($C731,'Team Indirect'!$A:$A,0)),"")</f>
        <v/>
      </c>
      <c r="AA731" s="3" t="str">
        <f ca="1">IF($C731&lt;&gt;"",INDEX('Team Indirect'!$F:$F,MATCH($C731,'Team Indirect'!$A:$A,0)),"")</f>
        <v/>
      </c>
      <c r="AB731" s="3" t="str">
        <f t="shared" ca="1" si="11"/>
        <v/>
      </c>
      <c r="AC731" s="3">
        <f ca="1">IF(OR(AllocationUnits="Stories", AllocationUnits="Points"),'Work Indirect'!F731,F731/MAX('Work Indirect'!AB731,1))</f>
        <v>1</v>
      </c>
    </row>
    <row r="732" spans="1:29"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7" t="str">
        <f ca="1">IF(OFFSET('4. Work'!$A$1,ROW(D732)-1,COLUMN(D732)-1)="","",OFFSET('4. Work'!$A$1,ROW(D732)-1,COLUMN(D732)-1))</f>
        <v/>
      </c>
      <c r="E732" s="147"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I732" s="3" t="str">
        <f ca="1">IF(OFFSET('4. Work'!$A$1,ROW(I732)-1,COLUMN(I732)-1)="","",OFFSET('4. Work'!$A$1,ROW(I732)-1,COLUMN(I732)-1))</f>
        <v/>
      </c>
      <c r="T732" s="3" t="str">
        <f ca="1">IF(A732&lt;&gt;"",MAX('Initiative Indirect'!$T:$T)+(ROW(A732)-1),"")</f>
        <v/>
      </c>
      <c r="U732" s="3" t="str">
        <f ca="1">IF(B732&lt;&gt;"",INDEX('Initiative Indirect'!$T:$T,MATCH(B732,'Initiative Indirect'!$A:$A,0)),"")</f>
        <v/>
      </c>
      <c r="V732" s="3" t="str">
        <f ca="1">IF(C732&lt;&gt;"",INDEX('Team Indirect'!$T:$T,MATCH(C732,'Team Indirect'!$A:$A,0)),"")</f>
        <v/>
      </c>
      <c r="W732" s="3"/>
      <c r="X732" s="3"/>
      <c r="Y732" s="3" t="str">
        <f ca="1">IF($C732&lt;&gt;"",INDEX('Team Indirect'!$D:$D,MATCH($C732,'Team Indirect'!$A:$A,0)),"")</f>
        <v/>
      </c>
      <c r="Z732" s="3" t="str">
        <f ca="1">IF($C732&lt;&gt;"",INDEX('Team Indirect'!$E:$E,MATCH($C732,'Team Indirect'!$A:$A,0)),"")</f>
        <v/>
      </c>
      <c r="AA732" s="3" t="str">
        <f ca="1">IF($C732&lt;&gt;"",INDEX('Team Indirect'!$F:$F,MATCH($C732,'Team Indirect'!$A:$A,0)),"")</f>
        <v/>
      </c>
      <c r="AB732" s="3" t="str">
        <f t="shared" ca="1" si="11"/>
        <v/>
      </c>
      <c r="AC732" s="3">
        <f ca="1">IF(OR(AllocationUnits="Stories", AllocationUnits="Points"),'Work Indirect'!F732,F732/MAX('Work Indirect'!AB732,1))</f>
        <v>1</v>
      </c>
    </row>
    <row r="733" spans="1:29"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7" t="str">
        <f ca="1">IF(OFFSET('4. Work'!$A$1,ROW(D733)-1,COLUMN(D733)-1)="","",OFFSET('4. Work'!$A$1,ROW(D733)-1,COLUMN(D733)-1))</f>
        <v/>
      </c>
      <c r="E733" s="147"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I733" s="3" t="str">
        <f ca="1">IF(OFFSET('4. Work'!$A$1,ROW(I733)-1,COLUMN(I733)-1)="","",OFFSET('4. Work'!$A$1,ROW(I733)-1,COLUMN(I733)-1))</f>
        <v/>
      </c>
      <c r="T733" s="3" t="str">
        <f ca="1">IF(A733&lt;&gt;"",MAX('Initiative Indirect'!$T:$T)+(ROW(A733)-1),"")</f>
        <v/>
      </c>
      <c r="U733" s="3" t="str">
        <f ca="1">IF(B733&lt;&gt;"",INDEX('Initiative Indirect'!$T:$T,MATCH(B733,'Initiative Indirect'!$A:$A,0)),"")</f>
        <v/>
      </c>
      <c r="V733" s="3" t="str">
        <f ca="1">IF(C733&lt;&gt;"",INDEX('Team Indirect'!$T:$T,MATCH(C733,'Team Indirect'!$A:$A,0)),"")</f>
        <v/>
      </c>
      <c r="W733" s="3"/>
      <c r="X733" s="3"/>
      <c r="Y733" s="3" t="str">
        <f ca="1">IF($C733&lt;&gt;"",INDEX('Team Indirect'!$D:$D,MATCH($C733,'Team Indirect'!$A:$A,0)),"")</f>
        <v/>
      </c>
      <c r="Z733" s="3" t="str">
        <f ca="1">IF($C733&lt;&gt;"",INDEX('Team Indirect'!$E:$E,MATCH($C733,'Team Indirect'!$A:$A,0)),"")</f>
        <v/>
      </c>
      <c r="AA733" s="3" t="str">
        <f ca="1">IF($C733&lt;&gt;"",INDEX('Team Indirect'!$F:$F,MATCH($C733,'Team Indirect'!$A:$A,0)),"")</f>
        <v/>
      </c>
      <c r="AB733" s="3" t="str">
        <f t="shared" ca="1" si="11"/>
        <v/>
      </c>
      <c r="AC733" s="3">
        <f ca="1">IF(OR(AllocationUnits="Stories", AllocationUnits="Points"),'Work Indirect'!F733,F733/MAX('Work Indirect'!AB733,1))</f>
        <v>1</v>
      </c>
    </row>
    <row r="734" spans="1:29"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7" t="str">
        <f ca="1">IF(OFFSET('4. Work'!$A$1,ROW(D734)-1,COLUMN(D734)-1)="","",OFFSET('4. Work'!$A$1,ROW(D734)-1,COLUMN(D734)-1))</f>
        <v/>
      </c>
      <c r="E734" s="147"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I734" s="3" t="str">
        <f ca="1">IF(OFFSET('4. Work'!$A$1,ROW(I734)-1,COLUMN(I734)-1)="","",OFFSET('4. Work'!$A$1,ROW(I734)-1,COLUMN(I734)-1))</f>
        <v/>
      </c>
      <c r="T734" s="3" t="str">
        <f ca="1">IF(A734&lt;&gt;"",MAX('Initiative Indirect'!$T:$T)+(ROW(A734)-1),"")</f>
        <v/>
      </c>
      <c r="U734" s="3" t="str">
        <f ca="1">IF(B734&lt;&gt;"",INDEX('Initiative Indirect'!$T:$T,MATCH(B734,'Initiative Indirect'!$A:$A,0)),"")</f>
        <v/>
      </c>
      <c r="V734" s="3" t="str">
        <f ca="1">IF(C734&lt;&gt;"",INDEX('Team Indirect'!$T:$T,MATCH(C734,'Team Indirect'!$A:$A,0)),"")</f>
        <v/>
      </c>
      <c r="W734" s="3"/>
      <c r="X734" s="3"/>
      <c r="Y734" s="3" t="str">
        <f ca="1">IF($C734&lt;&gt;"",INDEX('Team Indirect'!$D:$D,MATCH($C734,'Team Indirect'!$A:$A,0)),"")</f>
        <v/>
      </c>
      <c r="Z734" s="3" t="str">
        <f ca="1">IF($C734&lt;&gt;"",INDEX('Team Indirect'!$E:$E,MATCH($C734,'Team Indirect'!$A:$A,0)),"")</f>
        <v/>
      </c>
      <c r="AA734" s="3" t="str">
        <f ca="1">IF($C734&lt;&gt;"",INDEX('Team Indirect'!$F:$F,MATCH($C734,'Team Indirect'!$A:$A,0)),"")</f>
        <v/>
      </c>
      <c r="AB734" s="3" t="str">
        <f t="shared" ca="1" si="11"/>
        <v/>
      </c>
      <c r="AC734" s="3">
        <f ca="1">IF(OR(AllocationUnits="Stories", AllocationUnits="Points"),'Work Indirect'!F734,F734/MAX('Work Indirect'!AB734,1))</f>
        <v>1</v>
      </c>
    </row>
    <row r="735" spans="1:29"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7" t="str">
        <f ca="1">IF(OFFSET('4. Work'!$A$1,ROW(D735)-1,COLUMN(D735)-1)="","",OFFSET('4. Work'!$A$1,ROW(D735)-1,COLUMN(D735)-1))</f>
        <v/>
      </c>
      <c r="E735" s="147"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I735" s="3" t="str">
        <f ca="1">IF(OFFSET('4. Work'!$A$1,ROW(I735)-1,COLUMN(I735)-1)="","",OFFSET('4. Work'!$A$1,ROW(I735)-1,COLUMN(I735)-1))</f>
        <v/>
      </c>
      <c r="T735" s="3" t="str">
        <f ca="1">IF(A735&lt;&gt;"",MAX('Initiative Indirect'!$T:$T)+(ROW(A735)-1),"")</f>
        <v/>
      </c>
      <c r="U735" s="3" t="str">
        <f ca="1">IF(B735&lt;&gt;"",INDEX('Initiative Indirect'!$T:$T,MATCH(B735,'Initiative Indirect'!$A:$A,0)),"")</f>
        <v/>
      </c>
      <c r="V735" s="3" t="str">
        <f ca="1">IF(C735&lt;&gt;"",INDEX('Team Indirect'!$T:$T,MATCH(C735,'Team Indirect'!$A:$A,0)),"")</f>
        <v/>
      </c>
      <c r="W735" s="3"/>
      <c r="X735" s="3"/>
      <c r="Y735" s="3" t="str">
        <f ca="1">IF($C735&lt;&gt;"",INDEX('Team Indirect'!$D:$D,MATCH($C735,'Team Indirect'!$A:$A,0)),"")</f>
        <v/>
      </c>
      <c r="Z735" s="3" t="str">
        <f ca="1">IF($C735&lt;&gt;"",INDEX('Team Indirect'!$E:$E,MATCH($C735,'Team Indirect'!$A:$A,0)),"")</f>
        <v/>
      </c>
      <c r="AA735" s="3" t="str">
        <f ca="1">IF($C735&lt;&gt;"",INDEX('Team Indirect'!$F:$F,MATCH($C735,'Team Indirect'!$A:$A,0)),"")</f>
        <v/>
      </c>
      <c r="AB735" s="3" t="str">
        <f t="shared" ca="1" si="11"/>
        <v/>
      </c>
      <c r="AC735" s="3">
        <f ca="1">IF(OR(AllocationUnits="Stories", AllocationUnits="Points"),'Work Indirect'!F735,F735/MAX('Work Indirect'!AB735,1))</f>
        <v>1</v>
      </c>
    </row>
    <row r="736" spans="1:29"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7" t="str">
        <f ca="1">IF(OFFSET('4. Work'!$A$1,ROW(D736)-1,COLUMN(D736)-1)="","",OFFSET('4. Work'!$A$1,ROW(D736)-1,COLUMN(D736)-1))</f>
        <v/>
      </c>
      <c r="E736" s="147"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I736" s="3" t="str">
        <f ca="1">IF(OFFSET('4. Work'!$A$1,ROW(I736)-1,COLUMN(I736)-1)="","",OFFSET('4. Work'!$A$1,ROW(I736)-1,COLUMN(I736)-1))</f>
        <v/>
      </c>
      <c r="T736" s="3" t="str">
        <f ca="1">IF(A736&lt;&gt;"",MAX('Initiative Indirect'!$T:$T)+(ROW(A736)-1),"")</f>
        <v/>
      </c>
      <c r="U736" s="3" t="str">
        <f ca="1">IF(B736&lt;&gt;"",INDEX('Initiative Indirect'!$T:$T,MATCH(B736,'Initiative Indirect'!$A:$A,0)),"")</f>
        <v/>
      </c>
      <c r="V736" s="3" t="str">
        <f ca="1">IF(C736&lt;&gt;"",INDEX('Team Indirect'!$T:$T,MATCH(C736,'Team Indirect'!$A:$A,0)),"")</f>
        <v/>
      </c>
      <c r="W736" s="3"/>
      <c r="X736" s="3"/>
      <c r="Y736" s="3" t="str">
        <f ca="1">IF($C736&lt;&gt;"",INDEX('Team Indirect'!$D:$D,MATCH($C736,'Team Indirect'!$A:$A,0)),"")</f>
        <v/>
      </c>
      <c r="Z736" s="3" t="str">
        <f ca="1">IF($C736&lt;&gt;"",INDEX('Team Indirect'!$E:$E,MATCH($C736,'Team Indirect'!$A:$A,0)),"")</f>
        <v/>
      </c>
      <c r="AA736" s="3" t="str">
        <f ca="1">IF($C736&lt;&gt;"",INDEX('Team Indirect'!$F:$F,MATCH($C736,'Team Indirect'!$A:$A,0)),"")</f>
        <v/>
      </c>
      <c r="AB736" s="3" t="str">
        <f t="shared" ca="1" si="11"/>
        <v/>
      </c>
      <c r="AC736" s="3">
        <f ca="1">IF(OR(AllocationUnits="Stories", AllocationUnits="Points"),'Work Indirect'!F736,F736/MAX('Work Indirect'!AB736,1))</f>
        <v>1</v>
      </c>
    </row>
    <row r="737" spans="1:29"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7" t="str">
        <f ca="1">IF(OFFSET('4. Work'!$A$1,ROW(D737)-1,COLUMN(D737)-1)="","",OFFSET('4. Work'!$A$1,ROW(D737)-1,COLUMN(D737)-1))</f>
        <v/>
      </c>
      <c r="E737" s="147"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I737" s="3" t="str">
        <f ca="1">IF(OFFSET('4. Work'!$A$1,ROW(I737)-1,COLUMN(I737)-1)="","",OFFSET('4. Work'!$A$1,ROW(I737)-1,COLUMN(I737)-1))</f>
        <v/>
      </c>
      <c r="T737" s="3" t="str">
        <f ca="1">IF(A737&lt;&gt;"",MAX('Initiative Indirect'!$T:$T)+(ROW(A737)-1),"")</f>
        <v/>
      </c>
      <c r="U737" s="3" t="str">
        <f ca="1">IF(B737&lt;&gt;"",INDEX('Initiative Indirect'!$T:$T,MATCH(B737,'Initiative Indirect'!$A:$A,0)),"")</f>
        <v/>
      </c>
      <c r="V737" s="3" t="str">
        <f ca="1">IF(C737&lt;&gt;"",INDEX('Team Indirect'!$T:$T,MATCH(C737,'Team Indirect'!$A:$A,0)),"")</f>
        <v/>
      </c>
      <c r="W737" s="3"/>
      <c r="X737" s="3"/>
      <c r="Y737" s="3" t="str">
        <f ca="1">IF($C737&lt;&gt;"",INDEX('Team Indirect'!$D:$D,MATCH($C737,'Team Indirect'!$A:$A,0)),"")</f>
        <v/>
      </c>
      <c r="Z737" s="3" t="str">
        <f ca="1">IF($C737&lt;&gt;"",INDEX('Team Indirect'!$E:$E,MATCH($C737,'Team Indirect'!$A:$A,0)),"")</f>
        <v/>
      </c>
      <c r="AA737" s="3" t="str">
        <f ca="1">IF($C737&lt;&gt;"",INDEX('Team Indirect'!$F:$F,MATCH($C737,'Team Indirect'!$A:$A,0)),"")</f>
        <v/>
      </c>
      <c r="AB737" s="3" t="str">
        <f t="shared" ca="1" si="11"/>
        <v/>
      </c>
      <c r="AC737" s="3">
        <f ca="1">IF(OR(AllocationUnits="Stories", AllocationUnits="Points"),'Work Indirect'!F737,F737/MAX('Work Indirect'!AB737,1))</f>
        <v>1</v>
      </c>
    </row>
    <row r="738" spans="1:29"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7" t="str">
        <f ca="1">IF(OFFSET('4. Work'!$A$1,ROW(D738)-1,COLUMN(D738)-1)="","",OFFSET('4. Work'!$A$1,ROW(D738)-1,COLUMN(D738)-1))</f>
        <v/>
      </c>
      <c r="E738" s="147"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I738" s="3" t="str">
        <f ca="1">IF(OFFSET('4. Work'!$A$1,ROW(I738)-1,COLUMN(I738)-1)="","",OFFSET('4. Work'!$A$1,ROW(I738)-1,COLUMN(I738)-1))</f>
        <v/>
      </c>
      <c r="T738" s="3" t="str">
        <f ca="1">IF(A738&lt;&gt;"",MAX('Initiative Indirect'!$T:$T)+(ROW(A738)-1),"")</f>
        <v/>
      </c>
      <c r="U738" s="3" t="str">
        <f ca="1">IF(B738&lt;&gt;"",INDEX('Initiative Indirect'!$T:$T,MATCH(B738,'Initiative Indirect'!$A:$A,0)),"")</f>
        <v/>
      </c>
      <c r="V738" s="3" t="str">
        <f ca="1">IF(C738&lt;&gt;"",INDEX('Team Indirect'!$T:$T,MATCH(C738,'Team Indirect'!$A:$A,0)),"")</f>
        <v/>
      </c>
      <c r="W738" s="3"/>
      <c r="X738" s="3"/>
      <c r="Y738" s="3" t="str">
        <f ca="1">IF($C738&lt;&gt;"",INDEX('Team Indirect'!$D:$D,MATCH($C738,'Team Indirect'!$A:$A,0)),"")</f>
        <v/>
      </c>
      <c r="Z738" s="3" t="str">
        <f ca="1">IF($C738&lt;&gt;"",INDEX('Team Indirect'!$E:$E,MATCH($C738,'Team Indirect'!$A:$A,0)),"")</f>
        <v/>
      </c>
      <c r="AA738" s="3" t="str">
        <f ca="1">IF($C738&lt;&gt;"",INDEX('Team Indirect'!$F:$F,MATCH($C738,'Team Indirect'!$A:$A,0)),"")</f>
        <v/>
      </c>
      <c r="AB738" s="3" t="str">
        <f t="shared" ca="1" si="11"/>
        <v/>
      </c>
      <c r="AC738" s="3">
        <f ca="1">IF(OR(AllocationUnits="Stories", AllocationUnits="Points"),'Work Indirect'!F738,F738/MAX('Work Indirect'!AB738,1))</f>
        <v>1</v>
      </c>
    </row>
    <row r="739" spans="1:29"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7" t="str">
        <f ca="1">IF(OFFSET('4. Work'!$A$1,ROW(D739)-1,COLUMN(D739)-1)="","",OFFSET('4. Work'!$A$1,ROW(D739)-1,COLUMN(D739)-1))</f>
        <v/>
      </c>
      <c r="E739" s="147"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I739" s="3" t="str">
        <f ca="1">IF(OFFSET('4. Work'!$A$1,ROW(I739)-1,COLUMN(I739)-1)="","",OFFSET('4. Work'!$A$1,ROW(I739)-1,COLUMN(I739)-1))</f>
        <v/>
      </c>
      <c r="T739" s="3" t="str">
        <f ca="1">IF(A739&lt;&gt;"",MAX('Initiative Indirect'!$T:$T)+(ROW(A739)-1),"")</f>
        <v/>
      </c>
      <c r="U739" s="3" t="str">
        <f ca="1">IF(B739&lt;&gt;"",INDEX('Initiative Indirect'!$T:$T,MATCH(B739,'Initiative Indirect'!$A:$A,0)),"")</f>
        <v/>
      </c>
      <c r="V739" s="3" t="str">
        <f ca="1">IF(C739&lt;&gt;"",INDEX('Team Indirect'!$T:$T,MATCH(C739,'Team Indirect'!$A:$A,0)),"")</f>
        <v/>
      </c>
      <c r="W739" s="3"/>
      <c r="X739" s="3"/>
      <c r="Y739" s="3" t="str">
        <f ca="1">IF($C739&lt;&gt;"",INDEX('Team Indirect'!$D:$D,MATCH($C739,'Team Indirect'!$A:$A,0)),"")</f>
        <v/>
      </c>
      <c r="Z739" s="3" t="str">
        <f ca="1">IF($C739&lt;&gt;"",INDEX('Team Indirect'!$E:$E,MATCH($C739,'Team Indirect'!$A:$A,0)),"")</f>
        <v/>
      </c>
      <c r="AA739" s="3" t="str">
        <f ca="1">IF($C739&lt;&gt;"",INDEX('Team Indirect'!$F:$F,MATCH($C739,'Team Indirect'!$A:$A,0)),"")</f>
        <v/>
      </c>
      <c r="AB739" s="3" t="str">
        <f t="shared" ca="1" si="11"/>
        <v/>
      </c>
      <c r="AC739" s="3">
        <f ca="1">IF(OR(AllocationUnits="Stories", AllocationUnits="Points"),'Work Indirect'!F739,F739/MAX('Work Indirect'!AB739,1))</f>
        <v>1</v>
      </c>
    </row>
    <row r="740" spans="1:29"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7" t="str">
        <f ca="1">IF(OFFSET('4. Work'!$A$1,ROW(D740)-1,COLUMN(D740)-1)="","",OFFSET('4. Work'!$A$1,ROW(D740)-1,COLUMN(D740)-1))</f>
        <v/>
      </c>
      <c r="E740" s="147"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I740" s="3" t="str">
        <f ca="1">IF(OFFSET('4. Work'!$A$1,ROW(I740)-1,COLUMN(I740)-1)="","",OFFSET('4. Work'!$A$1,ROW(I740)-1,COLUMN(I740)-1))</f>
        <v/>
      </c>
      <c r="T740" s="3" t="str">
        <f ca="1">IF(A740&lt;&gt;"",MAX('Initiative Indirect'!$T:$T)+(ROW(A740)-1),"")</f>
        <v/>
      </c>
      <c r="U740" s="3" t="str">
        <f ca="1">IF(B740&lt;&gt;"",INDEX('Initiative Indirect'!$T:$T,MATCH(B740,'Initiative Indirect'!$A:$A,0)),"")</f>
        <v/>
      </c>
      <c r="V740" s="3" t="str">
        <f ca="1">IF(C740&lt;&gt;"",INDEX('Team Indirect'!$T:$T,MATCH(C740,'Team Indirect'!$A:$A,0)),"")</f>
        <v/>
      </c>
      <c r="W740" s="3"/>
      <c r="X740" s="3"/>
      <c r="Y740" s="3" t="str">
        <f ca="1">IF($C740&lt;&gt;"",INDEX('Team Indirect'!$D:$D,MATCH($C740,'Team Indirect'!$A:$A,0)),"")</f>
        <v/>
      </c>
      <c r="Z740" s="3" t="str">
        <f ca="1">IF($C740&lt;&gt;"",INDEX('Team Indirect'!$E:$E,MATCH($C740,'Team Indirect'!$A:$A,0)),"")</f>
        <v/>
      </c>
      <c r="AA740" s="3" t="str">
        <f ca="1">IF($C740&lt;&gt;"",INDEX('Team Indirect'!$F:$F,MATCH($C740,'Team Indirect'!$A:$A,0)),"")</f>
        <v/>
      </c>
      <c r="AB740" s="3" t="str">
        <f t="shared" ca="1" si="11"/>
        <v/>
      </c>
      <c r="AC740" s="3">
        <f ca="1">IF(OR(AllocationUnits="Stories", AllocationUnits="Points"),'Work Indirect'!F740,F740/MAX('Work Indirect'!AB740,1))</f>
        <v>1</v>
      </c>
    </row>
    <row r="741" spans="1:29"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7" t="str">
        <f ca="1">IF(OFFSET('4. Work'!$A$1,ROW(D741)-1,COLUMN(D741)-1)="","",OFFSET('4. Work'!$A$1,ROW(D741)-1,COLUMN(D741)-1))</f>
        <v/>
      </c>
      <c r="E741" s="147"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I741" s="3" t="str">
        <f ca="1">IF(OFFSET('4. Work'!$A$1,ROW(I741)-1,COLUMN(I741)-1)="","",OFFSET('4. Work'!$A$1,ROW(I741)-1,COLUMN(I741)-1))</f>
        <v/>
      </c>
      <c r="T741" s="3" t="str">
        <f ca="1">IF(A741&lt;&gt;"",MAX('Initiative Indirect'!$T:$T)+(ROW(A741)-1),"")</f>
        <v/>
      </c>
      <c r="U741" s="3" t="str">
        <f ca="1">IF(B741&lt;&gt;"",INDEX('Initiative Indirect'!$T:$T,MATCH(B741,'Initiative Indirect'!$A:$A,0)),"")</f>
        <v/>
      </c>
      <c r="V741" s="3" t="str">
        <f ca="1">IF(C741&lt;&gt;"",INDEX('Team Indirect'!$T:$T,MATCH(C741,'Team Indirect'!$A:$A,0)),"")</f>
        <v/>
      </c>
      <c r="W741" s="3"/>
      <c r="X741" s="3"/>
      <c r="Y741" s="3" t="str">
        <f ca="1">IF($C741&lt;&gt;"",INDEX('Team Indirect'!$D:$D,MATCH($C741,'Team Indirect'!$A:$A,0)),"")</f>
        <v/>
      </c>
      <c r="Z741" s="3" t="str">
        <f ca="1">IF($C741&lt;&gt;"",INDEX('Team Indirect'!$E:$E,MATCH($C741,'Team Indirect'!$A:$A,0)),"")</f>
        <v/>
      </c>
      <c r="AA741" s="3" t="str">
        <f ca="1">IF($C741&lt;&gt;"",INDEX('Team Indirect'!$F:$F,MATCH($C741,'Team Indirect'!$A:$A,0)),"")</f>
        <v/>
      </c>
      <c r="AB741" s="3" t="str">
        <f t="shared" ca="1" si="11"/>
        <v/>
      </c>
      <c r="AC741" s="3">
        <f ca="1">IF(OR(AllocationUnits="Stories", AllocationUnits="Points"),'Work Indirect'!F741,F741/MAX('Work Indirect'!AB741,1))</f>
        <v>1</v>
      </c>
    </row>
    <row r="742" spans="1:29"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7" t="str">
        <f ca="1">IF(OFFSET('4. Work'!$A$1,ROW(D742)-1,COLUMN(D742)-1)="","",OFFSET('4. Work'!$A$1,ROW(D742)-1,COLUMN(D742)-1))</f>
        <v/>
      </c>
      <c r="E742" s="147"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I742" s="3" t="str">
        <f ca="1">IF(OFFSET('4. Work'!$A$1,ROW(I742)-1,COLUMN(I742)-1)="","",OFFSET('4. Work'!$A$1,ROW(I742)-1,COLUMN(I742)-1))</f>
        <v/>
      </c>
      <c r="T742" s="3" t="str">
        <f ca="1">IF(A742&lt;&gt;"",MAX('Initiative Indirect'!$T:$T)+(ROW(A742)-1),"")</f>
        <v/>
      </c>
      <c r="U742" s="3" t="str">
        <f ca="1">IF(B742&lt;&gt;"",INDEX('Initiative Indirect'!$T:$T,MATCH(B742,'Initiative Indirect'!$A:$A,0)),"")</f>
        <v/>
      </c>
      <c r="V742" s="3" t="str">
        <f ca="1">IF(C742&lt;&gt;"",INDEX('Team Indirect'!$T:$T,MATCH(C742,'Team Indirect'!$A:$A,0)),"")</f>
        <v/>
      </c>
      <c r="W742" s="3"/>
      <c r="X742" s="3"/>
      <c r="Y742" s="3" t="str">
        <f ca="1">IF($C742&lt;&gt;"",INDEX('Team Indirect'!$D:$D,MATCH($C742,'Team Indirect'!$A:$A,0)),"")</f>
        <v/>
      </c>
      <c r="Z742" s="3" t="str">
        <f ca="1">IF($C742&lt;&gt;"",INDEX('Team Indirect'!$E:$E,MATCH($C742,'Team Indirect'!$A:$A,0)),"")</f>
        <v/>
      </c>
      <c r="AA742" s="3" t="str">
        <f ca="1">IF($C742&lt;&gt;"",INDEX('Team Indirect'!$F:$F,MATCH($C742,'Team Indirect'!$A:$A,0)),"")</f>
        <v/>
      </c>
      <c r="AB742" s="3" t="str">
        <f t="shared" ca="1" si="11"/>
        <v/>
      </c>
      <c r="AC742" s="3">
        <f ca="1">IF(OR(AllocationUnits="Stories", AllocationUnits="Points"),'Work Indirect'!F742,F742/MAX('Work Indirect'!AB742,1))</f>
        <v>1</v>
      </c>
    </row>
    <row r="743" spans="1:29"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7" t="str">
        <f ca="1">IF(OFFSET('4. Work'!$A$1,ROW(D743)-1,COLUMN(D743)-1)="","",OFFSET('4. Work'!$A$1,ROW(D743)-1,COLUMN(D743)-1))</f>
        <v/>
      </c>
      <c r="E743" s="147"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I743" s="3" t="str">
        <f ca="1">IF(OFFSET('4. Work'!$A$1,ROW(I743)-1,COLUMN(I743)-1)="","",OFFSET('4. Work'!$A$1,ROW(I743)-1,COLUMN(I743)-1))</f>
        <v/>
      </c>
      <c r="T743" s="3" t="str">
        <f ca="1">IF(A743&lt;&gt;"",MAX('Initiative Indirect'!$T:$T)+(ROW(A743)-1),"")</f>
        <v/>
      </c>
      <c r="U743" s="3" t="str">
        <f ca="1">IF(B743&lt;&gt;"",INDEX('Initiative Indirect'!$T:$T,MATCH(B743,'Initiative Indirect'!$A:$A,0)),"")</f>
        <v/>
      </c>
      <c r="V743" s="3" t="str">
        <f ca="1">IF(C743&lt;&gt;"",INDEX('Team Indirect'!$T:$T,MATCH(C743,'Team Indirect'!$A:$A,0)),"")</f>
        <v/>
      </c>
      <c r="W743" s="3"/>
      <c r="X743" s="3"/>
      <c r="Y743" s="3" t="str">
        <f ca="1">IF($C743&lt;&gt;"",INDEX('Team Indirect'!$D:$D,MATCH($C743,'Team Indirect'!$A:$A,0)),"")</f>
        <v/>
      </c>
      <c r="Z743" s="3" t="str">
        <f ca="1">IF($C743&lt;&gt;"",INDEX('Team Indirect'!$E:$E,MATCH($C743,'Team Indirect'!$A:$A,0)),"")</f>
        <v/>
      </c>
      <c r="AA743" s="3" t="str">
        <f ca="1">IF($C743&lt;&gt;"",INDEX('Team Indirect'!$F:$F,MATCH($C743,'Team Indirect'!$A:$A,0)),"")</f>
        <v/>
      </c>
      <c r="AB743" s="3" t="str">
        <f t="shared" ca="1" si="11"/>
        <v/>
      </c>
      <c r="AC743" s="3">
        <f ca="1">IF(OR(AllocationUnits="Stories", AllocationUnits="Points"),'Work Indirect'!F743,F743/MAX('Work Indirect'!AB743,1))</f>
        <v>1</v>
      </c>
    </row>
    <row r="744" spans="1:29"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7" t="str">
        <f ca="1">IF(OFFSET('4. Work'!$A$1,ROW(D744)-1,COLUMN(D744)-1)="","",OFFSET('4. Work'!$A$1,ROW(D744)-1,COLUMN(D744)-1))</f>
        <v/>
      </c>
      <c r="E744" s="147"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I744" s="3" t="str">
        <f ca="1">IF(OFFSET('4. Work'!$A$1,ROW(I744)-1,COLUMN(I744)-1)="","",OFFSET('4. Work'!$A$1,ROW(I744)-1,COLUMN(I744)-1))</f>
        <v/>
      </c>
      <c r="T744" s="3" t="str">
        <f ca="1">IF(A744&lt;&gt;"",MAX('Initiative Indirect'!$T:$T)+(ROW(A744)-1),"")</f>
        <v/>
      </c>
      <c r="U744" s="3" t="str">
        <f ca="1">IF(B744&lt;&gt;"",INDEX('Initiative Indirect'!$T:$T,MATCH(B744,'Initiative Indirect'!$A:$A,0)),"")</f>
        <v/>
      </c>
      <c r="V744" s="3" t="str">
        <f ca="1">IF(C744&lt;&gt;"",INDEX('Team Indirect'!$T:$T,MATCH(C744,'Team Indirect'!$A:$A,0)),"")</f>
        <v/>
      </c>
      <c r="W744" s="3"/>
      <c r="X744" s="3"/>
      <c r="Y744" s="3" t="str">
        <f ca="1">IF($C744&lt;&gt;"",INDEX('Team Indirect'!$D:$D,MATCH($C744,'Team Indirect'!$A:$A,0)),"")</f>
        <v/>
      </c>
      <c r="Z744" s="3" t="str">
        <f ca="1">IF($C744&lt;&gt;"",INDEX('Team Indirect'!$E:$E,MATCH($C744,'Team Indirect'!$A:$A,0)),"")</f>
        <v/>
      </c>
      <c r="AA744" s="3" t="str">
        <f ca="1">IF($C744&lt;&gt;"",INDEX('Team Indirect'!$F:$F,MATCH($C744,'Team Indirect'!$A:$A,0)),"")</f>
        <v/>
      </c>
      <c r="AB744" s="3" t="str">
        <f t="shared" ca="1" si="11"/>
        <v/>
      </c>
      <c r="AC744" s="3">
        <f ca="1">IF(OR(AllocationUnits="Stories", AllocationUnits="Points"),'Work Indirect'!F744,F744/MAX('Work Indirect'!AB744,1))</f>
        <v>1</v>
      </c>
    </row>
    <row r="745" spans="1:29"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7" t="str">
        <f ca="1">IF(OFFSET('4. Work'!$A$1,ROW(D745)-1,COLUMN(D745)-1)="","",OFFSET('4. Work'!$A$1,ROW(D745)-1,COLUMN(D745)-1))</f>
        <v/>
      </c>
      <c r="E745" s="147"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I745" s="3" t="str">
        <f ca="1">IF(OFFSET('4. Work'!$A$1,ROW(I745)-1,COLUMN(I745)-1)="","",OFFSET('4. Work'!$A$1,ROW(I745)-1,COLUMN(I745)-1))</f>
        <v/>
      </c>
      <c r="T745" s="3" t="str">
        <f ca="1">IF(A745&lt;&gt;"",MAX('Initiative Indirect'!$T:$T)+(ROW(A745)-1),"")</f>
        <v/>
      </c>
      <c r="U745" s="3" t="str">
        <f ca="1">IF(B745&lt;&gt;"",INDEX('Initiative Indirect'!$T:$T,MATCH(B745,'Initiative Indirect'!$A:$A,0)),"")</f>
        <v/>
      </c>
      <c r="V745" s="3" t="str">
        <f ca="1">IF(C745&lt;&gt;"",INDEX('Team Indirect'!$T:$T,MATCH(C745,'Team Indirect'!$A:$A,0)),"")</f>
        <v/>
      </c>
      <c r="W745" s="3"/>
      <c r="X745" s="3"/>
      <c r="Y745" s="3" t="str">
        <f ca="1">IF($C745&lt;&gt;"",INDEX('Team Indirect'!$D:$D,MATCH($C745,'Team Indirect'!$A:$A,0)),"")</f>
        <v/>
      </c>
      <c r="Z745" s="3" t="str">
        <f ca="1">IF($C745&lt;&gt;"",INDEX('Team Indirect'!$E:$E,MATCH($C745,'Team Indirect'!$A:$A,0)),"")</f>
        <v/>
      </c>
      <c r="AA745" s="3" t="str">
        <f ca="1">IF($C745&lt;&gt;"",INDEX('Team Indirect'!$F:$F,MATCH($C745,'Team Indirect'!$A:$A,0)),"")</f>
        <v/>
      </c>
      <c r="AB745" s="3" t="str">
        <f t="shared" ca="1" si="11"/>
        <v/>
      </c>
      <c r="AC745" s="3">
        <f ca="1">IF(OR(AllocationUnits="Stories", AllocationUnits="Points"),'Work Indirect'!F745,F745/MAX('Work Indirect'!AB745,1))</f>
        <v>1</v>
      </c>
    </row>
    <row r="746" spans="1:29"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7" t="str">
        <f ca="1">IF(OFFSET('4. Work'!$A$1,ROW(D746)-1,COLUMN(D746)-1)="","",OFFSET('4. Work'!$A$1,ROW(D746)-1,COLUMN(D746)-1))</f>
        <v/>
      </c>
      <c r="E746" s="147"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I746" s="3" t="str">
        <f ca="1">IF(OFFSET('4. Work'!$A$1,ROW(I746)-1,COLUMN(I746)-1)="","",OFFSET('4. Work'!$A$1,ROW(I746)-1,COLUMN(I746)-1))</f>
        <v/>
      </c>
      <c r="T746" s="3" t="str">
        <f ca="1">IF(A746&lt;&gt;"",MAX('Initiative Indirect'!$T:$T)+(ROW(A746)-1),"")</f>
        <v/>
      </c>
      <c r="U746" s="3" t="str">
        <f ca="1">IF(B746&lt;&gt;"",INDEX('Initiative Indirect'!$T:$T,MATCH(B746,'Initiative Indirect'!$A:$A,0)),"")</f>
        <v/>
      </c>
      <c r="V746" s="3" t="str">
        <f ca="1">IF(C746&lt;&gt;"",INDEX('Team Indirect'!$T:$T,MATCH(C746,'Team Indirect'!$A:$A,0)),"")</f>
        <v/>
      </c>
      <c r="W746" s="3"/>
      <c r="X746" s="3"/>
      <c r="Y746" s="3" t="str">
        <f ca="1">IF($C746&lt;&gt;"",INDEX('Team Indirect'!$D:$D,MATCH($C746,'Team Indirect'!$A:$A,0)),"")</f>
        <v/>
      </c>
      <c r="Z746" s="3" t="str">
        <f ca="1">IF($C746&lt;&gt;"",INDEX('Team Indirect'!$E:$E,MATCH($C746,'Team Indirect'!$A:$A,0)),"")</f>
        <v/>
      </c>
      <c r="AA746" s="3" t="str">
        <f ca="1">IF($C746&lt;&gt;"",INDEX('Team Indirect'!$F:$F,MATCH($C746,'Team Indirect'!$A:$A,0)),"")</f>
        <v/>
      </c>
      <c r="AB746" s="3" t="str">
        <f t="shared" ca="1" si="11"/>
        <v/>
      </c>
      <c r="AC746" s="3">
        <f ca="1">IF(OR(AllocationUnits="Stories", AllocationUnits="Points"),'Work Indirect'!F746,F746/MAX('Work Indirect'!AB746,1))</f>
        <v>1</v>
      </c>
    </row>
    <row r="747" spans="1:29"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7" t="str">
        <f ca="1">IF(OFFSET('4. Work'!$A$1,ROW(D747)-1,COLUMN(D747)-1)="","",OFFSET('4. Work'!$A$1,ROW(D747)-1,COLUMN(D747)-1))</f>
        <v/>
      </c>
      <c r="E747" s="147"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I747" s="3" t="str">
        <f ca="1">IF(OFFSET('4. Work'!$A$1,ROW(I747)-1,COLUMN(I747)-1)="","",OFFSET('4. Work'!$A$1,ROW(I747)-1,COLUMN(I747)-1))</f>
        <v/>
      </c>
      <c r="T747" s="3" t="str">
        <f ca="1">IF(A747&lt;&gt;"",MAX('Initiative Indirect'!$T:$T)+(ROW(A747)-1),"")</f>
        <v/>
      </c>
      <c r="U747" s="3" t="str">
        <f ca="1">IF(B747&lt;&gt;"",INDEX('Initiative Indirect'!$T:$T,MATCH(B747,'Initiative Indirect'!$A:$A,0)),"")</f>
        <v/>
      </c>
      <c r="V747" s="3" t="str">
        <f ca="1">IF(C747&lt;&gt;"",INDEX('Team Indirect'!$T:$T,MATCH(C747,'Team Indirect'!$A:$A,0)),"")</f>
        <v/>
      </c>
      <c r="W747" s="3"/>
      <c r="X747" s="3"/>
      <c r="Y747" s="3" t="str">
        <f ca="1">IF($C747&lt;&gt;"",INDEX('Team Indirect'!$D:$D,MATCH($C747,'Team Indirect'!$A:$A,0)),"")</f>
        <v/>
      </c>
      <c r="Z747" s="3" t="str">
        <f ca="1">IF($C747&lt;&gt;"",INDEX('Team Indirect'!$E:$E,MATCH($C747,'Team Indirect'!$A:$A,0)),"")</f>
        <v/>
      </c>
      <c r="AA747" s="3" t="str">
        <f ca="1">IF($C747&lt;&gt;"",INDEX('Team Indirect'!$F:$F,MATCH($C747,'Team Indirect'!$A:$A,0)),"")</f>
        <v/>
      </c>
      <c r="AB747" s="3" t="str">
        <f t="shared" ca="1" si="11"/>
        <v/>
      </c>
      <c r="AC747" s="3">
        <f ca="1">IF(OR(AllocationUnits="Stories", AllocationUnits="Points"),'Work Indirect'!F747,F747/MAX('Work Indirect'!AB747,1))</f>
        <v>1</v>
      </c>
    </row>
    <row r="748" spans="1:29"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7" t="str">
        <f ca="1">IF(OFFSET('4. Work'!$A$1,ROW(D748)-1,COLUMN(D748)-1)="","",OFFSET('4. Work'!$A$1,ROW(D748)-1,COLUMN(D748)-1))</f>
        <v/>
      </c>
      <c r="E748" s="147"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I748" s="3" t="str">
        <f ca="1">IF(OFFSET('4. Work'!$A$1,ROW(I748)-1,COLUMN(I748)-1)="","",OFFSET('4. Work'!$A$1,ROW(I748)-1,COLUMN(I748)-1))</f>
        <v/>
      </c>
      <c r="T748" s="3" t="str">
        <f ca="1">IF(A748&lt;&gt;"",MAX('Initiative Indirect'!$T:$T)+(ROW(A748)-1),"")</f>
        <v/>
      </c>
      <c r="U748" s="3" t="str">
        <f ca="1">IF(B748&lt;&gt;"",INDEX('Initiative Indirect'!$T:$T,MATCH(B748,'Initiative Indirect'!$A:$A,0)),"")</f>
        <v/>
      </c>
      <c r="V748" s="3" t="str">
        <f ca="1">IF(C748&lt;&gt;"",INDEX('Team Indirect'!$T:$T,MATCH(C748,'Team Indirect'!$A:$A,0)),"")</f>
        <v/>
      </c>
      <c r="W748" s="3"/>
      <c r="X748" s="3"/>
      <c r="Y748" s="3" t="str">
        <f ca="1">IF($C748&lt;&gt;"",INDEX('Team Indirect'!$D:$D,MATCH($C748,'Team Indirect'!$A:$A,0)),"")</f>
        <v/>
      </c>
      <c r="Z748" s="3" t="str">
        <f ca="1">IF($C748&lt;&gt;"",INDEX('Team Indirect'!$E:$E,MATCH($C748,'Team Indirect'!$A:$A,0)),"")</f>
        <v/>
      </c>
      <c r="AA748" s="3" t="str">
        <f ca="1">IF($C748&lt;&gt;"",INDEX('Team Indirect'!$F:$F,MATCH($C748,'Team Indirect'!$A:$A,0)),"")</f>
        <v/>
      </c>
      <c r="AB748" s="3" t="str">
        <f t="shared" ca="1" si="11"/>
        <v/>
      </c>
      <c r="AC748" s="3">
        <f ca="1">IF(OR(AllocationUnits="Stories", AllocationUnits="Points"),'Work Indirect'!F748,F748/MAX('Work Indirect'!AB748,1))</f>
        <v>1</v>
      </c>
    </row>
    <row r="749" spans="1:29"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7" t="str">
        <f ca="1">IF(OFFSET('4. Work'!$A$1,ROW(D749)-1,COLUMN(D749)-1)="","",OFFSET('4. Work'!$A$1,ROW(D749)-1,COLUMN(D749)-1))</f>
        <v/>
      </c>
      <c r="E749" s="147"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I749" s="3" t="str">
        <f ca="1">IF(OFFSET('4. Work'!$A$1,ROW(I749)-1,COLUMN(I749)-1)="","",OFFSET('4. Work'!$A$1,ROW(I749)-1,COLUMN(I749)-1))</f>
        <v/>
      </c>
      <c r="T749" s="3" t="str">
        <f ca="1">IF(A749&lt;&gt;"",MAX('Initiative Indirect'!$T:$T)+(ROW(A749)-1),"")</f>
        <v/>
      </c>
      <c r="U749" s="3" t="str">
        <f ca="1">IF(B749&lt;&gt;"",INDEX('Initiative Indirect'!$T:$T,MATCH(B749,'Initiative Indirect'!$A:$A,0)),"")</f>
        <v/>
      </c>
      <c r="V749" s="3" t="str">
        <f ca="1">IF(C749&lt;&gt;"",INDEX('Team Indirect'!$T:$T,MATCH(C749,'Team Indirect'!$A:$A,0)),"")</f>
        <v/>
      </c>
      <c r="W749" s="3"/>
      <c r="X749" s="3"/>
      <c r="Y749" s="3" t="str">
        <f ca="1">IF($C749&lt;&gt;"",INDEX('Team Indirect'!$D:$D,MATCH($C749,'Team Indirect'!$A:$A,0)),"")</f>
        <v/>
      </c>
      <c r="Z749" s="3" t="str">
        <f ca="1">IF($C749&lt;&gt;"",INDEX('Team Indirect'!$E:$E,MATCH($C749,'Team Indirect'!$A:$A,0)),"")</f>
        <v/>
      </c>
      <c r="AA749" s="3" t="str">
        <f ca="1">IF($C749&lt;&gt;"",INDEX('Team Indirect'!$F:$F,MATCH($C749,'Team Indirect'!$A:$A,0)),"")</f>
        <v/>
      </c>
      <c r="AB749" s="3" t="str">
        <f t="shared" ca="1" si="11"/>
        <v/>
      </c>
      <c r="AC749" s="3">
        <f ca="1">IF(OR(AllocationUnits="Stories", AllocationUnits="Points"),'Work Indirect'!F749,F749/MAX('Work Indirect'!AB749,1))</f>
        <v>1</v>
      </c>
    </row>
    <row r="750" spans="1:29"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7" t="str">
        <f ca="1">IF(OFFSET('4. Work'!$A$1,ROW(D750)-1,COLUMN(D750)-1)="","",OFFSET('4. Work'!$A$1,ROW(D750)-1,COLUMN(D750)-1))</f>
        <v/>
      </c>
      <c r="E750" s="147"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I750" s="3" t="str">
        <f ca="1">IF(OFFSET('4. Work'!$A$1,ROW(I750)-1,COLUMN(I750)-1)="","",OFFSET('4. Work'!$A$1,ROW(I750)-1,COLUMN(I750)-1))</f>
        <v/>
      </c>
      <c r="T750" s="3" t="str">
        <f ca="1">IF(A750&lt;&gt;"",MAX('Initiative Indirect'!$T:$T)+(ROW(A750)-1),"")</f>
        <v/>
      </c>
      <c r="U750" s="3" t="str">
        <f ca="1">IF(B750&lt;&gt;"",INDEX('Initiative Indirect'!$T:$T,MATCH(B750,'Initiative Indirect'!$A:$A,0)),"")</f>
        <v/>
      </c>
      <c r="V750" s="3" t="str">
        <f ca="1">IF(C750&lt;&gt;"",INDEX('Team Indirect'!$T:$T,MATCH(C750,'Team Indirect'!$A:$A,0)),"")</f>
        <v/>
      </c>
      <c r="W750" s="3"/>
      <c r="X750" s="3"/>
      <c r="Y750" s="3" t="str">
        <f ca="1">IF($C750&lt;&gt;"",INDEX('Team Indirect'!$D:$D,MATCH($C750,'Team Indirect'!$A:$A,0)),"")</f>
        <v/>
      </c>
      <c r="Z750" s="3" t="str">
        <f ca="1">IF($C750&lt;&gt;"",INDEX('Team Indirect'!$E:$E,MATCH($C750,'Team Indirect'!$A:$A,0)),"")</f>
        <v/>
      </c>
      <c r="AA750" s="3" t="str">
        <f ca="1">IF($C750&lt;&gt;"",INDEX('Team Indirect'!$F:$F,MATCH($C750,'Team Indirect'!$A:$A,0)),"")</f>
        <v/>
      </c>
      <c r="AB750" s="3" t="str">
        <f t="shared" ca="1" si="11"/>
        <v/>
      </c>
      <c r="AC750" s="3">
        <f ca="1">IF(OR(AllocationUnits="Stories", AllocationUnits="Points"),'Work Indirect'!F750,F750/MAX('Work Indirect'!AB750,1))</f>
        <v>1</v>
      </c>
    </row>
    <row r="751" spans="1:29"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7" t="str">
        <f ca="1">IF(OFFSET('4. Work'!$A$1,ROW(D751)-1,COLUMN(D751)-1)="","",OFFSET('4. Work'!$A$1,ROW(D751)-1,COLUMN(D751)-1))</f>
        <v/>
      </c>
      <c r="E751" s="147"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I751" s="3" t="str">
        <f ca="1">IF(OFFSET('4. Work'!$A$1,ROW(I751)-1,COLUMN(I751)-1)="","",OFFSET('4. Work'!$A$1,ROW(I751)-1,COLUMN(I751)-1))</f>
        <v/>
      </c>
      <c r="T751" s="3" t="str">
        <f ca="1">IF(A751&lt;&gt;"",MAX('Initiative Indirect'!$T:$T)+(ROW(A751)-1),"")</f>
        <v/>
      </c>
      <c r="U751" s="3" t="str">
        <f ca="1">IF(B751&lt;&gt;"",INDEX('Initiative Indirect'!$T:$T,MATCH(B751,'Initiative Indirect'!$A:$A,0)),"")</f>
        <v/>
      </c>
      <c r="V751" s="3" t="str">
        <f ca="1">IF(C751&lt;&gt;"",INDEX('Team Indirect'!$T:$T,MATCH(C751,'Team Indirect'!$A:$A,0)),"")</f>
        <v/>
      </c>
      <c r="W751" s="3"/>
      <c r="X751" s="3"/>
      <c r="Y751" s="3" t="str">
        <f ca="1">IF($C751&lt;&gt;"",INDEX('Team Indirect'!$D:$D,MATCH($C751,'Team Indirect'!$A:$A,0)),"")</f>
        <v/>
      </c>
      <c r="Z751" s="3" t="str">
        <f ca="1">IF($C751&lt;&gt;"",INDEX('Team Indirect'!$E:$E,MATCH($C751,'Team Indirect'!$A:$A,0)),"")</f>
        <v/>
      </c>
      <c r="AA751" s="3" t="str">
        <f ca="1">IF($C751&lt;&gt;"",INDEX('Team Indirect'!$F:$F,MATCH($C751,'Team Indirect'!$A:$A,0)),"")</f>
        <v/>
      </c>
      <c r="AB751" s="3" t="str">
        <f t="shared" ca="1" si="11"/>
        <v/>
      </c>
      <c r="AC751" s="3">
        <f ca="1">IF(OR(AllocationUnits="Stories", AllocationUnits="Points"),'Work Indirect'!F751,F751/MAX('Work Indirect'!AB751,1))</f>
        <v>1</v>
      </c>
    </row>
    <row r="752" spans="1:29"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7" t="str">
        <f ca="1">IF(OFFSET('4. Work'!$A$1,ROW(D752)-1,COLUMN(D752)-1)="","",OFFSET('4. Work'!$A$1,ROW(D752)-1,COLUMN(D752)-1))</f>
        <v/>
      </c>
      <c r="E752" s="147"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I752" s="3" t="str">
        <f ca="1">IF(OFFSET('4. Work'!$A$1,ROW(I752)-1,COLUMN(I752)-1)="","",OFFSET('4. Work'!$A$1,ROW(I752)-1,COLUMN(I752)-1))</f>
        <v/>
      </c>
      <c r="T752" s="3" t="str">
        <f ca="1">IF(A752&lt;&gt;"",MAX('Initiative Indirect'!$T:$T)+(ROW(A752)-1),"")</f>
        <v/>
      </c>
      <c r="U752" s="3" t="str">
        <f ca="1">IF(B752&lt;&gt;"",INDEX('Initiative Indirect'!$T:$T,MATCH(B752,'Initiative Indirect'!$A:$A,0)),"")</f>
        <v/>
      </c>
      <c r="V752" s="3" t="str">
        <f ca="1">IF(C752&lt;&gt;"",INDEX('Team Indirect'!$T:$T,MATCH(C752,'Team Indirect'!$A:$A,0)),"")</f>
        <v/>
      </c>
      <c r="W752" s="3"/>
      <c r="X752" s="3"/>
      <c r="Y752" s="3" t="str">
        <f ca="1">IF($C752&lt;&gt;"",INDEX('Team Indirect'!$D:$D,MATCH($C752,'Team Indirect'!$A:$A,0)),"")</f>
        <v/>
      </c>
      <c r="Z752" s="3" t="str">
        <f ca="1">IF($C752&lt;&gt;"",INDEX('Team Indirect'!$E:$E,MATCH($C752,'Team Indirect'!$A:$A,0)),"")</f>
        <v/>
      </c>
      <c r="AA752" s="3" t="str">
        <f ca="1">IF($C752&lt;&gt;"",INDEX('Team Indirect'!$F:$F,MATCH($C752,'Team Indirect'!$A:$A,0)),"")</f>
        <v/>
      </c>
      <c r="AB752" s="3" t="str">
        <f t="shared" ca="1" si="11"/>
        <v/>
      </c>
      <c r="AC752" s="3">
        <f ca="1">IF(OR(AllocationUnits="Stories", AllocationUnits="Points"),'Work Indirect'!F752,F752/MAX('Work Indirect'!AB752,1))</f>
        <v>1</v>
      </c>
    </row>
    <row r="753" spans="1:29"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7" t="str">
        <f ca="1">IF(OFFSET('4. Work'!$A$1,ROW(D753)-1,COLUMN(D753)-1)="","",OFFSET('4. Work'!$A$1,ROW(D753)-1,COLUMN(D753)-1))</f>
        <v/>
      </c>
      <c r="E753" s="147"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I753" s="3" t="str">
        <f ca="1">IF(OFFSET('4. Work'!$A$1,ROW(I753)-1,COLUMN(I753)-1)="","",OFFSET('4. Work'!$A$1,ROW(I753)-1,COLUMN(I753)-1))</f>
        <v/>
      </c>
      <c r="T753" s="3" t="str">
        <f ca="1">IF(A753&lt;&gt;"",MAX('Initiative Indirect'!$T:$T)+(ROW(A753)-1),"")</f>
        <v/>
      </c>
      <c r="U753" s="3" t="str">
        <f ca="1">IF(B753&lt;&gt;"",INDEX('Initiative Indirect'!$T:$T,MATCH(B753,'Initiative Indirect'!$A:$A,0)),"")</f>
        <v/>
      </c>
      <c r="V753" s="3" t="str">
        <f ca="1">IF(C753&lt;&gt;"",INDEX('Team Indirect'!$T:$T,MATCH(C753,'Team Indirect'!$A:$A,0)),"")</f>
        <v/>
      </c>
      <c r="W753" s="3"/>
      <c r="X753" s="3"/>
      <c r="Y753" s="3" t="str">
        <f ca="1">IF($C753&lt;&gt;"",INDEX('Team Indirect'!$D:$D,MATCH($C753,'Team Indirect'!$A:$A,0)),"")</f>
        <v/>
      </c>
      <c r="Z753" s="3" t="str">
        <f ca="1">IF($C753&lt;&gt;"",INDEX('Team Indirect'!$E:$E,MATCH($C753,'Team Indirect'!$A:$A,0)),"")</f>
        <v/>
      </c>
      <c r="AA753" s="3" t="str">
        <f ca="1">IF($C753&lt;&gt;"",INDEX('Team Indirect'!$F:$F,MATCH($C753,'Team Indirect'!$A:$A,0)),"")</f>
        <v/>
      </c>
      <c r="AB753" s="3" t="str">
        <f t="shared" ca="1" si="11"/>
        <v/>
      </c>
      <c r="AC753" s="3">
        <f ca="1">IF(OR(AllocationUnits="Stories", AllocationUnits="Points"),'Work Indirect'!F753,F753/MAX('Work Indirect'!AB753,1))</f>
        <v>1</v>
      </c>
    </row>
    <row r="754" spans="1:29"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7" t="str">
        <f ca="1">IF(OFFSET('4. Work'!$A$1,ROW(D754)-1,COLUMN(D754)-1)="","",OFFSET('4. Work'!$A$1,ROW(D754)-1,COLUMN(D754)-1))</f>
        <v/>
      </c>
      <c r="E754" s="147"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I754" s="3" t="str">
        <f ca="1">IF(OFFSET('4. Work'!$A$1,ROW(I754)-1,COLUMN(I754)-1)="","",OFFSET('4. Work'!$A$1,ROW(I754)-1,COLUMN(I754)-1))</f>
        <v/>
      </c>
      <c r="T754" s="3" t="str">
        <f ca="1">IF(A754&lt;&gt;"",MAX('Initiative Indirect'!$T:$T)+(ROW(A754)-1),"")</f>
        <v/>
      </c>
      <c r="U754" s="3" t="str">
        <f ca="1">IF(B754&lt;&gt;"",INDEX('Initiative Indirect'!$T:$T,MATCH(B754,'Initiative Indirect'!$A:$A,0)),"")</f>
        <v/>
      </c>
      <c r="V754" s="3" t="str">
        <f ca="1">IF(C754&lt;&gt;"",INDEX('Team Indirect'!$T:$T,MATCH(C754,'Team Indirect'!$A:$A,0)),"")</f>
        <v/>
      </c>
      <c r="W754" s="3"/>
      <c r="X754" s="3"/>
      <c r="Y754" s="3" t="str">
        <f ca="1">IF($C754&lt;&gt;"",INDEX('Team Indirect'!$D:$D,MATCH($C754,'Team Indirect'!$A:$A,0)),"")</f>
        <v/>
      </c>
      <c r="Z754" s="3" t="str">
        <f ca="1">IF($C754&lt;&gt;"",INDEX('Team Indirect'!$E:$E,MATCH($C754,'Team Indirect'!$A:$A,0)),"")</f>
        <v/>
      </c>
      <c r="AA754" s="3" t="str">
        <f ca="1">IF($C754&lt;&gt;"",INDEX('Team Indirect'!$F:$F,MATCH($C754,'Team Indirect'!$A:$A,0)),"")</f>
        <v/>
      </c>
      <c r="AB754" s="3" t="str">
        <f t="shared" ca="1" si="11"/>
        <v/>
      </c>
      <c r="AC754" s="3">
        <f ca="1">IF(OR(AllocationUnits="Stories", AllocationUnits="Points"),'Work Indirect'!F754,F754/MAX('Work Indirect'!AB754,1))</f>
        <v>1</v>
      </c>
    </row>
    <row r="755" spans="1:29"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7" t="str">
        <f ca="1">IF(OFFSET('4. Work'!$A$1,ROW(D755)-1,COLUMN(D755)-1)="","",OFFSET('4. Work'!$A$1,ROW(D755)-1,COLUMN(D755)-1))</f>
        <v/>
      </c>
      <c r="E755" s="147"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I755" s="3" t="str">
        <f ca="1">IF(OFFSET('4. Work'!$A$1,ROW(I755)-1,COLUMN(I755)-1)="","",OFFSET('4. Work'!$A$1,ROW(I755)-1,COLUMN(I755)-1))</f>
        <v/>
      </c>
      <c r="T755" s="3" t="str">
        <f ca="1">IF(A755&lt;&gt;"",MAX('Initiative Indirect'!$T:$T)+(ROW(A755)-1),"")</f>
        <v/>
      </c>
      <c r="U755" s="3" t="str">
        <f ca="1">IF(B755&lt;&gt;"",INDEX('Initiative Indirect'!$T:$T,MATCH(B755,'Initiative Indirect'!$A:$A,0)),"")</f>
        <v/>
      </c>
      <c r="V755" s="3" t="str">
        <f ca="1">IF(C755&lt;&gt;"",INDEX('Team Indirect'!$T:$T,MATCH(C755,'Team Indirect'!$A:$A,0)),"")</f>
        <v/>
      </c>
      <c r="W755" s="3"/>
      <c r="X755" s="3"/>
      <c r="Y755" s="3" t="str">
        <f ca="1">IF($C755&lt;&gt;"",INDEX('Team Indirect'!$D:$D,MATCH($C755,'Team Indirect'!$A:$A,0)),"")</f>
        <v/>
      </c>
      <c r="Z755" s="3" t="str">
        <f ca="1">IF($C755&lt;&gt;"",INDEX('Team Indirect'!$E:$E,MATCH($C755,'Team Indirect'!$A:$A,0)),"")</f>
        <v/>
      </c>
      <c r="AA755" s="3" t="str">
        <f ca="1">IF($C755&lt;&gt;"",INDEX('Team Indirect'!$F:$F,MATCH($C755,'Team Indirect'!$A:$A,0)),"")</f>
        <v/>
      </c>
      <c r="AB755" s="3" t="str">
        <f t="shared" ca="1" si="11"/>
        <v/>
      </c>
      <c r="AC755" s="3">
        <f ca="1">IF(OR(AllocationUnits="Stories", AllocationUnits="Points"),'Work Indirect'!F755,F755/MAX('Work Indirect'!AB755,1))</f>
        <v>1</v>
      </c>
    </row>
    <row r="756" spans="1:29"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7" t="str">
        <f ca="1">IF(OFFSET('4. Work'!$A$1,ROW(D756)-1,COLUMN(D756)-1)="","",OFFSET('4. Work'!$A$1,ROW(D756)-1,COLUMN(D756)-1))</f>
        <v/>
      </c>
      <c r="E756" s="147"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I756" s="3" t="str">
        <f ca="1">IF(OFFSET('4. Work'!$A$1,ROW(I756)-1,COLUMN(I756)-1)="","",OFFSET('4. Work'!$A$1,ROW(I756)-1,COLUMN(I756)-1))</f>
        <v/>
      </c>
      <c r="T756" s="3" t="str">
        <f ca="1">IF(A756&lt;&gt;"",MAX('Initiative Indirect'!$T:$T)+(ROW(A756)-1),"")</f>
        <v/>
      </c>
      <c r="U756" s="3" t="str">
        <f ca="1">IF(B756&lt;&gt;"",INDEX('Initiative Indirect'!$T:$T,MATCH(B756,'Initiative Indirect'!$A:$A,0)),"")</f>
        <v/>
      </c>
      <c r="V756" s="3" t="str">
        <f ca="1">IF(C756&lt;&gt;"",INDEX('Team Indirect'!$T:$T,MATCH(C756,'Team Indirect'!$A:$A,0)),"")</f>
        <v/>
      </c>
      <c r="W756" s="3"/>
      <c r="X756" s="3"/>
      <c r="Y756" s="3" t="str">
        <f ca="1">IF($C756&lt;&gt;"",INDEX('Team Indirect'!$D:$D,MATCH($C756,'Team Indirect'!$A:$A,0)),"")</f>
        <v/>
      </c>
      <c r="Z756" s="3" t="str">
        <f ca="1">IF($C756&lt;&gt;"",INDEX('Team Indirect'!$E:$E,MATCH($C756,'Team Indirect'!$A:$A,0)),"")</f>
        <v/>
      </c>
      <c r="AA756" s="3" t="str">
        <f ca="1">IF($C756&lt;&gt;"",INDEX('Team Indirect'!$F:$F,MATCH($C756,'Team Indirect'!$A:$A,0)),"")</f>
        <v/>
      </c>
      <c r="AB756" s="3" t="str">
        <f t="shared" ca="1" si="11"/>
        <v/>
      </c>
      <c r="AC756" s="3">
        <f ca="1">IF(OR(AllocationUnits="Stories", AllocationUnits="Points"),'Work Indirect'!F756,F756/MAX('Work Indirect'!AB756,1))</f>
        <v>1</v>
      </c>
    </row>
    <row r="757" spans="1:29"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7" t="str">
        <f ca="1">IF(OFFSET('4. Work'!$A$1,ROW(D757)-1,COLUMN(D757)-1)="","",OFFSET('4. Work'!$A$1,ROW(D757)-1,COLUMN(D757)-1))</f>
        <v/>
      </c>
      <c r="E757" s="147"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I757" s="3" t="str">
        <f ca="1">IF(OFFSET('4. Work'!$A$1,ROW(I757)-1,COLUMN(I757)-1)="","",OFFSET('4. Work'!$A$1,ROW(I757)-1,COLUMN(I757)-1))</f>
        <v/>
      </c>
      <c r="T757" s="3" t="str">
        <f ca="1">IF(A757&lt;&gt;"",MAX('Initiative Indirect'!$T:$T)+(ROW(A757)-1),"")</f>
        <v/>
      </c>
      <c r="U757" s="3" t="str">
        <f ca="1">IF(B757&lt;&gt;"",INDEX('Initiative Indirect'!$T:$T,MATCH(B757,'Initiative Indirect'!$A:$A,0)),"")</f>
        <v/>
      </c>
      <c r="V757" s="3" t="str">
        <f ca="1">IF(C757&lt;&gt;"",INDEX('Team Indirect'!$T:$T,MATCH(C757,'Team Indirect'!$A:$A,0)),"")</f>
        <v/>
      </c>
      <c r="W757" s="3"/>
      <c r="X757" s="3"/>
      <c r="Y757" s="3" t="str">
        <f ca="1">IF($C757&lt;&gt;"",INDEX('Team Indirect'!$D:$D,MATCH($C757,'Team Indirect'!$A:$A,0)),"")</f>
        <v/>
      </c>
      <c r="Z757" s="3" t="str">
        <f ca="1">IF($C757&lt;&gt;"",INDEX('Team Indirect'!$E:$E,MATCH($C757,'Team Indirect'!$A:$A,0)),"")</f>
        <v/>
      </c>
      <c r="AA757" s="3" t="str">
        <f ca="1">IF($C757&lt;&gt;"",INDEX('Team Indirect'!$F:$F,MATCH($C757,'Team Indirect'!$A:$A,0)),"")</f>
        <v/>
      </c>
      <c r="AB757" s="3" t="str">
        <f t="shared" ca="1" si="11"/>
        <v/>
      </c>
      <c r="AC757" s="3">
        <f ca="1">IF(OR(AllocationUnits="Stories", AllocationUnits="Points"),'Work Indirect'!F757,F757/MAX('Work Indirect'!AB757,1))</f>
        <v>1</v>
      </c>
    </row>
    <row r="758" spans="1:29"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7" t="str">
        <f ca="1">IF(OFFSET('4. Work'!$A$1,ROW(D758)-1,COLUMN(D758)-1)="","",OFFSET('4. Work'!$A$1,ROW(D758)-1,COLUMN(D758)-1))</f>
        <v/>
      </c>
      <c r="E758" s="147"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I758" s="3" t="str">
        <f ca="1">IF(OFFSET('4. Work'!$A$1,ROW(I758)-1,COLUMN(I758)-1)="","",OFFSET('4. Work'!$A$1,ROW(I758)-1,COLUMN(I758)-1))</f>
        <v/>
      </c>
      <c r="T758" s="3" t="str">
        <f ca="1">IF(A758&lt;&gt;"",MAX('Initiative Indirect'!$T:$T)+(ROW(A758)-1),"")</f>
        <v/>
      </c>
      <c r="U758" s="3" t="str">
        <f ca="1">IF(B758&lt;&gt;"",INDEX('Initiative Indirect'!$T:$T,MATCH(B758,'Initiative Indirect'!$A:$A,0)),"")</f>
        <v/>
      </c>
      <c r="V758" s="3" t="str">
        <f ca="1">IF(C758&lt;&gt;"",INDEX('Team Indirect'!$T:$T,MATCH(C758,'Team Indirect'!$A:$A,0)),"")</f>
        <v/>
      </c>
      <c r="W758" s="3"/>
      <c r="X758" s="3"/>
      <c r="Y758" s="3" t="str">
        <f ca="1">IF($C758&lt;&gt;"",INDEX('Team Indirect'!$D:$D,MATCH($C758,'Team Indirect'!$A:$A,0)),"")</f>
        <v/>
      </c>
      <c r="Z758" s="3" t="str">
        <f ca="1">IF($C758&lt;&gt;"",INDEX('Team Indirect'!$E:$E,MATCH($C758,'Team Indirect'!$A:$A,0)),"")</f>
        <v/>
      </c>
      <c r="AA758" s="3" t="str">
        <f ca="1">IF($C758&lt;&gt;"",INDEX('Team Indirect'!$F:$F,MATCH($C758,'Team Indirect'!$A:$A,0)),"")</f>
        <v/>
      </c>
      <c r="AB758" s="3" t="str">
        <f t="shared" ca="1" si="11"/>
        <v/>
      </c>
      <c r="AC758" s="3">
        <f ca="1">IF(OR(AllocationUnits="Stories", AllocationUnits="Points"),'Work Indirect'!F758,F758/MAX('Work Indirect'!AB758,1))</f>
        <v>1</v>
      </c>
    </row>
    <row r="759" spans="1:29"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7" t="str">
        <f ca="1">IF(OFFSET('4. Work'!$A$1,ROW(D759)-1,COLUMN(D759)-1)="","",OFFSET('4. Work'!$A$1,ROW(D759)-1,COLUMN(D759)-1))</f>
        <v/>
      </c>
      <c r="E759" s="147"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I759" s="3" t="str">
        <f ca="1">IF(OFFSET('4. Work'!$A$1,ROW(I759)-1,COLUMN(I759)-1)="","",OFFSET('4. Work'!$A$1,ROW(I759)-1,COLUMN(I759)-1))</f>
        <v/>
      </c>
      <c r="T759" s="3" t="str">
        <f ca="1">IF(A759&lt;&gt;"",MAX('Initiative Indirect'!$T:$T)+(ROW(A759)-1),"")</f>
        <v/>
      </c>
      <c r="U759" s="3" t="str">
        <f ca="1">IF(B759&lt;&gt;"",INDEX('Initiative Indirect'!$T:$T,MATCH(B759,'Initiative Indirect'!$A:$A,0)),"")</f>
        <v/>
      </c>
      <c r="V759" s="3" t="str">
        <f ca="1">IF(C759&lt;&gt;"",INDEX('Team Indirect'!$T:$T,MATCH(C759,'Team Indirect'!$A:$A,0)),"")</f>
        <v/>
      </c>
      <c r="W759" s="3"/>
      <c r="X759" s="3"/>
      <c r="Y759" s="3" t="str">
        <f ca="1">IF($C759&lt;&gt;"",INDEX('Team Indirect'!$D:$D,MATCH($C759,'Team Indirect'!$A:$A,0)),"")</f>
        <v/>
      </c>
      <c r="Z759" s="3" t="str">
        <f ca="1">IF($C759&lt;&gt;"",INDEX('Team Indirect'!$E:$E,MATCH($C759,'Team Indirect'!$A:$A,0)),"")</f>
        <v/>
      </c>
      <c r="AA759" s="3" t="str">
        <f ca="1">IF($C759&lt;&gt;"",INDEX('Team Indirect'!$F:$F,MATCH($C759,'Team Indirect'!$A:$A,0)),"")</f>
        <v/>
      </c>
      <c r="AB759" s="3" t="str">
        <f t="shared" ca="1" si="11"/>
        <v/>
      </c>
      <c r="AC759" s="3">
        <f ca="1">IF(OR(AllocationUnits="Stories", AllocationUnits="Points"),'Work Indirect'!F759,F759/MAX('Work Indirect'!AB759,1))</f>
        <v>1</v>
      </c>
    </row>
    <row r="760" spans="1:29"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7" t="str">
        <f ca="1">IF(OFFSET('4. Work'!$A$1,ROW(D760)-1,COLUMN(D760)-1)="","",OFFSET('4. Work'!$A$1,ROW(D760)-1,COLUMN(D760)-1))</f>
        <v/>
      </c>
      <c r="E760" s="147"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I760" s="3" t="str">
        <f ca="1">IF(OFFSET('4. Work'!$A$1,ROW(I760)-1,COLUMN(I760)-1)="","",OFFSET('4. Work'!$A$1,ROW(I760)-1,COLUMN(I760)-1))</f>
        <v/>
      </c>
      <c r="T760" s="3" t="str">
        <f ca="1">IF(A760&lt;&gt;"",MAX('Initiative Indirect'!$T:$T)+(ROW(A760)-1),"")</f>
        <v/>
      </c>
      <c r="U760" s="3" t="str">
        <f ca="1">IF(B760&lt;&gt;"",INDEX('Initiative Indirect'!$T:$T,MATCH(B760,'Initiative Indirect'!$A:$A,0)),"")</f>
        <v/>
      </c>
      <c r="V760" s="3" t="str">
        <f ca="1">IF(C760&lt;&gt;"",INDEX('Team Indirect'!$T:$T,MATCH(C760,'Team Indirect'!$A:$A,0)),"")</f>
        <v/>
      </c>
      <c r="W760" s="3"/>
      <c r="X760" s="3"/>
      <c r="Y760" s="3" t="str">
        <f ca="1">IF($C760&lt;&gt;"",INDEX('Team Indirect'!$D:$D,MATCH($C760,'Team Indirect'!$A:$A,0)),"")</f>
        <v/>
      </c>
      <c r="Z760" s="3" t="str">
        <f ca="1">IF($C760&lt;&gt;"",INDEX('Team Indirect'!$E:$E,MATCH($C760,'Team Indirect'!$A:$A,0)),"")</f>
        <v/>
      </c>
      <c r="AA760" s="3" t="str">
        <f ca="1">IF($C760&lt;&gt;"",INDEX('Team Indirect'!$F:$F,MATCH($C760,'Team Indirect'!$A:$A,0)),"")</f>
        <v/>
      </c>
      <c r="AB760" s="3" t="str">
        <f t="shared" ca="1" si="11"/>
        <v/>
      </c>
      <c r="AC760" s="3">
        <f ca="1">IF(OR(AllocationUnits="Stories", AllocationUnits="Points"),'Work Indirect'!F760,F760/MAX('Work Indirect'!AB760,1))</f>
        <v>1</v>
      </c>
    </row>
    <row r="761" spans="1:29"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7" t="str">
        <f ca="1">IF(OFFSET('4. Work'!$A$1,ROW(D761)-1,COLUMN(D761)-1)="","",OFFSET('4. Work'!$A$1,ROW(D761)-1,COLUMN(D761)-1))</f>
        <v/>
      </c>
      <c r="E761" s="147"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I761" s="3" t="str">
        <f ca="1">IF(OFFSET('4. Work'!$A$1,ROW(I761)-1,COLUMN(I761)-1)="","",OFFSET('4. Work'!$A$1,ROW(I761)-1,COLUMN(I761)-1))</f>
        <v/>
      </c>
      <c r="T761" s="3" t="str">
        <f ca="1">IF(A761&lt;&gt;"",MAX('Initiative Indirect'!$T:$T)+(ROW(A761)-1),"")</f>
        <v/>
      </c>
      <c r="U761" s="3" t="str">
        <f ca="1">IF(B761&lt;&gt;"",INDEX('Initiative Indirect'!$T:$T,MATCH(B761,'Initiative Indirect'!$A:$A,0)),"")</f>
        <v/>
      </c>
      <c r="V761" s="3" t="str">
        <f ca="1">IF(C761&lt;&gt;"",INDEX('Team Indirect'!$T:$T,MATCH(C761,'Team Indirect'!$A:$A,0)),"")</f>
        <v/>
      </c>
      <c r="W761" s="3"/>
      <c r="X761" s="3"/>
      <c r="Y761" s="3" t="str">
        <f ca="1">IF($C761&lt;&gt;"",INDEX('Team Indirect'!$D:$D,MATCH($C761,'Team Indirect'!$A:$A,0)),"")</f>
        <v/>
      </c>
      <c r="Z761" s="3" t="str">
        <f ca="1">IF($C761&lt;&gt;"",INDEX('Team Indirect'!$E:$E,MATCH($C761,'Team Indirect'!$A:$A,0)),"")</f>
        <v/>
      </c>
      <c r="AA761" s="3" t="str">
        <f ca="1">IF($C761&lt;&gt;"",INDEX('Team Indirect'!$F:$F,MATCH($C761,'Team Indirect'!$A:$A,0)),"")</f>
        <v/>
      </c>
      <c r="AB761" s="3" t="str">
        <f t="shared" ca="1" si="11"/>
        <v/>
      </c>
      <c r="AC761" s="3">
        <f ca="1">IF(OR(AllocationUnits="Stories", AllocationUnits="Points"),'Work Indirect'!F761,F761/MAX('Work Indirect'!AB761,1))</f>
        <v>1</v>
      </c>
    </row>
    <row r="762" spans="1:29"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7" t="str">
        <f ca="1">IF(OFFSET('4. Work'!$A$1,ROW(D762)-1,COLUMN(D762)-1)="","",OFFSET('4. Work'!$A$1,ROW(D762)-1,COLUMN(D762)-1))</f>
        <v/>
      </c>
      <c r="E762" s="147"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I762" s="3" t="str">
        <f ca="1">IF(OFFSET('4. Work'!$A$1,ROW(I762)-1,COLUMN(I762)-1)="","",OFFSET('4. Work'!$A$1,ROW(I762)-1,COLUMN(I762)-1))</f>
        <v/>
      </c>
      <c r="T762" s="3" t="str">
        <f ca="1">IF(A762&lt;&gt;"",MAX('Initiative Indirect'!$T:$T)+(ROW(A762)-1),"")</f>
        <v/>
      </c>
      <c r="U762" s="3" t="str">
        <f ca="1">IF(B762&lt;&gt;"",INDEX('Initiative Indirect'!$T:$T,MATCH(B762,'Initiative Indirect'!$A:$A,0)),"")</f>
        <v/>
      </c>
      <c r="V762" s="3" t="str">
        <f ca="1">IF(C762&lt;&gt;"",INDEX('Team Indirect'!$T:$T,MATCH(C762,'Team Indirect'!$A:$A,0)),"")</f>
        <v/>
      </c>
      <c r="W762" s="3"/>
      <c r="X762" s="3"/>
      <c r="Y762" s="3" t="str">
        <f ca="1">IF($C762&lt;&gt;"",INDEX('Team Indirect'!$D:$D,MATCH($C762,'Team Indirect'!$A:$A,0)),"")</f>
        <v/>
      </c>
      <c r="Z762" s="3" t="str">
        <f ca="1">IF($C762&lt;&gt;"",INDEX('Team Indirect'!$E:$E,MATCH($C762,'Team Indirect'!$A:$A,0)),"")</f>
        <v/>
      </c>
      <c r="AA762" s="3" t="str">
        <f ca="1">IF($C762&lt;&gt;"",INDEX('Team Indirect'!$F:$F,MATCH($C762,'Team Indirect'!$A:$A,0)),"")</f>
        <v/>
      </c>
      <c r="AB762" s="3" t="str">
        <f t="shared" ca="1" si="11"/>
        <v/>
      </c>
      <c r="AC762" s="3">
        <f ca="1">IF(OR(AllocationUnits="Stories", AllocationUnits="Points"),'Work Indirect'!F762,F762/MAX('Work Indirect'!AB762,1))</f>
        <v>1</v>
      </c>
    </row>
    <row r="763" spans="1:29"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7" t="str">
        <f ca="1">IF(OFFSET('4. Work'!$A$1,ROW(D763)-1,COLUMN(D763)-1)="","",OFFSET('4. Work'!$A$1,ROW(D763)-1,COLUMN(D763)-1))</f>
        <v/>
      </c>
      <c r="E763" s="147"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I763" s="3" t="str">
        <f ca="1">IF(OFFSET('4. Work'!$A$1,ROW(I763)-1,COLUMN(I763)-1)="","",OFFSET('4. Work'!$A$1,ROW(I763)-1,COLUMN(I763)-1))</f>
        <v/>
      </c>
      <c r="T763" s="3" t="str">
        <f ca="1">IF(A763&lt;&gt;"",MAX('Initiative Indirect'!$T:$T)+(ROW(A763)-1),"")</f>
        <v/>
      </c>
      <c r="U763" s="3" t="str">
        <f ca="1">IF(B763&lt;&gt;"",INDEX('Initiative Indirect'!$T:$T,MATCH(B763,'Initiative Indirect'!$A:$A,0)),"")</f>
        <v/>
      </c>
      <c r="V763" s="3" t="str">
        <f ca="1">IF(C763&lt;&gt;"",INDEX('Team Indirect'!$T:$T,MATCH(C763,'Team Indirect'!$A:$A,0)),"")</f>
        <v/>
      </c>
      <c r="W763" s="3"/>
      <c r="X763" s="3"/>
      <c r="Y763" s="3" t="str">
        <f ca="1">IF($C763&lt;&gt;"",INDEX('Team Indirect'!$D:$D,MATCH($C763,'Team Indirect'!$A:$A,0)),"")</f>
        <v/>
      </c>
      <c r="Z763" s="3" t="str">
        <f ca="1">IF($C763&lt;&gt;"",INDEX('Team Indirect'!$E:$E,MATCH($C763,'Team Indirect'!$A:$A,0)),"")</f>
        <v/>
      </c>
      <c r="AA763" s="3" t="str">
        <f ca="1">IF($C763&lt;&gt;"",INDEX('Team Indirect'!$F:$F,MATCH($C763,'Team Indirect'!$A:$A,0)),"")</f>
        <v/>
      </c>
      <c r="AB763" s="3" t="str">
        <f t="shared" ca="1" si="11"/>
        <v/>
      </c>
      <c r="AC763" s="3">
        <f ca="1">IF(OR(AllocationUnits="Stories", AllocationUnits="Points"),'Work Indirect'!F763,F763/MAX('Work Indirect'!AB763,1))</f>
        <v>1</v>
      </c>
    </row>
    <row r="764" spans="1:29"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7" t="str">
        <f ca="1">IF(OFFSET('4. Work'!$A$1,ROW(D764)-1,COLUMN(D764)-1)="","",OFFSET('4. Work'!$A$1,ROW(D764)-1,COLUMN(D764)-1))</f>
        <v/>
      </c>
      <c r="E764" s="147"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I764" s="3" t="str">
        <f ca="1">IF(OFFSET('4. Work'!$A$1,ROW(I764)-1,COLUMN(I764)-1)="","",OFFSET('4. Work'!$A$1,ROW(I764)-1,COLUMN(I764)-1))</f>
        <v/>
      </c>
      <c r="T764" s="3" t="str">
        <f ca="1">IF(A764&lt;&gt;"",MAX('Initiative Indirect'!$T:$T)+(ROW(A764)-1),"")</f>
        <v/>
      </c>
      <c r="U764" s="3" t="str">
        <f ca="1">IF(B764&lt;&gt;"",INDEX('Initiative Indirect'!$T:$T,MATCH(B764,'Initiative Indirect'!$A:$A,0)),"")</f>
        <v/>
      </c>
      <c r="V764" s="3" t="str">
        <f ca="1">IF(C764&lt;&gt;"",INDEX('Team Indirect'!$T:$T,MATCH(C764,'Team Indirect'!$A:$A,0)),"")</f>
        <v/>
      </c>
      <c r="W764" s="3"/>
      <c r="X764" s="3"/>
      <c r="Y764" s="3" t="str">
        <f ca="1">IF($C764&lt;&gt;"",INDEX('Team Indirect'!$D:$D,MATCH($C764,'Team Indirect'!$A:$A,0)),"")</f>
        <v/>
      </c>
      <c r="Z764" s="3" t="str">
        <f ca="1">IF($C764&lt;&gt;"",INDEX('Team Indirect'!$E:$E,MATCH($C764,'Team Indirect'!$A:$A,0)),"")</f>
        <v/>
      </c>
      <c r="AA764" s="3" t="str">
        <f ca="1">IF($C764&lt;&gt;"",INDEX('Team Indirect'!$F:$F,MATCH($C764,'Team Indirect'!$A:$A,0)),"")</f>
        <v/>
      </c>
      <c r="AB764" s="3" t="str">
        <f t="shared" ca="1" si="11"/>
        <v/>
      </c>
      <c r="AC764" s="3">
        <f ca="1">IF(OR(AllocationUnits="Stories", AllocationUnits="Points"),'Work Indirect'!F764,F764/MAX('Work Indirect'!AB764,1))</f>
        <v>1</v>
      </c>
    </row>
    <row r="765" spans="1:29"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7" t="str">
        <f ca="1">IF(OFFSET('4. Work'!$A$1,ROW(D765)-1,COLUMN(D765)-1)="","",OFFSET('4. Work'!$A$1,ROW(D765)-1,COLUMN(D765)-1))</f>
        <v/>
      </c>
      <c r="E765" s="147"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I765" s="3" t="str">
        <f ca="1">IF(OFFSET('4. Work'!$A$1,ROW(I765)-1,COLUMN(I765)-1)="","",OFFSET('4. Work'!$A$1,ROW(I765)-1,COLUMN(I765)-1))</f>
        <v/>
      </c>
      <c r="T765" s="3" t="str">
        <f ca="1">IF(A765&lt;&gt;"",MAX('Initiative Indirect'!$T:$T)+(ROW(A765)-1),"")</f>
        <v/>
      </c>
      <c r="U765" s="3" t="str">
        <f ca="1">IF(B765&lt;&gt;"",INDEX('Initiative Indirect'!$T:$T,MATCH(B765,'Initiative Indirect'!$A:$A,0)),"")</f>
        <v/>
      </c>
      <c r="V765" s="3" t="str">
        <f ca="1">IF(C765&lt;&gt;"",INDEX('Team Indirect'!$T:$T,MATCH(C765,'Team Indirect'!$A:$A,0)),"")</f>
        <v/>
      </c>
      <c r="W765" s="3"/>
      <c r="X765" s="3"/>
      <c r="Y765" s="3" t="str">
        <f ca="1">IF($C765&lt;&gt;"",INDEX('Team Indirect'!$D:$D,MATCH($C765,'Team Indirect'!$A:$A,0)),"")</f>
        <v/>
      </c>
      <c r="Z765" s="3" t="str">
        <f ca="1">IF($C765&lt;&gt;"",INDEX('Team Indirect'!$E:$E,MATCH($C765,'Team Indirect'!$A:$A,0)),"")</f>
        <v/>
      </c>
      <c r="AA765" s="3" t="str">
        <f ca="1">IF($C765&lt;&gt;"",INDEX('Team Indirect'!$F:$F,MATCH($C765,'Team Indirect'!$A:$A,0)),"")</f>
        <v/>
      </c>
      <c r="AB765" s="3" t="str">
        <f t="shared" ca="1" si="11"/>
        <v/>
      </c>
      <c r="AC765" s="3">
        <f ca="1">IF(OR(AllocationUnits="Stories", AllocationUnits="Points"),'Work Indirect'!F765,F765/MAX('Work Indirect'!AB765,1))</f>
        <v>1</v>
      </c>
    </row>
    <row r="766" spans="1:29"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7" t="str">
        <f ca="1">IF(OFFSET('4. Work'!$A$1,ROW(D766)-1,COLUMN(D766)-1)="","",OFFSET('4. Work'!$A$1,ROW(D766)-1,COLUMN(D766)-1))</f>
        <v/>
      </c>
      <c r="E766" s="147"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I766" s="3" t="str">
        <f ca="1">IF(OFFSET('4. Work'!$A$1,ROW(I766)-1,COLUMN(I766)-1)="","",OFFSET('4. Work'!$A$1,ROW(I766)-1,COLUMN(I766)-1))</f>
        <v/>
      </c>
      <c r="T766" s="3" t="str">
        <f ca="1">IF(A766&lt;&gt;"",MAX('Initiative Indirect'!$T:$T)+(ROW(A766)-1),"")</f>
        <v/>
      </c>
      <c r="U766" s="3" t="str">
        <f ca="1">IF(B766&lt;&gt;"",INDEX('Initiative Indirect'!$T:$T,MATCH(B766,'Initiative Indirect'!$A:$A,0)),"")</f>
        <v/>
      </c>
      <c r="V766" s="3" t="str">
        <f ca="1">IF(C766&lt;&gt;"",INDEX('Team Indirect'!$T:$T,MATCH(C766,'Team Indirect'!$A:$A,0)),"")</f>
        <v/>
      </c>
      <c r="W766" s="3"/>
      <c r="X766" s="3"/>
      <c r="Y766" s="3" t="str">
        <f ca="1">IF($C766&lt;&gt;"",INDEX('Team Indirect'!$D:$D,MATCH($C766,'Team Indirect'!$A:$A,0)),"")</f>
        <v/>
      </c>
      <c r="Z766" s="3" t="str">
        <f ca="1">IF($C766&lt;&gt;"",INDEX('Team Indirect'!$E:$E,MATCH($C766,'Team Indirect'!$A:$A,0)),"")</f>
        <v/>
      </c>
      <c r="AA766" s="3" t="str">
        <f ca="1">IF($C766&lt;&gt;"",INDEX('Team Indirect'!$F:$F,MATCH($C766,'Team Indirect'!$A:$A,0)),"")</f>
        <v/>
      </c>
      <c r="AB766" s="3" t="str">
        <f t="shared" ca="1" si="11"/>
        <v/>
      </c>
      <c r="AC766" s="3">
        <f ca="1">IF(OR(AllocationUnits="Stories", AllocationUnits="Points"),'Work Indirect'!F766,F766/MAX('Work Indirect'!AB766,1))</f>
        <v>1</v>
      </c>
    </row>
    <row r="767" spans="1:29"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7" t="str">
        <f ca="1">IF(OFFSET('4. Work'!$A$1,ROW(D767)-1,COLUMN(D767)-1)="","",OFFSET('4. Work'!$A$1,ROW(D767)-1,COLUMN(D767)-1))</f>
        <v/>
      </c>
      <c r="E767" s="147"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I767" s="3" t="str">
        <f ca="1">IF(OFFSET('4. Work'!$A$1,ROW(I767)-1,COLUMN(I767)-1)="","",OFFSET('4. Work'!$A$1,ROW(I767)-1,COLUMN(I767)-1))</f>
        <v/>
      </c>
      <c r="T767" s="3" t="str">
        <f ca="1">IF(A767&lt;&gt;"",MAX('Initiative Indirect'!$T:$T)+(ROW(A767)-1),"")</f>
        <v/>
      </c>
      <c r="U767" s="3" t="str">
        <f ca="1">IF(B767&lt;&gt;"",INDEX('Initiative Indirect'!$T:$T,MATCH(B767,'Initiative Indirect'!$A:$A,0)),"")</f>
        <v/>
      </c>
      <c r="V767" s="3" t="str">
        <f ca="1">IF(C767&lt;&gt;"",INDEX('Team Indirect'!$T:$T,MATCH(C767,'Team Indirect'!$A:$A,0)),"")</f>
        <v/>
      </c>
      <c r="W767" s="3"/>
      <c r="X767" s="3"/>
      <c r="Y767" s="3" t="str">
        <f ca="1">IF($C767&lt;&gt;"",INDEX('Team Indirect'!$D:$D,MATCH($C767,'Team Indirect'!$A:$A,0)),"")</f>
        <v/>
      </c>
      <c r="Z767" s="3" t="str">
        <f ca="1">IF($C767&lt;&gt;"",INDEX('Team Indirect'!$E:$E,MATCH($C767,'Team Indirect'!$A:$A,0)),"")</f>
        <v/>
      </c>
      <c r="AA767" s="3" t="str">
        <f ca="1">IF($C767&lt;&gt;"",INDEX('Team Indirect'!$F:$F,MATCH($C767,'Team Indirect'!$A:$A,0)),"")</f>
        <v/>
      </c>
      <c r="AB767" s="3" t="str">
        <f t="shared" ca="1" si="11"/>
        <v/>
      </c>
      <c r="AC767" s="3">
        <f ca="1">IF(OR(AllocationUnits="Stories", AllocationUnits="Points"),'Work Indirect'!F767,F767/MAX('Work Indirect'!AB767,1))</f>
        <v>1</v>
      </c>
    </row>
    <row r="768" spans="1:29"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7" t="str">
        <f ca="1">IF(OFFSET('4. Work'!$A$1,ROW(D768)-1,COLUMN(D768)-1)="","",OFFSET('4. Work'!$A$1,ROW(D768)-1,COLUMN(D768)-1))</f>
        <v/>
      </c>
      <c r="E768" s="147"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I768" s="3" t="str">
        <f ca="1">IF(OFFSET('4. Work'!$A$1,ROW(I768)-1,COLUMN(I768)-1)="","",OFFSET('4. Work'!$A$1,ROW(I768)-1,COLUMN(I768)-1))</f>
        <v/>
      </c>
      <c r="T768" s="3" t="str">
        <f ca="1">IF(A768&lt;&gt;"",MAX('Initiative Indirect'!$T:$T)+(ROW(A768)-1),"")</f>
        <v/>
      </c>
      <c r="U768" s="3" t="str">
        <f ca="1">IF(B768&lt;&gt;"",INDEX('Initiative Indirect'!$T:$T,MATCH(B768,'Initiative Indirect'!$A:$A,0)),"")</f>
        <v/>
      </c>
      <c r="V768" s="3" t="str">
        <f ca="1">IF(C768&lt;&gt;"",INDEX('Team Indirect'!$T:$T,MATCH(C768,'Team Indirect'!$A:$A,0)),"")</f>
        <v/>
      </c>
      <c r="W768" s="3"/>
      <c r="X768" s="3"/>
      <c r="Y768" s="3" t="str">
        <f ca="1">IF($C768&lt;&gt;"",INDEX('Team Indirect'!$D:$D,MATCH($C768,'Team Indirect'!$A:$A,0)),"")</f>
        <v/>
      </c>
      <c r="Z768" s="3" t="str">
        <f ca="1">IF($C768&lt;&gt;"",INDEX('Team Indirect'!$E:$E,MATCH($C768,'Team Indirect'!$A:$A,0)),"")</f>
        <v/>
      </c>
      <c r="AA768" s="3" t="str">
        <f ca="1">IF($C768&lt;&gt;"",INDEX('Team Indirect'!$F:$F,MATCH($C768,'Team Indirect'!$A:$A,0)),"")</f>
        <v/>
      </c>
      <c r="AB768" s="3" t="str">
        <f t="shared" ca="1" si="11"/>
        <v/>
      </c>
      <c r="AC768" s="3">
        <f ca="1">IF(OR(AllocationUnits="Stories", AllocationUnits="Points"),'Work Indirect'!F768,F768/MAX('Work Indirect'!AB768,1))</f>
        <v>1</v>
      </c>
    </row>
    <row r="769" spans="1:29"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7" t="str">
        <f ca="1">IF(OFFSET('4. Work'!$A$1,ROW(D769)-1,COLUMN(D769)-1)="","",OFFSET('4. Work'!$A$1,ROW(D769)-1,COLUMN(D769)-1))</f>
        <v/>
      </c>
      <c r="E769" s="147"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I769" s="3" t="str">
        <f ca="1">IF(OFFSET('4. Work'!$A$1,ROW(I769)-1,COLUMN(I769)-1)="","",OFFSET('4. Work'!$A$1,ROW(I769)-1,COLUMN(I769)-1))</f>
        <v/>
      </c>
      <c r="T769" s="3" t="str">
        <f ca="1">IF(A769&lt;&gt;"",MAX('Initiative Indirect'!$T:$T)+(ROW(A769)-1),"")</f>
        <v/>
      </c>
      <c r="U769" s="3" t="str">
        <f ca="1">IF(B769&lt;&gt;"",INDEX('Initiative Indirect'!$T:$T,MATCH(B769,'Initiative Indirect'!$A:$A,0)),"")</f>
        <v/>
      </c>
      <c r="V769" s="3" t="str">
        <f ca="1">IF(C769&lt;&gt;"",INDEX('Team Indirect'!$T:$T,MATCH(C769,'Team Indirect'!$A:$A,0)),"")</f>
        <v/>
      </c>
      <c r="W769" s="3"/>
      <c r="X769" s="3"/>
      <c r="Y769" s="3" t="str">
        <f ca="1">IF($C769&lt;&gt;"",INDEX('Team Indirect'!$D:$D,MATCH($C769,'Team Indirect'!$A:$A,0)),"")</f>
        <v/>
      </c>
      <c r="Z769" s="3" t="str">
        <f ca="1">IF($C769&lt;&gt;"",INDEX('Team Indirect'!$E:$E,MATCH($C769,'Team Indirect'!$A:$A,0)),"")</f>
        <v/>
      </c>
      <c r="AA769" s="3" t="str">
        <f ca="1">IF($C769&lt;&gt;"",INDEX('Team Indirect'!$F:$F,MATCH($C769,'Team Indirect'!$A:$A,0)),"")</f>
        <v/>
      </c>
      <c r="AB769" s="3" t="str">
        <f t="shared" ca="1" si="11"/>
        <v/>
      </c>
      <c r="AC769" s="3">
        <f ca="1">IF(OR(AllocationUnits="Stories", AllocationUnits="Points"),'Work Indirect'!F769,F769/MAX('Work Indirect'!AB769,1))</f>
        <v>1</v>
      </c>
    </row>
    <row r="770" spans="1:29"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7" t="str">
        <f ca="1">IF(OFFSET('4. Work'!$A$1,ROW(D770)-1,COLUMN(D770)-1)="","",OFFSET('4. Work'!$A$1,ROW(D770)-1,COLUMN(D770)-1))</f>
        <v/>
      </c>
      <c r="E770" s="147"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I770" s="3" t="str">
        <f ca="1">IF(OFFSET('4. Work'!$A$1,ROW(I770)-1,COLUMN(I770)-1)="","",OFFSET('4. Work'!$A$1,ROW(I770)-1,COLUMN(I770)-1))</f>
        <v/>
      </c>
      <c r="T770" s="3" t="str">
        <f ca="1">IF(A770&lt;&gt;"",MAX('Initiative Indirect'!$T:$T)+(ROW(A770)-1),"")</f>
        <v/>
      </c>
      <c r="U770" s="3" t="str">
        <f ca="1">IF(B770&lt;&gt;"",INDEX('Initiative Indirect'!$T:$T,MATCH(B770,'Initiative Indirect'!$A:$A,0)),"")</f>
        <v/>
      </c>
      <c r="V770" s="3" t="str">
        <f ca="1">IF(C770&lt;&gt;"",INDEX('Team Indirect'!$T:$T,MATCH(C770,'Team Indirect'!$A:$A,0)),"")</f>
        <v/>
      </c>
      <c r="W770" s="3"/>
      <c r="X770" s="3"/>
      <c r="Y770" s="3" t="str">
        <f ca="1">IF($C770&lt;&gt;"",INDEX('Team Indirect'!$D:$D,MATCH($C770,'Team Indirect'!$A:$A,0)),"")</f>
        <v/>
      </c>
      <c r="Z770" s="3" t="str">
        <f ca="1">IF($C770&lt;&gt;"",INDEX('Team Indirect'!$E:$E,MATCH($C770,'Team Indirect'!$A:$A,0)),"")</f>
        <v/>
      </c>
      <c r="AA770" s="3" t="str">
        <f ca="1">IF($C770&lt;&gt;"",INDEX('Team Indirect'!$F:$F,MATCH($C770,'Team Indirect'!$A:$A,0)),"")</f>
        <v/>
      </c>
      <c r="AB770" s="3" t="str">
        <f t="shared" ref="AB770:AB833" ca="1" si="12">IF(AND(Y770&lt;&gt;"",Z770&lt;&gt;""),Y770+((Z770-Y770)*(1-MAX(0,AA770))*(1-Probability)),"")</f>
        <v/>
      </c>
      <c r="AC770" s="3">
        <f ca="1">IF(OR(AllocationUnits="Stories", AllocationUnits="Points"),'Work Indirect'!F770,F770/MAX('Work Indirect'!AB770,1))</f>
        <v>1</v>
      </c>
    </row>
    <row r="771" spans="1:29"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7" t="str">
        <f ca="1">IF(OFFSET('4. Work'!$A$1,ROW(D771)-1,COLUMN(D771)-1)="","",OFFSET('4. Work'!$A$1,ROW(D771)-1,COLUMN(D771)-1))</f>
        <v/>
      </c>
      <c r="E771" s="147"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I771" s="3" t="str">
        <f ca="1">IF(OFFSET('4. Work'!$A$1,ROW(I771)-1,COLUMN(I771)-1)="","",OFFSET('4. Work'!$A$1,ROW(I771)-1,COLUMN(I771)-1))</f>
        <v/>
      </c>
      <c r="T771" s="3" t="str">
        <f ca="1">IF(A771&lt;&gt;"",MAX('Initiative Indirect'!$T:$T)+(ROW(A771)-1),"")</f>
        <v/>
      </c>
      <c r="U771" s="3" t="str">
        <f ca="1">IF(B771&lt;&gt;"",INDEX('Initiative Indirect'!$T:$T,MATCH(B771,'Initiative Indirect'!$A:$A,0)),"")</f>
        <v/>
      </c>
      <c r="V771" s="3" t="str">
        <f ca="1">IF(C771&lt;&gt;"",INDEX('Team Indirect'!$T:$T,MATCH(C771,'Team Indirect'!$A:$A,0)),"")</f>
        <v/>
      </c>
      <c r="W771" s="3"/>
      <c r="X771" s="3"/>
      <c r="Y771" s="3" t="str">
        <f ca="1">IF($C771&lt;&gt;"",INDEX('Team Indirect'!$D:$D,MATCH($C771,'Team Indirect'!$A:$A,0)),"")</f>
        <v/>
      </c>
      <c r="Z771" s="3" t="str">
        <f ca="1">IF($C771&lt;&gt;"",INDEX('Team Indirect'!$E:$E,MATCH($C771,'Team Indirect'!$A:$A,0)),"")</f>
        <v/>
      </c>
      <c r="AA771" s="3" t="str">
        <f ca="1">IF($C771&lt;&gt;"",INDEX('Team Indirect'!$F:$F,MATCH($C771,'Team Indirect'!$A:$A,0)),"")</f>
        <v/>
      </c>
      <c r="AB771" s="3" t="str">
        <f t="shared" ca="1" si="12"/>
        <v/>
      </c>
      <c r="AC771" s="3">
        <f ca="1">IF(OR(AllocationUnits="Stories", AllocationUnits="Points"),'Work Indirect'!F771,F771/MAX('Work Indirect'!AB771,1))</f>
        <v>1</v>
      </c>
    </row>
    <row r="772" spans="1:29"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7" t="str">
        <f ca="1">IF(OFFSET('4. Work'!$A$1,ROW(D772)-1,COLUMN(D772)-1)="","",OFFSET('4. Work'!$A$1,ROW(D772)-1,COLUMN(D772)-1))</f>
        <v/>
      </c>
      <c r="E772" s="147"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I772" s="3" t="str">
        <f ca="1">IF(OFFSET('4. Work'!$A$1,ROW(I772)-1,COLUMN(I772)-1)="","",OFFSET('4. Work'!$A$1,ROW(I772)-1,COLUMN(I772)-1))</f>
        <v/>
      </c>
      <c r="T772" s="3" t="str">
        <f ca="1">IF(A772&lt;&gt;"",MAX('Initiative Indirect'!$T:$T)+(ROW(A772)-1),"")</f>
        <v/>
      </c>
      <c r="U772" s="3" t="str">
        <f ca="1">IF(B772&lt;&gt;"",INDEX('Initiative Indirect'!$T:$T,MATCH(B772,'Initiative Indirect'!$A:$A,0)),"")</f>
        <v/>
      </c>
      <c r="V772" s="3" t="str">
        <f ca="1">IF(C772&lt;&gt;"",INDEX('Team Indirect'!$T:$T,MATCH(C772,'Team Indirect'!$A:$A,0)),"")</f>
        <v/>
      </c>
      <c r="W772" s="3"/>
      <c r="X772" s="3"/>
      <c r="Y772" s="3" t="str">
        <f ca="1">IF($C772&lt;&gt;"",INDEX('Team Indirect'!$D:$D,MATCH($C772,'Team Indirect'!$A:$A,0)),"")</f>
        <v/>
      </c>
      <c r="Z772" s="3" t="str">
        <f ca="1">IF($C772&lt;&gt;"",INDEX('Team Indirect'!$E:$E,MATCH($C772,'Team Indirect'!$A:$A,0)),"")</f>
        <v/>
      </c>
      <c r="AA772" s="3" t="str">
        <f ca="1">IF($C772&lt;&gt;"",INDEX('Team Indirect'!$F:$F,MATCH($C772,'Team Indirect'!$A:$A,0)),"")</f>
        <v/>
      </c>
      <c r="AB772" s="3" t="str">
        <f t="shared" ca="1" si="12"/>
        <v/>
      </c>
      <c r="AC772" s="3">
        <f ca="1">IF(OR(AllocationUnits="Stories", AllocationUnits="Points"),'Work Indirect'!F772,F772/MAX('Work Indirect'!AB772,1))</f>
        <v>1</v>
      </c>
    </row>
    <row r="773" spans="1:29"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7" t="str">
        <f ca="1">IF(OFFSET('4. Work'!$A$1,ROW(D773)-1,COLUMN(D773)-1)="","",OFFSET('4. Work'!$A$1,ROW(D773)-1,COLUMN(D773)-1))</f>
        <v/>
      </c>
      <c r="E773" s="147"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I773" s="3" t="str">
        <f ca="1">IF(OFFSET('4. Work'!$A$1,ROW(I773)-1,COLUMN(I773)-1)="","",OFFSET('4. Work'!$A$1,ROW(I773)-1,COLUMN(I773)-1))</f>
        <v/>
      </c>
      <c r="T773" s="3" t="str">
        <f ca="1">IF(A773&lt;&gt;"",MAX('Initiative Indirect'!$T:$T)+(ROW(A773)-1),"")</f>
        <v/>
      </c>
      <c r="U773" s="3" t="str">
        <f ca="1">IF(B773&lt;&gt;"",INDEX('Initiative Indirect'!$T:$T,MATCH(B773,'Initiative Indirect'!$A:$A,0)),"")</f>
        <v/>
      </c>
      <c r="V773" s="3" t="str">
        <f ca="1">IF(C773&lt;&gt;"",INDEX('Team Indirect'!$T:$T,MATCH(C773,'Team Indirect'!$A:$A,0)),"")</f>
        <v/>
      </c>
      <c r="W773" s="3"/>
      <c r="X773" s="3"/>
      <c r="Y773" s="3" t="str">
        <f ca="1">IF($C773&lt;&gt;"",INDEX('Team Indirect'!$D:$D,MATCH($C773,'Team Indirect'!$A:$A,0)),"")</f>
        <v/>
      </c>
      <c r="Z773" s="3" t="str">
        <f ca="1">IF($C773&lt;&gt;"",INDEX('Team Indirect'!$E:$E,MATCH($C773,'Team Indirect'!$A:$A,0)),"")</f>
        <v/>
      </c>
      <c r="AA773" s="3" t="str">
        <f ca="1">IF($C773&lt;&gt;"",INDEX('Team Indirect'!$F:$F,MATCH($C773,'Team Indirect'!$A:$A,0)),"")</f>
        <v/>
      </c>
      <c r="AB773" s="3" t="str">
        <f t="shared" ca="1" si="12"/>
        <v/>
      </c>
      <c r="AC773" s="3">
        <f ca="1">IF(OR(AllocationUnits="Stories", AllocationUnits="Points"),'Work Indirect'!F773,F773/MAX('Work Indirect'!AB773,1))</f>
        <v>1</v>
      </c>
    </row>
    <row r="774" spans="1:29"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7" t="str">
        <f ca="1">IF(OFFSET('4. Work'!$A$1,ROW(D774)-1,COLUMN(D774)-1)="","",OFFSET('4. Work'!$A$1,ROW(D774)-1,COLUMN(D774)-1))</f>
        <v/>
      </c>
      <c r="E774" s="147"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I774" s="3" t="str">
        <f ca="1">IF(OFFSET('4. Work'!$A$1,ROW(I774)-1,COLUMN(I774)-1)="","",OFFSET('4. Work'!$A$1,ROW(I774)-1,COLUMN(I774)-1))</f>
        <v/>
      </c>
      <c r="T774" s="3" t="str">
        <f ca="1">IF(A774&lt;&gt;"",MAX('Initiative Indirect'!$T:$T)+(ROW(A774)-1),"")</f>
        <v/>
      </c>
      <c r="U774" s="3" t="str">
        <f ca="1">IF(B774&lt;&gt;"",INDEX('Initiative Indirect'!$T:$T,MATCH(B774,'Initiative Indirect'!$A:$A,0)),"")</f>
        <v/>
      </c>
      <c r="V774" s="3" t="str">
        <f ca="1">IF(C774&lt;&gt;"",INDEX('Team Indirect'!$T:$T,MATCH(C774,'Team Indirect'!$A:$A,0)),"")</f>
        <v/>
      </c>
      <c r="W774" s="3"/>
      <c r="X774" s="3"/>
      <c r="Y774" s="3" t="str">
        <f ca="1">IF($C774&lt;&gt;"",INDEX('Team Indirect'!$D:$D,MATCH($C774,'Team Indirect'!$A:$A,0)),"")</f>
        <v/>
      </c>
      <c r="Z774" s="3" t="str">
        <f ca="1">IF($C774&lt;&gt;"",INDEX('Team Indirect'!$E:$E,MATCH($C774,'Team Indirect'!$A:$A,0)),"")</f>
        <v/>
      </c>
      <c r="AA774" s="3" t="str">
        <f ca="1">IF($C774&lt;&gt;"",INDEX('Team Indirect'!$F:$F,MATCH($C774,'Team Indirect'!$A:$A,0)),"")</f>
        <v/>
      </c>
      <c r="AB774" s="3" t="str">
        <f t="shared" ca="1" si="12"/>
        <v/>
      </c>
      <c r="AC774" s="3">
        <f ca="1">IF(OR(AllocationUnits="Stories", AllocationUnits="Points"),'Work Indirect'!F774,F774/MAX('Work Indirect'!AB774,1))</f>
        <v>1</v>
      </c>
    </row>
    <row r="775" spans="1:29"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7" t="str">
        <f ca="1">IF(OFFSET('4. Work'!$A$1,ROW(D775)-1,COLUMN(D775)-1)="","",OFFSET('4. Work'!$A$1,ROW(D775)-1,COLUMN(D775)-1))</f>
        <v/>
      </c>
      <c r="E775" s="147"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I775" s="3" t="str">
        <f ca="1">IF(OFFSET('4. Work'!$A$1,ROW(I775)-1,COLUMN(I775)-1)="","",OFFSET('4. Work'!$A$1,ROW(I775)-1,COLUMN(I775)-1))</f>
        <v/>
      </c>
      <c r="T775" s="3" t="str">
        <f ca="1">IF(A775&lt;&gt;"",MAX('Initiative Indirect'!$T:$T)+(ROW(A775)-1),"")</f>
        <v/>
      </c>
      <c r="U775" s="3" t="str">
        <f ca="1">IF(B775&lt;&gt;"",INDEX('Initiative Indirect'!$T:$T,MATCH(B775,'Initiative Indirect'!$A:$A,0)),"")</f>
        <v/>
      </c>
      <c r="V775" s="3" t="str">
        <f ca="1">IF(C775&lt;&gt;"",INDEX('Team Indirect'!$T:$T,MATCH(C775,'Team Indirect'!$A:$A,0)),"")</f>
        <v/>
      </c>
      <c r="W775" s="3"/>
      <c r="X775" s="3"/>
      <c r="Y775" s="3" t="str">
        <f ca="1">IF($C775&lt;&gt;"",INDEX('Team Indirect'!$D:$D,MATCH($C775,'Team Indirect'!$A:$A,0)),"")</f>
        <v/>
      </c>
      <c r="Z775" s="3" t="str">
        <f ca="1">IF($C775&lt;&gt;"",INDEX('Team Indirect'!$E:$E,MATCH($C775,'Team Indirect'!$A:$A,0)),"")</f>
        <v/>
      </c>
      <c r="AA775" s="3" t="str">
        <f ca="1">IF($C775&lt;&gt;"",INDEX('Team Indirect'!$F:$F,MATCH($C775,'Team Indirect'!$A:$A,0)),"")</f>
        <v/>
      </c>
      <c r="AB775" s="3" t="str">
        <f t="shared" ca="1" si="12"/>
        <v/>
      </c>
      <c r="AC775" s="3">
        <f ca="1">IF(OR(AllocationUnits="Stories", AllocationUnits="Points"),'Work Indirect'!F775,F775/MAX('Work Indirect'!AB775,1))</f>
        <v>1</v>
      </c>
    </row>
    <row r="776" spans="1:29"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7" t="str">
        <f ca="1">IF(OFFSET('4. Work'!$A$1,ROW(D776)-1,COLUMN(D776)-1)="","",OFFSET('4. Work'!$A$1,ROW(D776)-1,COLUMN(D776)-1))</f>
        <v/>
      </c>
      <c r="E776" s="147"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I776" s="3" t="str">
        <f ca="1">IF(OFFSET('4. Work'!$A$1,ROW(I776)-1,COLUMN(I776)-1)="","",OFFSET('4. Work'!$A$1,ROW(I776)-1,COLUMN(I776)-1))</f>
        <v/>
      </c>
      <c r="T776" s="3" t="str">
        <f ca="1">IF(A776&lt;&gt;"",MAX('Initiative Indirect'!$T:$T)+(ROW(A776)-1),"")</f>
        <v/>
      </c>
      <c r="U776" s="3" t="str">
        <f ca="1">IF(B776&lt;&gt;"",INDEX('Initiative Indirect'!$T:$T,MATCH(B776,'Initiative Indirect'!$A:$A,0)),"")</f>
        <v/>
      </c>
      <c r="V776" s="3" t="str">
        <f ca="1">IF(C776&lt;&gt;"",INDEX('Team Indirect'!$T:$T,MATCH(C776,'Team Indirect'!$A:$A,0)),"")</f>
        <v/>
      </c>
      <c r="W776" s="3"/>
      <c r="X776" s="3"/>
      <c r="Y776" s="3" t="str">
        <f ca="1">IF($C776&lt;&gt;"",INDEX('Team Indirect'!$D:$D,MATCH($C776,'Team Indirect'!$A:$A,0)),"")</f>
        <v/>
      </c>
      <c r="Z776" s="3" t="str">
        <f ca="1">IF($C776&lt;&gt;"",INDEX('Team Indirect'!$E:$E,MATCH($C776,'Team Indirect'!$A:$A,0)),"")</f>
        <v/>
      </c>
      <c r="AA776" s="3" t="str">
        <f ca="1">IF($C776&lt;&gt;"",INDEX('Team Indirect'!$F:$F,MATCH($C776,'Team Indirect'!$A:$A,0)),"")</f>
        <v/>
      </c>
      <c r="AB776" s="3" t="str">
        <f t="shared" ca="1" si="12"/>
        <v/>
      </c>
      <c r="AC776" s="3">
        <f ca="1">IF(OR(AllocationUnits="Stories", AllocationUnits="Points"),'Work Indirect'!F776,F776/MAX('Work Indirect'!AB776,1))</f>
        <v>1</v>
      </c>
    </row>
    <row r="777" spans="1:29"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7" t="str">
        <f ca="1">IF(OFFSET('4. Work'!$A$1,ROW(D777)-1,COLUMN(D777)-1)="","",OFFSET('4. Work'!$A$1,ROW(D777)-1,COLUMN(D777)-1))</f>
        <v/>
      </c>
      <c r="E777" s="147"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I777" s="3" t="str">
        <f ca="1">IF(OFFSET('4. Work'!$A$1,ROW(I777)-1,COLUMN(I777)-1)="","",OFFSET('4. Work'!$A$1,ROW(I777)-1,COLUMN(I777)-1))</f>
        <v/>
      </c>
      <c r="T777" s="3" t="str">
        <f ca="1">IF(A777&lt;&gt;"",MAX('Initiative Indirect'!$T:$T)+(ROW(A777)-1),"")</f>
        <v/>
      </c>
      <c r="U777" s="3" t="str">
        <f ca="1">IF(B777&lt;&gt;"",INDEX('Initiative Indirect'!$T:$T,MATCH(B777,'Initiative Indirect'!$A:$A,0)),"")</f>
        <v/>
      </c>
      <c r="V777" s="3" t="str">
        <f ca="1">IF(C777&lt;&gt;"",INDEX('Team Indirect'!$T:$T,MATCH(C777,'Team Indirect'!$A:$A,0)),"")</f>
        <v/>
      </c>
      <c r="W777" s="3"/>
      <c r="X777" s="3"/>
      <c r="Y777" s="3" t="str">
        <f ca="1">IF($C777&lt;&gt;"",INDEX('Team Indirect'!$D:$D,MATCH($C777,'Team Indirect'!$A:$A,0)),"")</f>
        <v/>
      </c>
      <c r="Z777" s="3" t="str">
        <f ca="1">IF($C777&lt;&gt;"",INDEX('Team Indirect'!$E:$E,MATCH($C777,'Team Indirect'!$A:$A,0)),"")</f>
        <v/>
      </c>
      <c r="AA777" s="3" t="str">
        <f ca="1">IF($C777&lt;&gt;"",INDEX('Team Indirect'!$F:$F,MATCH($C777,'Team Indirect'!$A:$A,0)),"")</f>
        <v/>
      </c>
      <c r="AB777" s="3" t="str">
        <f t="shared" ca="1" si="12"/>
        <v/>
      </c>
      <c r="AC777" s="3">
        <f ca="1">IF(OR(AllocationUnits="Stories", AllocationUnits="Points"),'Work Indirect'!F777,F777/MAX('Work Indirect'!AB777,1))</f>
        <v>1</v>
      </c>
    </row>
    <row r="778" spans="1:29"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7" t="str">
        <f ca="1">IF(OFFSET('4. Work'!$A$1,ROW(D778)-1,COLUMN(D778)-1)="","",OFFSET('4. Work'!$A$1,ROW(D778)-1,COLUMN(D778)-1))</f>
        <v/>
      </c>
      <c r="E778" s="147"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I778" s="3" t="str">
        <f ca="1">IF(OFFSET('4. Work'!$A$1,ROW(I778)-1,COLUMN(I778)-1)="","",OFFSET('4. Work'!$A$1,ROW(I778)-1,COLUMN(I778)-1))</f>
        <v/>
      </c>
      <c r="T778" s="3" t="str">
        <f ca="1">IF(A778&lt;&gt;"",MAX('Initiative Indirect'!$T:$T)+(ROW(A778)-1),"")</f>
        <v/>
      </c>
      <c r="U778" s="3" t="str">
        <f ca="1">IF(B778&lt;&gt;"",INDEX('Initiative Indirect'!$T:$T,MATCH(B778,'Initiative Indirect'!$A:$A,0)),"")</f>
        <v/>
      </c>
      <c r="V778" s="3" t="str">
        <f ca="1">IF(C778&lt;&gt;"",INDEX('Team Indirect'!$T:$T,MATCH(C778,'Team Indirect'!$A:$A,0)),"")</f>
        <v/>
      </c>
      <c r="W778" s="3"/>
      <c r="X778" s="3"/>
      <c r="Y778" s="3" t="str">
        <f ca="1">IF($C778&lt;&gt;"",INDEX('Team Indirect'!$D:$D,MATCH($C778,'Team Indirect'!$A:$A,0)),"")</f>
        <v/>
      </c>
      <c r="Z778" s="3" t="str">
        <f ca="1">IF($C778&lt;&gt;"",INDEX('Team Indirect'!$E:$E,MATCH($C778,'Team Indirect'!$A:$A,0)),"")</f>
        <v/>
      </c>
      <c r="AA778" s="3" t="str">
        <f ca="1">IF($C778&lt;&gt;"",INDEX('Team Indirect'!$F:$F,MATCH($C778,'Team Indirect'!$A:$A,0)),"")</f>
        <v/>
      </c>
      <c r="AB778" s="3" t="str">
        <f t="shared" ca="1" si="12"/>
        <v/>
      </c>
      <c r="AC778" s="3">
        <f ca="1">IF(OR(AllocationUnits="Stories", AllocationUnits="Points"),'Work Indirect'!F778,F778/MAX('Work Indirect'!AB778,1))</f>
        <v>1</v>
      </c>
    </row>
    <row r="779" spans="1:29"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7" t="str">
        <f ca="1">IF(OFFSET('4. Work'!$A$1,ROW(D779)-1,COLUMN(D779)-1)="","",OFFSET('4. Work'!$A$1,ROW(D779)-1,COLUMN(D779)-1))</f>
        <v/>
      </c>
      <c r="E779" s="147"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I779" s="3" t="str">
        <f ca="1">IF(OFFSET('4. Work'!$A$1,ROW(I779)-1,COLUMN(I779)-1)="","",OFFSET('4. Work'!$A$1,ROW(I779)-1,COLUMN(I779)-1))</f>
        <v/>
      </c>
      <c r="T779" s="3" t="str">
        <f ca="1">IF(A779&lt;&gt;"",MAX('Initiative Indirect'!$T:$T)+(ROW(A779)-1),"")</f>
        <v/>
      </c>
      <c r="U779" s="3" t="str">
        <f ca="1">IF(B779&lt;&gt;"",INDEX('Initiative Indirect'!$T:$T,MATCH(B779,'Initiative Indirect'!$A:$A,0)),"")</f>
        <v/>
      </c>
      <c r="V779" s="3" t="str">
        <f ca="1">IF(C779&lt;&gt;"",INDEX('Team Indirect'!$T:$T,MATCH(C779,'Team Indirect'!$A:$A,0)),"")</f>
        <v/>
      </c>
      <c r="W779" s="3"/>
      <c r="X779" s="3"/>
      <c r="Y779" s="3" t="str">
        <f ca="1">IF($C779&lt;&gt;"",INDEX('Team Indirect'!$D:$D,MATCH($C779,'Team Indirect'!$A:$A,0)),"")</f>
        <v/>
      </c>
      <c r="Z779" s="3" t="str">
        <f ca="1">IF($C779&lt;&gt;"",INDEX('Team Indirect'!$E:$E,MATCH($C779,'Team Indirect'!$A:$A,0)),"")</f>
        <v/>
      </c>
      <c r="AA779" s="3" t="str">
        <f ca="1">IF($C779&lt;&gt;"",INDEX('Team Indirect'!$F:$F,MATCH($C779,'Team Indirect'!$A:$A,0)),"")</f>
        <v/>
      </c>
      <c r="AB779" s="3" t="str">
        <f t="shared" ca="1" si="12"/>
        <v/>
      </c>
      <c r="AC779" s="3">
        <f ca="1">IF(OR(AllocationUnits="Stories", AllocationUnits="Points"),'Work Indirect'!F779,F779/MAX('Work Indirect'!AB779,1))</f>
        <v>1</v>
      </c>
    </row>
    <row r="780" spans="1:29"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7" t="str">
        <f ca="1">IF(OFFSET('4. Work'!$A$1,ROW(D780)-1,COLUMN(D780)-1)="","",OFFSET('4. Work'!$A$1,ROW(D780)-1,COLUMN(D780)-1))</f>
        <v/>
      </c>
      <c r="E780" s="147"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I780" s="3" t="str">
        <f ca="1">IF(OFFSET('4. Work'!$A$1,ROW(I780)-1,COLUMN(I780)-1)="","",OFFSET('4. Work'!$A$1,ROW(I780)-1,COLUMN(I780)-1))</f>
        <v/>
      </c>
      <c r="T780" s="3" t="str">
        <f ca="1">IF(A780&lt;&gt;"",MAX('Initiative Indirect'!$T:$T)+(ROW(A780)-1),"")</f>
        <v/>
      </c>
      <c r="U780" s="3" t="str">
        <f ca="1">IF(B780&lt;&gt;"",INDEX('Initiative Indirect'!$T:$T,MATCH(B780,'Initiative Indirect'!$A:$A,0)),"")</f>
        <v/>
      </c>
      <c r="V780" s="3" t="str">
        <f ca="1">IF(C780&lt;&gt;"",INDEX('Team Indirect'!$T:$T,MATCH(C780,'Team Indirect'!$A:$A,0)),"")</f>
        <v/>
      </c>
      <c r="W780" s="3"/>
      <c r="X780" s="3"/>
      <c r="Y780" s="3" t="str">
        <f ca="1">IF($C780&lt;&gt;"",INDEX('Team Indirect'!$D:$D,MATCH($C780,'Team Indirect'!$A:$A,0)),"")</f>
        <v/>
      </c>
      <c r="Z780" s="3" t="str">
        <f ca="1">IF($C780&lt;&gt;"",INDEX('Team Indirect'!$E:$E,MATCH($C780,'Team Indirect'!$A:$A,0)),"")</f>
        <v/>
      </c>
      <c r="AA780" s="3" t="str">
        <f ca="1">IF($C780&lt;&gt;"",INDEX('Team Indirect'!$F:$F,MATCH($C780,'Team Indirect'!$A:$A,0)),"")</f>
        <v/>
      </c>
      <c r="AB780" s="3" t="str">
        <f t="shared" ca="1" si="12"/>
        <v/>
      </c>
      <c r="AC780" s="3">
        <f ca="1">IF(OR(AllocationUnits="Stories", AllocationUnits="Points"),'Work Indirect'!F780,F780/MAX('Work Indirect'!AB780,1))</f>
        <v>1</v>
      </c>
    </row>
    <row r="781" spans="1:29"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7" t="str">
        <f ca="1">IF(OFFSET('4. Work'!$A$1,ROW(D781)-1,COLUMN(D781)-1)="","",OFFSET('4. Work'!$A$1,ROW(D781)-1,COLUMN(D781)-1))</f>
        <v/>
      </c>
      <c r="E781" s="147"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I781" s="3" t="str">
        <f ca="1">IF(OFFSET('4. Work'!$A$1,ROW(I781)-1,COLUMN(I781)-1)="","",OFFSET('4. Work'!$A$1,ROW(I781)-1,COLUMN(I781)-1))</f>
        <v/>
      </c>
      <c r="T781" s="3" t="str">
        <f ca="1">IF(A781&lt;&gt;"",MAX('Initiative Indirect'!$T:$T)+(ROW(A781)-1),"")</f>
        <v/>
      </c>
      <c r="U781" s="3" t="str">
        <f ca="1">IF(B781&lt;&gt;"",INDEX('Initiative Indirect'!$T:$T,MATCH(B781,'Initiative Indirect'!$A:$A,0)),"")</f>
        <v/>
      </c>
      <c r="V781" s="3" t="str">
        <f ca="1">IF(C781&lt;&gt;"",INDEX('Team Indirect'!$T:$T,MATCH(C781,'Team Indirect'!$A:$A,0)),"")</f>
        <v/>
      </c>
      <c r="W781" s="3"/>
      <c r="X781" s="3"/>
      <c r="Y781" s="3" t="str">
        <f ca="1">IF($C781&lt;&gt;"",INDEX('Team Indirect'!$D:$D,MATCH($C781,'Team Indirect'!$A:$A,0)),"")</f>
        <v/>
      </c>
      <c r="Z781" s="3" t="str">
        <f ca="1">IF($C781&lt;&gt;"",INDEX('Team Indirect'!$E:$E,MATCH($C781,'Team Indirect'!$A:$A,0)),"")</f>
        <v/>
      </c>
      <c r="AA781" s="3" t="str">
        <f ca="1">IF($C781&lt;&gt;"",INDEX('Team Indirect'!$F:$F,MATCH($C781,'Team Indirect'!$A:$A,0)),"")</f>
        <v/>
      </c>
      <c r="AB781" s="3" t="str">
        <f t="shared" ca="1" si="12"/>
        <v/>
      </c>
      <c r="AC781" s="3">
        <f ca="1">IF(OR(AllocationUnits="Stories", AllocationUnits="Points"),'Work Indirect'!F781,F781/MAX('Work Indirect'!AB781,1))</f>
        <v>1</v>
      </c>
    </row>
    <row r="782" spans="1:29"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7" t="str">
        <f ca="1">IF(OFFSET('4. Work'!$A$1,ROW(D782)-1,COLUMN(D782)-1)="","",OFFSET('4. Work'!$A$1,ROW(D782)-1,COLUMN(D782)-1))</f>
        <v/>
      </c>
      <c r="E782" s="147"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I782" s="3" t="str">
        <f ca="1">IF(OFFSET('4. Work'!$A$1,ROW(I782)-1,COLUMN(I782)-1)="","",OFFSET('4. Work'!$A$1,ROW(I782)-1,COLUMN(I782)-1))</f>
        <v/>
      </c>
      <c r="T782" s="3" t="str">
        <f ca="1">IF(A782&lt;&gt;"",MAX('Initiative Indirect'!$T:$T)+(ROW(A782)-1),"")</f>
        <v/>
      </c>
      <c r="U782" s="3" t="str">
        <f ca="1">IF(B782&lt;&gt;"",INDEX('Initiative Indirect'!$T:$T,MATCH(B782,'Initiative Indirect'!$A:$A,0)),"")</f>
        <v/>
      </c>
      <c r="V782" s="3" t="str">
        <f ca="1">IF(C782&lt;&gt;"",INDEX('Team Indirect'!$T:$T,MATCH(C782,'Team Indirect'!$A:$A,0)),"")</f>
        <v/>
      </c>
      <c r="W782" s="3"/>
      <c r="X782" s="3"/>
      <c r="Y782" s="3" t="str">
        <f ca="1">IF($C782&lt;&gt;"",INDEX('Team Indirect'!$D:$D,MATCH($C782,'Team Indirect'!$A:$A,0)),"")</f>
        <v/>
      </c>
      <c r="Z782" s="3" t="str">
        <f ca="1">IF($C782&lt;&gt;"",INDEX('Team Indirect'!$E:$E,MATCH($C782,'Team Indirect'!$A:$A,0)),"")</f>
        <v/>
      </c>
      <c r="AA782" s="3" t="str">
        <f ca="1">IF($C782&lt;&gt;"",INDEX('Team Indirect'!$F:$F,MATCH($C782,'Team Indirect'!$A:$A,0)),"")</f>
        <v/>
      </c>
      <c r="AB782" s="3" t="str">
        <f t="shared" ca="1" si="12"/>
        <v/>
      </c>
      <c r="AC782" s="3">
        <f ca="1">IF(OR(AllocationUnits="Stories", AllocationUnits="Points"),'Work Indirect'!F782,F782/MAX('Work Indirect'!AB782,1))</f>
        <v>1</v>
      </c>
    </row>
    <row r="783" spans="1:29"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7" t="str">
        <f ca="1">IF(OFFSET('4. Work'!$A$1,ROW(D783)-1,COLUMN(D783)-1)="","",OFFSET('4. Work'!$A$1,ROW(D783)-1,COLUMN(D783)-1))</f>
        <v/>
      </c>
      <c r="E783" s="147"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I783" s="3" t="str">
        <f ca="1">IF(OFFSET('4. Work'!$A$1,ROW(I783)-1,COLUMN(I783)-1)="","",OFFSET('4. Work'!$A$1,ROW(I783)-1,COLUMN(I783)-1))</f>
        <v/>
      </c>
      <c r="T783" s="3" t="str">
        <f ca="1">IF(A783&lt;&gt;"",MAX('Initiative Indirect'!$T:$T)+(ROW(A783)-1),"")</f>
        <v/>
      </c>
      <c r="U783" s="3" t="str">
        <f ca="1">IF(B783&lt;&gt;"",INDEX('Initiative Indirect'!$T:$T,MATCH(B783,'Initiative Indirect'!$A:$A,0)),"")</f>
        <v/>
      </c>
      <c r="V783" s="3" t="str">
        <f ca="1">IF(C783&lt;&gt;"",INDEX('Team Indirect'!$T:$T,MATCH(C783,'Team Indirect'!$A:$A,0)),"")</f>
        <v/>
      </c>
      <c r="W783" s="3"/>
      <c r="X783" s="3"/>
      <c r="Y783" s="3" t="str">
        <f ca="1">IF($C783&lt;&gt;"",INDEX('Team Indirect'!$D:$D,MATCH($C783,'Team Indirect'!$A:$A,0)),"")</f>
        <v/>
      </c>
      <c r="Z783" s="3" t="str">
        <f ca="1">IF($C783&lt;&gt;"",INDEX('Team Indirect'!$E:$E,MATCH($C783,'Team Indirect'!$A:$A,0)),"")</f>
        <v/>
      </c>
      <c r="AA783" s="3" t="str">
        <f ca="1">IF($C783&lt;&gt;"",INDEX('Team Indirect'!$F:$F,MATCH($C783,'Team Indirect'!$A:$A,0)),"")</f>
        <v/>
      </c>
      <c r="AB783" s="3" t="str">
        <f t="shared" ca="1" si="12"/>
        <v/>
      </c>
      <c r="AC783" s="3">
        <f ca="1">IF(OR(AllocationUnits="Stories", AllocationUnits="Points"),'Work Indirect'!F783,F783/MAX('Work Indirect'!AB783,1))</f>
        <v>1</v>
      </c>
    </row>
    <row r="784" spans="1:29"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7" t="str">
        <f ca="1">IF(OFFSET('4. Work'!$A$1,ROW(D784)-1,COLUMN(D784)-1)="","",OFFSET('4. Work'!$A$1,ROW(D784)-1,COLUMN(D784)-1))</f>
        <v/>
      </c>
      <c r="E784" s="147"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I784" s="3" t="str">
        <f ca="1">IF(OFFSET('4. Work'!$A$1,ROW(I784)-1,COLUMN(I784)-1)="","",OFFSET('4. Work'!$A$1,ROW(I784)-1,COLUMN(I784)-1))</f>
        <v/>
      </c>
      <c r="T784" s="3" t="str">
        <f ca="1">IF(A784&lt;&gt;"",MAX('Initiative Indirect'!$T:$T)+(ROW(A784)-1),"")</f>
        <v/>
      </c>
      <c r="U784" s="3" t="str">
        <f ca="1">IF(B784&lt;&gt;"",INDEX('Initiative Indirect'!$T:$T,MATCH(B784,'Initiative Indirect'!$A:$A,0)),"")</f>
        <v/>
      </c>
      <c r="V784" s="3" t="str">
        <f ca="1">IF(C784&lt;&gt;"",INDEX('Team Indirect'!$T:$T,MATCH(C784,'Team Indirect'!$A:$A,0)),"")</f>
        <v/>
      </c>
      <c r="W784" s="3"/>
      <c r="X784" s="3"/>
      <c r="Y784" s="3" t="str">
        <f ca="1">IF($C784&lt;&gt;"",INDEX('Team Indirect'!$D:$D,MATCH($C784,'Team Indirect'!$A:$A,0)),"")</f>
        <v/>
      </c>
      <c r="Z784" s="3" t="str">
        <f ca="1">IF($C784&lt;&gt;"",INDEX('Team Indirect'!$E:$E,MATCH($C784,'Team Indirect'!$A:$A,0)),"")</f>
        <v/>
      </c>
      <c r="AA784" s="3" t="str">
        <f ca="1">IF($C784&lt;&gt;"",INDEX('Team Indirect'!$F:$F,MATCH($C784,'Team Indirect'!$A:$A,0)),"")</f>
        <v/>
      </c>
      <c r="AB784" s="3" t="str">
        <f t="shared" ca="1" si="12"/>
        <v/>
      </c>
      <c r="AC784" s="3">
        <f ca="1">IF(OR(AllocationUnits="Stories", AllocationUnits="Points"),'Work Indirect'!F784,F784/MAX('Work Indirect'!AB784,1))</f>
        <v>1</v>
      </c>
    </row>
    <row r="785" spans="1:29"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7" t="str">
        <f ca="1">IF(OFFSET('4. Work'!$A$1,ROW(D785)-1,COLUMN(D785)-1)="","",OFFSET('4. Work'!$A$1,ROW(D785)-1,COLUMN(D785)-1))</f>
        <v/>
      </c>
      <c r="E785" s="147"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I785" s="3" t="str">
        <f ca="1">IF(OFFSET('4. Work'!$A$1,ROW(I785)-1,COLUMN(I785)-1)="","",OFFSET('4. Work'!$A$1,ROW(I785)-1,COLUMN(I785)-1))</f>
        <v/>
      </c>
      <c r="T785" s="3" t="str">
        <f ca="1">IF(A785&lt;&gt;"",MAX('Initiative Indirect'!$T:$T)+(ROW(A785)-1),"")</f>
        <v/>
      </c>
      <c r="U785" s="3" t="str">
        <f ca="1">IF(B785&lt;&gt;"",INDEX('Initiative Indirect'!$T:$T,MATCH(B785,'Initiative Indirect'!$A:$A,0)),"")</f>
        <v/>
      </c>
      <c r="V785" s="3" t="str">
        <f ca="1">IF(C785&lt;&gt;"",INDEX('Team Indirect'!$T:$T,MATCH(C785,'Team Indirect'!$A:$A,0)),"")</f>
        <v/>
      </c>
      <c r="W785" s="3"/>
      <c r="X785" s="3"/>
      <c r="Y785" s="3" t="str">
        <f ca="1">IF($C785&lt;&gt;"",INDEX('Team Indirect'!$D:$D,MATCH($C785,'Team Indirect'!$A:$A,0)),"")</f>
        <v/>
      </c>
      <c r="Z785" s="3" t="str">
        <f ca="1">IF($C785&lt;&gt;"",INDEX('Team Indirect'!$E:$E,MATCH($C785,'Team Indirect'!$A:$A,0)),"")</f>
        <v/>
      </c>
      <c r="AA785" s="3" t="str">
        <f ca="1">IF($C785&lt;&gt;"",INDEX('Team Indirect'!$F:$F,MATCH($C785,'Team Indirect'!$A:$A,0)),"")</f>
        <v/>
      </c>
      <c r="AB785" s="3" t="str">
        <f t="shared" ca="1" si="12"/>
        <v/>
      </c>
      <c r="AC785" s="3">
        <f ca="1">IF(OR(AllocationUnits="Stories", AllocationUnits="Points"),'Work Indirect'!F785,F785/MAX('Work Indirect'!AB785,1))</f>
        <v>1</v>
      </c>
    </row>
    <row r="786" spans="1:29"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7" t="str">
        <f ca="1">IF(OFFSET('4. Work'!$A$1,ROW(D786)-1,COLUMN(D786)-1)="","",OFFSET('4. Work'!$A$1,ROW(D786)-1,COLUMN(D786)-1))</f>
        <v/>
      </c>
      <c r="E786" s="147"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I786" s="3" t="str">
        <f ca="1">IF(OFFSET('4. Work'!$A$1,ROW(I786)-1,COLUMN(I786)-1)="","",OFFSET('4. Work'!$A$1,ROW(I786)-1,COLUMN(I786)-1))</f>
        <v/>
      </c>
      <c r="T786" s="3" t="str">
        <f ca="1">IF(A786&lt;&gt;"",MAX('Initiative Indirect'!$T:$T)+(ROW(A786)-1),"")</f>
        <v/>
      </c>
      <c r="U786" s="3" t="str">
        <f ca="1">IF(B786&lt;&gt;"",INDEX('Initiative Indirect'!$T:$T,MATCH(B786,'Initiative Indirect'!$A:$A,0)),"")</f>
        <v/>
      </c>
      <c r="V786" s="3" t="str">
        <f ca="1">IF(C786&lt;&gt;"",INDEX('Team Indirect'!$T:$T,MATCH(C786,'Team Indirect'!$A:$A,0)),"")</f>
        <v/>
      </c>
      <c r="W786" s="3"/>
      <c r="X786" s="3"/>
      <c r="Y786" s="3" t="str">
        <f ca="1">IF($C786&lt;&gt;"",INDEX('Team Indirect'!$D:$D,MATCH($C786,'Team Indirect'!$A:$A,0)),"")</f>
        <v/>
      </c>
      <c r="Z786" s="3" t="str">
        <f ca="1">IF($C786&lt;&gt;"",INDEX('Team Indirect'!$E:$E,MATCH($C786,'Team Indirect'!$A:$A,0)),"")</f>
        <v/>
      </c>
      <c r="AA786" s="3" t="str">
        <f ca="1">IF($C786&lt;&gt;"",INDEX('Team Indirect'!$F:$F,MATCH($C786,'Team Indirect'!$A:$A,0)),"")</f>
        <v/>
      </c>
      <c r="AB786" s="3" t="str">
        <f t="shared" ca="1" si="12"/>
        <v/>
      </c>
      <c r="AC786" s="3">
        <f ca="1">IF(OR(AllocationUnits="Stories", AllocationUnits="Points"),'Work Indirect'!F786,F786/MAX('Work Indirect'!AB786,1))</f>
        <v>1</v>
      </c>
    </row>
    <row r="787" spans="1:29"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7" t="str">
        <f ca="1">IF(OFFSET('4. Work'!$A$1,ROW(D787)-1,COLUMN(D787)-1)="","",OFFSET('4. Work'!$A$1,ROW(D787)-1,COLUMN(D787)-1))</f>
        <v/>
      </c>
      <c r="E787" s="147"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I787" s="3" t="str">
        <f ca="1">IF(OFFSET('4. Work'!$A$1,ROW(I787)-1,COLUMN(I787)-1)="","",OFFSET('4. Work'!$A$1,ROW(I787)-1,COLUMN(I787)-1))</f>
        <v/>
      </c>
      <c r="T787" s="3" t="str">
        <f ca="1">IF(A787&lt;&gt;"",MAX('Initiative Indirect'!$T:$T)+(ROW(A787)-1),"")</f>
        <v/>
      </c>
      <c r="U787" s="3" t="str">
        <f ca="1">IF(B787&lt;&gt;"",INDEX('Initiative Indirect'!$T:$T,MATCH(B787,'Initiative Indirect'!$A:$A,0)),"")</f>
        <v/>
      </c>
      <c r="V787" s="3" t="str">
        <f ca="1">IF(C787&lt;&gt;"",INDEX('Team Indirect'!$T:$T,MATCH(C787,'Team Indirect'!$A:$A,0)),"")</f>
        <v/>
      </c>
      <c r="W787" s="3"/>
      <c r="X787" s="3"/>
      <c r="Y787" s="3" t="str">
        <f ca="1">IF($C787&lt;&gt;"",INDEX('Team Indirect'!$D:$D,MATCH($C787,'Team Indirect'!$A:$A,0)),"")</f>
        <v/>
      </c>
      <c r="Z787" s="3" t="str">
        <f ca="1">IF($C787&lt;&gt;"",INDEX('Team Indirect'!$E:$E,MATCH($C787,'Team Indirect'!$A:$A,0)),"")</f>
        <v/>
      </c>
      <c r="AA787" s="3" t="str">
        <f ca="1">IF($C787&lt;&gt;"",INDEX('Team Indirect'!$F:$F,MATCH($C787,'Team Indirect'!$A:$A,0)),"")</f>
        <v/>
      </c>
      <c r="AB787" s="3" t="str">
        <f t="shared" ca="1" si="12"/>
        <v/>
      </c>
      <c r="AC787" s="3">
        <f ca="1">IF(OR(AllocationUnits="Stories", AllocationUnits="Points"),'Work Indirect'!F787,F787/MAX('Work Indirect'!AB787,1))</f>
        <v>1</v>
      </c>
    </row>
    <row r="788" spans="1:29"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7" t="str">
        <f ca="1">IF(OFFSET('4. Work'!$A$1,ROW(D788)-1,COLUMN(D788)-1)="","",OFFSET('4. Work'!$A$1,ROW(D788)-1,COLUMN(D788)-1))</f>
        <v/>
      </c>
      <c r="E788" s="147"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I788" s="3" t="str">
        <f ca="1">IF(OFFSET('4. Work'!$A$1,ROW(I788)-1,COLUMN(I788)-1)="","",OFFSET('4. Work'!$A$1,ROW(I788)-1,COLUMN(I788)-1))</f>
        <v/>
      </c>
      <c r="T788" s="3" t="str">
        <f ca="1">IF(A788&lt;&gt;"",MAX('Initiative Indirect'!$T:$T)+(ROW(A788)-1),"")</f>
        <v/>
      </c>
      <c r="U788" s="3" t="str">
        <f ca="1">IF(B788&lt;&gt;"",INDEX('Initiative Indirect'!$T:$T,MATCH(B788,'Initiative Indirect'!$A:$A,0)),"")</f>
        <v/>
      </c>
      <c r="V788" s="3" t="str">
        <f ca="1">IF(C788&lt;&gt;"",INDEX('Team Indirect'!$T:$T,MATCH(C788,'Team Indirect'!$A:$A,0)),"")</f>
        <v/>
      </c>
      <c r="W788" s="3"/>
      <c r="X788" s="3"/>
      <c r="Y788" s="3" t="str">
        <f ca="1">IF($C788&lt;&gt;"",INDEX('Team Indirect'!$D:$D,MATCH($C788,'Team Indirect'!$A:$A,0)),"")</f>
        <v/>
      </c>
      <c r="Z788" s="3" t="str">
        <f ca="1">IF($C788&lt;&gt;"",INDEX('Team Indirect'!$E:$E,MATCH($C788,'Team Indirect'!$A:$A,0)),"")</f>
        <v/>
      </c>
      <c r="AA788" s="3" t="str">
        <f ca="1">IF($C788&lt;&gt;"",INDEX('Team Indirect'!$F:$F,MATCH($C788,'Team Indirect'!$A:$A,0)),"")</f>
        <v/>
      </c>
      <c r="AB788" s="3" t="str">
        <f t="shared" ca="1" si="12"/>
        <v/>
      </c>
      <c r="AC788" s="3">
        <f ca="1">IF(OR(AllocationUnits="Stories", AllocationUnits="Points"),'Work Indirect'!F788,F788/MAX('Work Indirect'!AB788,1))</f>
        <v>1</v>
      </c>
    </row>
    <row r="789" spans="1:29"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7" t="str">
        <f ca="1">IF(OFFSET('4. Work'!$A$1,ROW(D789)-1,COLUMN(D789)-1)="","",OFFSET('4. Work'!$A$1,ROW(D789)-1,COLUMN(D789)-1))</f>
        <v/>
      </c>
      <c r="E789" s="147"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I789" s="3" t="str">
        <f ca="1">IF(OFFSET('4. Work'!$A$1,ROW(I789)-1,COLUMN(I789)-1)="","",OFFSET('4. Work'!$A$1,ROW(I789)-1,COLUMN(I789)-1))</f>
        <v/>
      </c>
      <c r="T789" s="3" t="str">
        <f ca="1">IF(A789&lt;&gt;"",MAX('Initiative Indirect'!$T:$T)+(ROW(A789)-1),"")</f>
        <v/>
      </c>
      <c r="U789" s="3" t="str">
        <f ca="1">IF(B789&lt;&gt;"",INDEX('Initiative Indirect'!$T:$T,MATCH(B789,'Initiative Indirect'!$A:$A,0)),"")</f>
        <v/>
      </c>
      <c r="V789" s="3" t="str">
        <f ca="1">IF(C789&lt;&gt;"",INDEX('Team Indirect'!$T:$T,MATCH(C789,'Team Indirect'!$A:$A,0)),"")</f>
        <v/>
      </c>
      <c r="W789" s="3"/>
      <c r="X789" s="3"/>
      <c r="Y789" s="3" t="str">
        <f ca="1">IF($C789&lt;&gt;"",INDEX('Team Indirect'!$D:$D,MATCH($C789,'Team Indirect'!$A:$A,0)),"")</f>
        <v/>
      </c>
      <c r="Z789" s="3" t="str">
        <f ca="1">IF($C789&lt;&gt;"",INDEX('Team Indirect'!$E:$E,MATCH($C789,'Team Indirect'!$A:$A,0)),"")</f>
        <v/>
      </c>
      <c r="AA789" s="3" t="str">
        <f ca="1">IF($C789&lt;&gt;"",INDEX('Team Indirect'!$F:$F,MATCH($C789,'Team Indirect'!$A:$A,0)),"")</f>
        <v/>
      </c>
      <c r="AB789" s="3" t="str">
        <f t="shared" ca="1" si="12"/>
        <v/>
      </c>
      <c r="AC789" s="3">
        <f ca="1">IF(OR(AllocationUnits="Stories", AllocationUnits="Points"),'Work Indirect'!F789,F789/MAX('Work Indirect'!AB789,1))</f>
        <v>1</v>
      </c>
    </row>
    <row r="790" spans="1:29"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7" t="str">
        <f ca="1">IF(OFFSET('4. Work'!$A$1,ROW(D790)-1,COLUMN(D790)-1)="","",OFFSET('4. Work'!$A$1,ROW(D790)-1,COLUMN(D790)-1))</f>
        <v/>
      </c>
      <c r="E790" s="147"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I790" s="3" t="str">
        <f ca="1">IF(OFFSET('4. Work'!$A$1,ROW(I790)-1,COLUMN(I790)-1)="","",OFFSET('4. Work'!$A$1,ROW(I790)-1,COLUMN(I790)-1))</f>
        <v/>
      </c>
      <c r="T790" s="3" t="str">
        <f ca="1">IF(A790&lt;&gt;"",MAX('Initiative Indirect'!$T:$T)+(ROW(A790)-1),"")</f>
        <v/>
      </c>
      <c r="U790" s="3" t="str">
        <f ca="1">IF(B790&lt;&gt;"",INDEX('Initiative Indirect'!$T:$T,MATCH(B790,'Initiative Indirect'!$A:$A,0)),"")</f>
        <v/>
      </c>
      <c r="V790" s="3" t="str">
        <f ca="1">IF(C790&lt;&gt;"",INDEX('Team Indirect'!$T:$T,MATCH(C790,'Team Indirect'!$A:$A,0)),"")</f>
        <v/>
      </c>
      <c r="W790" s="3"/>
      <c r="X790" s="3"/>
      <c r="Y790" s="3" t="str">
        <f ca="1">IF($C790&lt;&gt;"",INDEX('Team Indirect'!$D:$D,MATCH($C790,'Team Indirect'!$A:$A,0)),"")</f>
        <v/>
      </c>
      <c r="Z790" s="3" t="str">
        <f ca="1">IF($C790&lt;&gt;"",INDEX('Team Indirect'!$E:$E,MATCH($C790,'Team Indirect'!$A:$A,0)),"")</f>
        <v/>
      </c>
      <c r="AA790" s="3" t="str">
        <f ca="1">IF($C790&lt;&gt;"",INDEX('Team Indirect'!$F:$F,MATCH($C790,'Team Indirect'!$A:$A,0)),"")</f>
        <v/>
      </c>
      <c r="AB790" s="3" t="str">
        <f t="shared" ca="1" si="12"/>
        <v/>
      </c>
      <c r="AC790" s="3">
        <f ca="1">IF(OR(AllocationUnits="Stories", AllocationUnits="Points"),'Work Indirect'!F790,F790/MAX('Work Indirect'!AB790,1))</f>
        <v>1</v>
      </c>
    </row>
    <row r="791" spans="1:29"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7" t="str">
        <f ca="1">IF(OFFSET('4. Work'!$A$1,ROW(D791)-1,COLUMN(D791)-1)="","",OFFSET('4. Work'!$A$1,ROW(D791)-1,COLUMN(D791)-1))</f>
        <v/>
      </c>
      <c r="E791" s="147"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I791" s="3" t="str">
        <f ca="1">IF(OFFSET('4. Work'!$A$1,ROW(I791)-1,COLUMN(I791)-1)="","",OFFSET('4. Work'!$A$1,ROW(I791)-1,COLUMN(I791)-1))</f>
        <v/>
      </c>
      <c r="T791" s="3" t="str">
        <f ca="1">IF(A791&lt;&gt;"",MAX('Initiative Indirect'!$T:$T)+(ROW(A791)-1),"")</f>
        <v/>
      </c>
      <c r="U791" s="3" t="str">
        <f ca="1">IF(B791&lt;&gt;"",INDEX('Initiative Indirect'!$T:$T,MATCH(B791,'Initiative Indirect'!$A:$A,0)),"")</f>
        <v/>
      </c>
      <c r="V791" s="3" t="str">
        <f ca="1">IF(C791&lt;&gt;"",INDEX('Team Indirect'!$T:$T,MATCH(C791,'Team Indirect'!$A:$A,0)),"")</f>
        <v/>
      </c>
      <c r="W791" s="3"/>
      <c r="X791" s="3"/>
      <c r="Y791" s="3" t="str">
        <f ca="1">IF($C791&lt;&gt;"",INDEX('Team Indirect'!$D:$D,MATCH($C791,'Team Indirect'!$A:$A,0)),"")</f>
        <v/>
      </c>
      <c r="Z791" s="3" t="str">
        <f ca="1">IF($C791&lt;&gt;"",INDEX('Team Indirect'!$E:$E,MATCH($C791,'Team Indirect'!$A:$A,0)),"")</f>
        <v/>
      </c>
      <c r="AA791" s="3" t="str">
        <f ca="1">IF($C791&lt;&gt;"",INDEX('Team Indirect'!$F:$F,MATCH($C791,'Team Indirect'!$A:$A,0)),"")</f>
        <v/>
      </c>
      <c r="AB791" s="3" t="str">
        <f t="shared" ca="1" si="12"/>
        <v/>
      </c>
      <c r="AC791" s="3">
        <f ca="1">IF(OR(AllocationUnits="Stories", AllocationUnits="Points"),'Work Indirect'!F791,F791/MAX('Work Indirect'!AB791,1))</f>
        <v>1</v>
      </c>
    </row>
    <row r="792" spans="1:29"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7" t="str">
        <f ca="1">IF(OFFSET('4. Work'!$A$1,ROW(D792)-1,COLUMN(D792)-1)="","",OFFSET('4. Work'!$A$1,ROW(D792)-1,COLUMN(D792)-1))</f>
        <v/>
      </c>
      <c r="E792" s="147"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I792" s="3" t="str">
        <f ca="1">IF(OFFSET('4. Work'!$A$1,ROW(I792)-1,COLUMN(I792)-1)="","",OFFSET('4. Work'!$A$1,ROW(I792)-1,COLUMN(I792)-1))</f>
        <v/>
      </c>
      <c r="T792" s="3" t="str">
        <f ca="1">IF(A792&lt;&gt;"",MAX('Initiative Indirect'!$T:$T)+(ROW(A792)-1),"")</f>
        <v/>
      </c>
      <c r="U792" s="3" t="str">
        <f ca="1">IF(B792&lt;&gt;"",INDEX('Initiative Indirect'!$T:$T,MATCH(B792,'Initiative Indirect'!$A:$A,0)),"")</f>
        <v/>
      </c>
      <c r="V792" s="3" t="str">
        <f ca="1">IF(C792&lt;&gt;"",INDEX('Team Indirect'!$T:$T,MATCH(C792,'Team Indirect'!$A:$A,0)),"")</f>
        <v/>
      </c>
      <c r="W792" s="3"/>
      <c r="X792" s="3"/>
      <c r="Y792" s="3" t="str">
        <f ca="1">IF($C792&lt;&gt;"",INDEX('Team Indirect'!$D:$D,MATCH($C792,'Team Indirect'!$A:$A,0)),"")</f>
        <v/>
      </c>
      <c r="Z792" s="3" t="str">
        <f ca="1">IF($C792&lt;&gt;"",INDEX('Team Indirect'!$E:$E,MATCH($C792,'Team Indirect'!$A:$A,0)),"")</f>
        <v/>
      </c>
      <c r="AA792" s="3" t="str">
        <f ca="1">IF($C792&lt;&gt;"",INDEX('Team Indirect'!$F:$F,MATCH($C792,'Team Indirect'!$A:$A,0)),"")</f>
        <v/>
      </c>
      <c r="AB792" s="3" t="str">
        <f t="shared" ca="1" si="12"/>
        <v/>
      </c>
      <c r="AC792" s="3">
        <f ca="1">IF(OR(AllocationUnits="Stories", AllocationUnits="Points"),'Work Indirect'!F792,F792/MAX('Work Indirect'!AB792,1))</f>
        <v>1</v>
      </c>
    </row>
    <row r="793" spans="1:29"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7" t="str">
        <f ca="1">IF(OFFSET('4. Work'!$A$1,ROW(D793)-1,COLUMN(D793)-1)="","",OFFSET('4. Work'!$A$1,ROW(D793)-1,COLUMN(D793)-1))</f>
        <v/>
      </c>
      <c r="E793" s="147"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I793" s="3" t="str">
        <f ca="1">IF(OFFSET('4. Work'!$A$1,ROW(I793)-1,COLUMN(I793)-1)="","",OFFSET('4. Work'!$A$1,ROW(I793)-1,COLUMN(I793)-1))</f>
        <v/>
      </c>
      <c r="T793" s="3" t="str">
        <f ca="1">IF(A793&lt;&gt;"",MAX('Initiative Indirect'!$T:$T)+(ROW(A793)-1),"")</f>
        <v/>
      </c>
      <c r="U793" s="3" t="str">
        <f ca="1">IF(B793&lt;&gt;"",INDEX('Initiative Indirect'!$T:$T,MATCH(B793,'Initiative Indirect'!$A:$A,0)),"")</f>
        <v/>
      </c>
      <c r="V793" s="3" t="str">
        <f ca="1">IF(C793&lt;&gt;"",INDEX('Team Indirect'!$T:$T,MATCH(C793,'Team Indirect'!$A:$A,0)),"")</f>
        <v/>
      </c>
      <c r="W793" s="3"/>
      <c r="X793" s="3"/>
      <c r="Y793" s="3" t="str">
        <f ca="1">IF($C793&lt;&gt;"",INDEX('Team Indirect'!$D:$D,MATCH($C793,'Team Indirect'!$A:$A,0)),"")</f>
        <v/>
      </c>
      <c r="Z793" s="3" t="str">
        <f ca="1">IF($C793&lt;&gt;"",INDEX('Team Indirect'!$E:$E,MATCH($C793,'Team Indirect'!$A:$A,0)),"")</f>
        <v/>
      </c>
      <c r="AA793" s="3" t="str">
        <f ca="1">IF($C793&lt;&gt;"",INDEX('Team Indirect'!$F:$F,MATCH($C793,'Team Indirect'!$A:$A,0)),"")</f>
        <v/>
      </c>
      <c r="AB793" s="3" t="str">
        <f t="shared" ca="1" si="12"/>
        <v/>
      </c>
      <c r="AC793" s="3">
        <f ca="1">IF(OR(AllocationUnits="Stories", AllocationUnits="Points"),'Work Indirect'!F793,F793/MAX('Work Indirect'!AB793,1))</f>
        <v>1</v>
      </c>
    </row>
    <row r="794" spans="1:29"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7" t="str">
        <f ca="1">IF(OFFSET('4. Work'!$A$1,ROW(D794)-1,COLUMN(D794)-1)="","",OFFSET('4. Work'!$A$1,ROW(D794)-1,COLUMN(D794)-1))</f>
        <v/>
      </c>
      <c r="E794" s="147"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I794" s="3" t="str">
        <f ca="1">IF(OFFSET('4. Work'!$A$1,ROW(I794)-1,COLUMN(I794)-1)="","",OFFSET('4. Work'!$A$1,ROW(I794)-1,COLUMN(I794)-1))</f>
        <v/>
      </c>
      <c r="T794" s="3" t="str">
        <f ca="1">IF(A794&lt;&gt;"",MAX('Initiative Indirect'!$T:$T)+(ROW(A794)-1),"")</f>
        <v/>
      </c>
      <c r="U794" s="3" t="str">
        <f ca="1">IF(B794&lt;&gt;"",INDEX('Initiative Indirect'!$T:$T,MATCH(B794,'Initiative Indirect'!$A:$A,0)),"")</f>
        <v/>
      </c>
      <c r="V794" s="3" t="str">
        <f ca="1">IF(C794&lt;&gt;"",INDEX('Team Indirect'!$T:$T,MATCH(C794,'Team Indirect'!$A:$A,0)),"")</f>
        <v/>
      </c>
      <c r="W794" s="3"/>
      <c r="X794" s="3"/>
      <c r="Y794" s="3" t="str">
        <f ca="1">IF($C794&lt;&gt;"",INDEX('Team Indirect'!$D:$D,MATCH($C794,'Team Indirect'!$A:$A,0)),"")</f>
        <v/>
      </c>
      <c r="Z794" s="3" t="str">
        <f ca="1">IF($C794&lt;&gt;"",INDEX('Team Indirect'!$E:$E,MATCH($C794,'Team Indirect'!$A:$A,0)),"")</f>
        <v/>
      </c>
      <c r="AA794" s="3" t="str">
        <f ca="1">IF($C794&lt;&gt;"",INDEX('Team Indirect'!$F:$F,MATCH($C794,'Team Indirect'!$A:$A,0)),"")</f>
        <v/>
      </c>
      <c r="AB794" s="3" t="str">
        <f t="shared" ca="1" si="12"/>
        <v/>
      </c>
      <c r="AC794" s="3">
        <f ca="1">IF(OR(AllocationUnits="Stories", AllocationUnits="Points"),'Work Indirect'!F794,F794/MAX('Work Indirect'!AB794,1))</f>
        <v>1</v>
      </c>
    </row>
    <row r="795" spans="1:29"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7" t="str">
        <f ca="1">IF(OFFSET('4. Work'!$A$1,ROW(D795)-1,COLUMN(D795)-1)="","",OFFSET('4. Work'!$A$1,ROW(D795)-1,COLUMN(D795)-1))</f>
        <v/>
      </c>
      <c r="E795" s="147"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I795" s="3" t="str">
        <f ca="1">IF(OFFSET('4. Work'!$A$1,ROW(I795)-1,COLUMN(I795)-1)="","",OFFSET('4. Work'!$A$1,ROW(I795)-1,COLUMN(I795)-1))</f>
        <v/>
      </c>
      <c r="T795" s="3" t="str">
        <f ca="1">IF(A795&lt;&gt;"",MAX('Initiative Indirect'!$T:$T)+(ROW(A795)-1),"")</f>
        <v/>
      </c>
      <c r="U795" s="3" t="str">
        <f ca="1">IF(B795&lt;&gt;"",INDEX('Initiative Indirect'!$T:$T,MATCH(B795,'Initiative Indirect'!$A:$A,0)),"")</f>
        <v/>
      </c>
      <c r="V795" s="3" t="str">
        <f ca="1">IF(C795&lt;&gt;"",INDEX('Team Indirect'!$T:$T,MATCH(C795,'Team Indirect'!$A:$A,0)),"")</f>
        <v/>
      </c>
      <c r="W795" s="3"/>
      <c r="X795" s="3"/>
      <c r="Y795" s="3" t="str">
        <f ca="1">IF($C795&lt;&gt;"",INDEX('Team Indirect'!$D:$D,MATCH($C795,'Team Indirect'!$A:$A,0)),"")</f>
        <v/>
      </c>
      <c r="Z795" s="3" t="str">
        <f ca="1">IF($C795&lt;&gt;"",INDEX('Team Indirect'!$E:$E,MATCH($C795,'Team Indirect'!$A:$A,0)),"")</f>
        <v/>
      </c>
      <c r="AA795" s="3" t="str">
        <f ca="1">IF($C795&lt;&gt;"",INDEX('Team Indirect'!$F:$F,MATCH($C795,'Team Indirect'!$A:$A,0)),"")</f>
        <v/>
      </c>
      <c r="AB795" s="3" t="str">
        <f t="shared" ca="1" si="12"/>
        <v/>
      </c>
      <c r="AC795" s="3">
        <f ca="1">IF(OR(AllocationUnits="Stories", AllocationUnits="Points"),'Work Indirect'!F795,F795/MAX('Work Indirect'!AB795,1))</f>
        <v>1</v>
      </c>
    </row>
    <row r="796" spans="1:29"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7" t="str">
        <f ca="1">IF(OFFSET('4. Work'!$A$1,ROW(D796)-1,COLUMN(D796)-1)="","",OFFSET('4. Work'!$A$1,ROW(D796)-1,COLUMN(D796)-1))</f>
        <v/>
      </c>
      <c r="E796" s="147"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I796" s="3" t="str">
        <f ca="1">IF(OFFSET('4. Work'!$A$1,ROW(I796)-1,COLUMN(I796)-1)="","",OFFSET('4. Work'!$A$1,ROW(I796)-1,COLUMN(I796)-1))</f>
        <v/>
      </c>
      <c r="T796" s="3" t="str">
        <f ca="1">IF(A796&lt;&gt;"",MAX('Initiative Indirect'!$T:$T)+(ROW(A796)-1),"")</f>
        <v/>
      </c>
      <c r="U796" s="3" t="str">
        <f ca="1">IF(B796&lt;&gt;"",INDEX('Initiative Indirect'!$T:$T,MATCH(B796,'Initiative Indirect'!$A:$A,0)),"")</f>
        <v/>
      </c>
      <c r="V796" s="3" t="str">
        <f ca="1">IF(C796&lt;&gt;"",INDEX('Team Indirect'!$T:$T,MATCH(C796,'Team Indirect'!$A:$A,0)),"")</f>
        <v/>
      </c>
      <c r="W796" s="3"/>
      <c r="X796" s="3"/>
      <c r="Y796" s="3" t="str">
        <f ca="1">IF($C796&lt;&gt;"",INDEX('Team Indirect'!$D:$D,MATCH($C796,'Team Indirect'!$A:$A,0)),"")</f>
        <v/>
      </c>
      <c r="Z796" s="3" t="str">
        <f ca="1">IF($C796&lt;&gt;"",INDEX('Team Indirect'!$E:$E,MATCH($C796,'Team Indirect'!$A:$A,0)),"")</f>
        <v/>
      </c>
      <c r="AA796" s="3" t="str">
        <f ca="1">IF($C796&lt;&gt;"",INDEX('Team Indirect'!$F:$F,MATCH($C796,'Team Indirect'!$A:$A,0)),"")</f>
        <v/>
      </c>
      <c r="AB796" s="3" t="str">
        <f t="shared" ca="1" si="12"/>
        <v/>
      </c>
      <c r="AC796" s="3">
        <f ca="1">IF(OR(AllocationUnits="Stories", AllocationUnits="Points"),'Work Indirect'!F796,F796/MAX('Work Indirect'!AB796,1))</f>
        <v>1</v>
      </c>
    </row>
    <row r="797" spans="1:29"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7" t="str">
        <f ca="1">IF(OFFSET('4. Work'!$A$1,ROW(D797)-1,COLUMN(D797)-1)="","",OFFSET('4. Work'!$A$1,ROW(D797)-1,COLUMN(D797)-1))</f>
        <v/>
      </c>
      <c r="E797" s="147"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I797" s="3" t="str">
        <f ca="1">IF(OFFSET('4. Work'!$A$1,ROW(I797)-1,COLUMN(I797)-1)="","",OFFSET('4. Work'!$A$1,ROW(I797)-1,COLUMN(I797)-1))</f>
        <v/>
      </c>
      <c r="T797" s="3" t="str">
        <f ca="1">IF(A797&lt;&gt;"",MAX('Initiative Indirect'!$T:$T)+(ROW(A797)-1),"")</f>
        <v/>
      </c>
      <c r="U797" s="3" t="str">
        <f ca="1">IF(B797&lt;&gt;"",INDEX('Initiative Indirect'!$T:$T,MATCH(B797,'Initiative Indirect'!$A:$A,0)),"")</f>
        <v/>
      </c>
      <c r="V797" s="3" t="str">
        <f ca="1">IF(C797&lt;&gt;"",INDEX('Team Indirect'!$T:$T,MATCH(C797,'Team Indirect'!$A:$A,0)),"")</f>
        <v/>
      </c>
      <c r="W797" s="3"/>
      <c r="X797" s="3"/>
      <c r="Y797" s="3" t="str">
        <f ca="1">IF($C797&lt;&gt;"",INDEX('Team Indirect'!$D:$D,MATCH($C797,'Team Indirect'!$A:$A,0)),"")</f>
        <v/>
      </c>
      <c r="Z797" s="3" t="str">
        <f ca="1">IF($C797&lt;&gt;"",INDEX('Team Indirect'!$E:$E,MATCH($C797,'Team Indirect'!$A:$A,0)),"")</f>
        <v/>
      </c>
      <c r="AA797" s="3" t="str">
        <f ca="1">IF($C797&lt;&gt;"",INDEX('Team Indirect'!$F:$F,MATCH($C797,'Team Indirect'!$A:$A,0)),"")</f>
        <v/>
      </c>
      <c r="AB797" s="3" t="str">
        <f t="shared" ca="1" si="12"/>
        <v/>
      </c>
      <c r="AC797" s="3">
        <f ca="1">IF(OR(AllocationUnits="Stories", AllocationUnits="Points"),'Work Indirect'!F797,F797/MAX('Work Indirect'!AB797,1))</f>
        <v>1</v>
      </c>
    </row>
    <row r="798" spans="1:29"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7" t="str">
        <f ca="1">IF(OFFSET('4. Work'!$A$1,ROW(D798)-1,COLUMN(D798)-1)="","",OFFSET('4. Work'!$A$1,ROW(D798)-1,COLUMN(D798)-1))</f>
        <v/>
      </c>
      <c r="E798" s="147"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I798" s="3" t="str">
        <f ca="1">IF(OFFSET('4. Work'!$A$1,ROW(I798)-1,COLUMN(I798)-1)="","",OFFSET('4. Work'!$A$1,ROW(I798)-1,COLUMN(I798)-1))</f>
        <v/>
      </c>
      <c r="T798" s="3" t="str">
        <f ca="1">IF(A798&lt;&gt;"",MAX('Initiative Indirect'!$T:$T)+(ROW(A798)-1),"")</f>
        <v/>
      </c>
      <c r="U798" s="3" t="str">
        <f ca="1">IF(B798&lt;&gt;"",INDEX('Initiative Indirect'!$T:$T,MATCH(B798,'Initiative Indirect'!$A:$A,0)),"")</f>
        <v/>
      </c>
      <c r="V798" s="3" t="str">
        <f ca="1">IF(C798&lt;&gt;"",INDEX('Team Indirect'!$T:$T,MATCH(C798,'Team Indirect'!$A:$A,0)),"")</f>
        <v/>
      </c>
      <c r="W798" s="3"/>
      <c r="X798" s="3"/>
      <c r="Y798" s="3" t="str">
        <f ca="1">IF($C798&lt;&gt;"",INDEX('Team Indirect'!$D:$D,MATCH($C798,'Team Indirect'!$A:$A,0)),"")</f>
        <v/>
      </c>
      <c r="Z798" s="3" t="str">
        <f ca="1">IF($C798&lt;&gt;"",INDEX('Team Indirect'!$E:$E,MATCH($C798,'Team Indirect'!$A:$A,0)),"")</f>
        <v/>
      </c>
      <c r="AA798" s="3" t="str">
        <f ca="1">IF($C798&lt;&gt;"",INDEX('Team Indirect'!$F:$F,MATCH($C798,'Team Indirect'!$A:$A,0)),"")</f>
        <v/>
      </c>
      <c r="AB798" s="3" t="str">
        <f t="shared" ca="1" si="12"/>
        <v/>
      </c>
      <c r="AC798" s="3">
        <f ca="1">IF(OR(AllocationUnits="Stories", AllocationUnits="Points"),'Work Indirect'!F798,F798/MAX('Work Indirect'!AB798,1))</f>
        <v>1</v>
      </c>
    </row>
    <row r="799" spans="1:29"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7" t="str">
        <f ca="1">IF(OFFSET('4. Work'!$A$1,ROW(D799)-1,COLUMN(D799)-1)="","",OFFSET('4. Work'!$A$1,ROW(D799)-1,COLUMN(D799)-1))</f>
        <v/>
      </c>
      <c r="E799" s="147"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I799" s="3" t="str">
        <f ca="1">IF(OFFSET('4. Work'!$A$1,ROW(I799)-1,COLUMN(I799)-1)="","",OFFSET('4. Work'!$A$1,ROW(I799)-1,COLUMN(I799)-1))</f>
        <v/>
      </c>
      <c r="T799" s="3" t="str">
        <f ca="1">IF(A799&lt;&gt;"",MAX('Initiative Indirect'!$T:$T)+(ROW(A799)-1),"")</f>
        <v/>
      </c>
      <c r="U799" s="3" t="str">
        <f ca="1">IF(B799&lt;&gt;"",INDEX('Initiative Indirect'!$T:$T,MATCH(B799,'Initiative Indirect'!$A:$A,0)),"")</f>
        <v/>
      </c>
      <c r="V799" s="3" t="str">
        <f ca="1">IF(C799&lt;&gt;"",INDEX('Team Indirect'!$T:$T,MATCH(C799,'Team Indirect'!$A:$A,0)),"")</f>
        <v/>
      </c>
      <c r="W799" s="3"/>
      <c r="X799" s="3"/>
      <c r="Y799" s="3" t="str">
        <f ca="1">IF($C799&lt;&gt;"",INDEX('Team Indirect'!$D:$D,MATCH($C799,'Team Indirect'!$A:$A,0)),"")</f>
        <v/>
      </c>
      <c r="Z799" s="3" t="str">
        <f ca="1">IF($C799&lt;&gt;"",INDEX('Team Indirect'!$E:$E,MATCH($C799,'Team Indirect'!$A:$A,0)),"")</f>
        <v/>
      </c>
      <c r="AA799" s="3" t="str">
        <f ca="1">IF($C799&lt;&gt;"",INDEX('Team Indirect'!$F:$F,MATCH($C799,'Team Indirect'!$A:$A,0)),"")</f>
        <v/>
      </c>
      <c r="AB799" s="3" t="str">
        <f t="shared" ca="1" si="12"/>
        <v/>
      </c>
      <c r="AC799" s="3">
        <f ca="1">IF(OR(AllocationUnits="Stories", AllocationUnits="Points"),'Work Indirect'!F799,F799/MAX('Work Indirect'!AB799,1))</f>
        <v>1</v>
      </c>
    </row>
    <row r="800" spans="1:29"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7" t="str">
        <f ca="1">IF(OFFSET('4. Work'!$A$1,ROW(D800)-1,COLUMN(D800)-1)="","",OFFSET('4. Work'!$A$1,ROW(D800)-1,COLUMN(D800)-1))</f>
        <v/>
      </c>
      <c r="E800" s="147"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I800" s="3" t="str">
        <f ca="1">IF(OFFSET('4. Work'!$A$1,ROW(I800)-1,COLUMN(I800)-1)="","",OFFSET('4. Work'!$A$1,ROW(I800)-1,COLUMN(I800)-1))</f>
        <v/>
      </c>
      <c r="T800" s="3" t="str">
        <f ca="1">IF(A800&lt;&gt;"",MAX('Initiative Indirect'!$T:$T)+(ROW(A800)-1),"")</f>
        <v/>
      </c>
      <c r="U800" s="3" t="str">
        <f ca="1">IF(B800&lt;&gt;"",INDEX('Initiative Indirect'!$T:$T,MATCH(B800,'Initiative Indirect'!$A:$A,0)),"")</f>
        <v/>
      </c>
      <c r="V800" s="3" t="str">
        <f ca="1">IF(C800&lt;&gt;"",INDEX('Team Indirect'!$T:$T,MATCH(C800,'Team Indirect'!$A:$A,0)),"")</f>
        <v/>
      </c>
      <c r="W800" s="3"/>
      <c r="X800" s="3"/>
      <c r="Y800" s="3" t="str">
        <f ca="1">IF($C800&lt;&gt;"",INDEX('Team Indirect'!$D:$D,MATCH($C800,'Team Indirect'!$A:$A,0)),"")</f>
        <v/>
      </c>
      <c r="Z800" s="3" t="str">
        <f ca="1">IF($C800&lt;&gt;"",INDEX('Team Indirect'!$E:$E,MATCH($C800,'Team Indirect'!$A:$A,0)),"")</f>
        <v/>
      </c>
      <c r="AA800" s="3" t="str">
        <f ca="1">IF($C800&lt;&gt;"",INDEX('Team Indirect'!$F:$F,MATCH($C800,'Team Indirect'!$A:$A,0)),"")</f>
        <v/>
      </c>
      <c r="AB800" s="3" t="str">
        <f t="shared" ca="1" si="12"/>
        <v/>
      </c>
      <c r="AC800" s="3">
        <f ca="1">IF(OR(AllocationUnits="Stories", AllocationUnits="Points"),'Work Indirect'!F800,F800/MAX('Work Indirect'!AB800,1))</f>
        <v>1</v>
      </c>
    </row>
    <row r="801" spans="1:29"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7" t="str">
        <f ca="1">IF(OFFSET('4. Work'!$A$1,ROW(D801)-1,COLUMN(D801)-1)="","",OFFSET('4. Work'!$A$1,ROW(D801)-1,COLUMN(D801)-1))</f>
        <v/>
      </c>
      <c r="E801" s="147"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I801" s="3" t="str">
        <f ca="1">IF(OFFSET('4. Work'!$A$1,ROW(I801)-1,COLUMN(I801)-1)="","",OFFSET('4. Work'!$A$1,ROW(I801)-1,COLUMN(I801)-1))</f>
        <v/>
      </c>
      <c r="T801" s="3" t="str">
        <f ca="1">IF(A801&lt;&gt;"",MAX('Initiative Indirect'!$T:$T)+(ROW(A801)-1),"")</f>
        <v/>
      </c>
      <c r="U801" s="3" t="str">
        <f ca="1">IF(B801&lt;&gt;"",INDEX('Initiative Indirect'!$T:$T,MATCH(B801,'Initiative Indirect'!$A:$A,0)),"")</f>
        <v/>
      </c>
      <c r="V801" s="3" t="str">
        <f ca="1">IF(C801&lt;&gt;"",INDEX('Team Indirect'!$T:$T,MATCH(C801,'Team Indirect'!$A:$A,0)),"")</f>
        <v/>
      </c>
      <c r="W801" s="3"/>
      <c r="X801" s="3"/>
      <c r="Y801" s="3" t="str">
        <f ca="1">IF($C801&lt;&gt;"",INDEX('Team Indirect'!$D:$D,MATCH($C801,'Team Indirect'!$A:$A,0)),"")</f>
        <v/>
      </c>
      <c r="Z801" s="3" t="str">
        <f ca="1">IF($C801&lt;&gt;"",INDEX('Team Indirect'!$E:$E,MATCH($C801,'Team Indirect'!$A:$A,0)),"")</f>
        <v/>
      </c>
      <c r="AA801" s="3" t="str">
        <f ca="1">IF($C801&lt;&gt;"",INDEX('Team Indirect'!$F:$F,MATCH($C801,'Team Indirect'!$A:$A,0)),"")</f>
        <v/>
      </c>
      <c r="AB801" s="3" t="str">
        <f t="shared" ca="1" si="12"/>
        <v/>
      </c>
      <c r="AC801" s="3">
        <f ca="1">IF(OR(AllocationUnits="Stories", AllocationUnits="Points"),'Work Indirect'!F801,F801/MAX('Work Indirect'!AB801,1))</f>
        <v>1</v>
      </c>
    </row>
    <row r="802" spans="1:29"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7" t="str">
        <f ca="1">IF(OFFSET('4. Work'!$A$1,ROW(D802)-1,COLUMN(D802)-1)="","",OFFSET('4. Work'!$A$1,ROW(D802)-1,COLUMN(D802)-1))</f>
        <v/>
      </c>
      <c r="E802" s="147"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I802" s="3" t="str">
        <f ca="1">IF(OFFSET('4. Work'!$A$1,ROW(I802)-1,COLUMN(I802)-1)="","",OFFSET('4. Work'!$A$1,ROW(I802)-1,COLUMN(I802)-1))</f>
        <v/>
      </c>
      <c r="T802" s="3" t="str">
        <f ca="1">IF(A802&lt;&gt;"",MAX('Initiative Indirect'!$T:$T)+(ROW(A802)-1),"")</f>
        <v/>
      </c>
      <c r="U802" s="3" t="str">
        <f ca="1">IF(B802&lt;&gt;"",INDEX('Initiative Indirect'!$T:$T,MATCH(B802,'Initiative Indirect'!$A:$A,0)),"")</f>
        <v/>
      </c>
      <c r="V802" s="3" t="str">
        <f ca="1">IF(C802&lt;&gt;"",INDEX('Team Indirect'!$T:$T,MATCH(C802,'Team Indirect'!$A:$A,0)),"")</f>
        <v/>
      </c>
      <c r="W802" s="3"/>
      <c r="X802" s="3"/>
      <c r="Y802" s="3" t="str">
        <f ca="1">IF($C802&lt;&gt;"",INDEX('Team Indirect'!$D:$D,MATCH($C802,'Team Indirect'!$A:$A,0)),"")</f>
        <v/>
      </c>
      <c r="Z802" s="3" t="str">
        <f ca="1">IF($C802&lt;&gt;"",INDEX('Team Indirect'!$E:$E,MATCH($C802,'Team Indirect'!$A:$A,0)),"")</f>
        <v/>
      </c>
      <c r="AA802" s="3" t="str">
        <f ca="1">IF($C802&lt;&gt;"",INDEX('Team Indirect'!$F:$F,MATCH($C802,'Team Indirect'!$A:$A,0)),"")</f>
        <v/>
      </c>
      <c r="AB802" s="3" t="str">
        <f t="shared" ca="1" si="12"/>
        <v/>
      </c>
      <c r="AC802" s="3">
        <f ca="1">IF(OR(AllocationUnits="Stories", AllocationUnits="Points"),'Work Indirect'!F802,F802/MAX('Work Indirect'!AB802,1))</f>
        <v>1</v>
      </c>
    </row>
    <row r="803" spans="1:29"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7" t="str">
        <f ca="1">IF(OFFSET('4. Work'!$A$1,ROW(D803)-1,COLUMN(D803)-1)="","",OFFSET('4. Work'!$A$1,ROW(D803)-1,COLUMN(D803)-1))</f>
        <v/>
      </c>
      <c r="E803" s="147"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I803" s="3" t="str">
        <f ca="1">IF(OFFSET('4. Work'!$A$1,ROW(I803)-1,COLUMN(I803)-1)="","",OFFSET('4. Work'!$A$1,ROW(I803)-1,COLUMN(I803)-1))</f>
        <v/>
      </c>
      <c r="T803" s="3" t="str">
        <f ca="1">IF(A803&lt;&gt;"",MAX('Initiative Indirect'!$T:$T)+(ROW(A803)-1),"")</f>
        <v/>
      </c>
      <c r="U803" s="3" t="str">
        <f ca="1">IF(B803&lt;&gt;"",INDEX('Initiative Indirect'!$T:$T,MATCH(B803,'Initiative Indirect'!$A:$A,0)),"")</f>
        <v/>
      </c>
      <c r="V803" s="3" t="str">
        <f ca="1">IF(C803&lt;&gt;"",INDEX('Team Indirect'!$T:$T,MATCH(C803,'Team Indirect'!$A:$A,0)),"")</f>
        <v/>
      </c>
      <c r="W803" s="3"/>
      <c r="X803" s="3"/>
      <c r="Y803" s="3" t="str">
        <f ca="1">IF($C803&lt;&gt;"",INDEX('Team Indirect'!$D:$D,MATCH($C803,'Team Indirect'!$A:$A,0)),"")</f>
        <v/>
      </c>
      <c r="Z803" s="3" t="str">
        <f ca="1">IF($C803&lt;&gt;"",INDEX('Team Indirect'!$E:$E,MATCH($C803,'Team Indirect'!$A:$A,0)),"")</f>
        <v/>
      </c>
      <c r="AA803" s="3" t="str">
        <f ca="1">IF($C803&lt;&gt;"",INDEX('Team Indirect'!$F:$F,MATCH($C803,'Team Indirect'!$A:$A,0)),"")</f>
        <v/>
      </c>
      <c r="AB803" s="3" t="str">
        <f t="shared" ca="1" si="12"/>
        <v/>
      </c>
      <c r="AC803" s="3">
        <f ca="1">IF(OR(AllocationUnits="Stories", AllocationUnits="Points"),'Work Indirect'!F803,F803/MAX('Work Indirect'!AB803,1))</f>
        <v>1</v>
      </c>
    </row>
    <row r="804" spans="1:29"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7" t="str">
        <f ca="1">IF(OFFSET('4. Work'!$A$1,ROW(D804)-1,COLUMN(D804)-1)="","",OFFSET('4. Work'!$A$1,ROW(D804)-1,COLUMN(D804)-1))</f>
        <v/>
      </c>
      <c r="E804" s="147"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I804" s="3" t="str">
        <f ca="1">IF(OFFSET('4. Work'!$A$1,ROW(I804)-1,COLUMN(I804)-1)="","",OFFSET('4. Work'!$A$1,ROW(I804)-1,COLUMN(I804)-1))</f>
        <v/>
      </c>
      <c r="T804" s="3" t="str">
        <f ca="1">IF(A804&lt;&gt;"",MAX('Initiative Indirect'!$T:$T)+(ROW(A804)-1),"")</f>
        <v/>
      </c>
      <c r="U804" s="3" t="str">
        <f ca="1">IF(B804&lt;&gt;"",INDEX('Initiative Indirect'!$T:$T,MATCH(B804,'Initiative Indirect'!$A:$A,0)),"")</f>
        <v/>
      </c>
      <c r="V804" s="3" t="str">
        <f ca="1">IF(C804&lt;&gt;"",INDEX('Team Indirect'!$T:$T,MATCH(C804,'Team Indirect'!$A:$A,0)),"")</f>
        <v/>
      </c>
      <c r="W804" s="3"/>
      <c r="X804" s="3"/>
      <c r="Y804" s="3" t="str">
        <f ca="1">IF($C804&lt;&gt;"",INDEX('Team Indirect'!$D:$D,MATCH($C804,'Team Indirect'!$A:$A,0)),"")</f>
        <v/>
      </c>
      <c r="Z804" s="3" t="str">
        <f ca="1">IF($C804&lt;&gt;"",INDEX('Team Indirect'!$E:$E,MATCH($C804,'Team Indirect'!$A:$A,0)),"")</f>
        <v/>
      </c>
      <c r="AA804" s="3" t="str">
        <f ca="1">IF($C804&lt;&gt;"",INDEX('Team Indirect'!$F:$F,MATCH($C804,'Team Indirect'!$A:$A,0)),"")</f>
        <v/>
      </c>
      <c r="AB804" s="3" t="str">
        <f t="shared" ca="1" si="12"/>
        <v/>
      </c>
      <c r="AC804" s="3">
        <f ca="1">IF(OR(AllocationUnits="Stories", AllocationUnits="Points"),'Work Indirect'!F804,F804/MAX('Work Indirect'!AB804,1))</f>
        <v>1</v>
      </c>
    </row>
    <row r="805" spans="1:29"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7" t="str">
        <f ca="1">IF(OFFSET('4. Work'!$A$1,ROW(D805)-1,COLUMN(D805)-1)="","",OFFSET('4. Work'!$A$1,ROW(D805)-1,COLUMN(D805)-1))</f>
        <v/>
      </c>
      <c r="E805" s="147"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I805" s="3" t="str">
        <f ca="1">IF(OFFSET('4. Work'!$A$1,ROW(I805)-1,COLUMN(I805)-1)="","",OFFSET('4. Work'!$A$1,ROW(I805)-1,COLUMN(I805)-1))</f>
        <v/>
      </c>
      <c r="T805" s="3" t="str">
        <f ca="1">IF(A805&lt;&gt;"",MAX('Initiative Indirect'!$T:$T)+(ROW(A805)-1),"")</f>
        <v/>
      </c>
      <c r="U805" s="3" t="str">
        <f ca="1">IF(B805&lt;&gt;"",INDEX('Initiative Indirect'!$T:$T,MATCH(B805,'Initiative Indirect'!$A:$A,0)),"")</f>
        <v/>
      </c>
      <c r="V805" s="3" t="str">
        <f ca="1">IF(C805&lt;&gt;"",INDEX('Team Indirect'!$T:$T,MATCH(C805,'Team Indirect'!$A:$A,0)),"")</f>
        <v/>
      </c>
      <c r="W805" s="3"/>
      <c r="X805" s="3"/>
      <c r="Y805" s="3" t="str">
        <f ca="1">IF($C805&lt;&gt;"",INDEX('Team Indirect'!$D:$D,MATCH($C805,'Team Indirect'!$A:$A,0)),"")</f>
        <v/>
      </c>
      <c r="Z805" s="3" t="str">
        <f ca="1">IF($C805&lt;&gt;"",INDEX('Team Indirect'!$E:$E,MATCH($C805,'Team Indirect'!$A:$A,0)),"")</f>
        <v/>
      </c>
      <c r="AA805" s="3" t="str">
        <f ca="1">IF($C805&lt;&gt;"",INDEX('Team Indirect'!$F:$F,MATCH($C805,'Team Indirect'!$A:$A,0)),"")</f>
        <v/>
      </c>
      <c r="AB805" s="3" t="str">
        <f t="shared" ca="1" si="12"/>
        <v/>
      </c>
      <c r="AC805" s="3">
        <f ca="1">IF(OR(AllocationUnits="Stories", AllocationUnits="Points"),'Work Indirect'!F805,F805/MAX('Work Indirect'!AB805,1))</f>
        <v>1</v>
      </c>
    </row>
    <row r="806" spans="1:29"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7" t="str">
        <f ca="1">IF(OFFSET('4. Work'!$A$1,ROW(D806)-1,COLUMN(D806)-1)="","",OFFSET('4. Work'!$A$1,ROW(D806)-1,COLUMN(D806)-1))</f>
        <v/>
      </c>
      <c r="E806" s="147"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I806" s="3" t="str">
        <f ca="1">IF(OFFSET('4. Work'!$A$1,ROW(I806)-1,COLUMN(I806)-1)="","",OFFSET('4. Work'!$A$1,ROW(I806)-1,COLUMN(I806)-1))</f>
        <v/>
      </c>
      <c r="T806" s="3" t="str">
        <f ca="1">IF(A806&lt;&gt;"",MAX('Initiative Indirect'!$T:$T)+(ROW(A806)-1),"")</f>
        <v/>
      </c>
      <c r="U806" s="3" t="str">
        <f ca="1">IF(B806&lt;&gt;"",INDEX('Initiative Indirect'!$T:$T,MATCH(B806,'Initiative Indirect'!$A:$A,0)),"")</f>
        <v/>
      </c>
      <c r="V806" s="3" t="str">
        <f ca="1">IF(C806&lt;&gt;"",INDEX('Team Indirect'!$T:$T,MATCH(C806,'Team Indirect'!$A:$A,0)),"")</f>
        <v/>
      </c>
      <c r="W806" s="3"/>
      <c r="X806" s="3"/>
      <c r="Y806" s="3" t="str">
        <f ca="1">IF($C806&lt;&gt;"",INDEX('Team Indirect'!$D:$D,MATCH($C806,'Team Indirect'!$A:$A,0)),"")</f>
        <v/>
      </c>
      <c r="Z806" s="3" t="str">
        <f ca="1">IF($C806&lt;&gt;"",INDEX('Team Indirect'!$E:$E,MATCH($C806,'Team Indirect'!$A:$A,0)),"")</f>
        <v/>
      </c>
      <c r="AA806" s="3" t="str">
        <f ca="1">IF($C806&lt;&gt;"",INDEX('Team Indirect'!$F:$F,MATCH($C806,'Team Indirect'!$A:$A,0)),"")</f>
        <v/>
      </c>
      <c r="AB806" s="3" t="str">
        <f t="shared" ca="1" si="12"/>
        <v/>
      </c>
      <c r="AC806" s="3">
        <f ca="1">IF(OR(AllocationUnits="Stories", AllocationUnits="Points"),'Work Indirect'!F806,F806/MAX('Work Indirect'!AB806,1))</f>
        <v>1</v>
      </c>
    </row>
    <row r="807" spans="1:29"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7" t="str">
        <f ca="1">IF(OFFSET('4. Work'!$A$1,ROW(D807)-1,COLUMN(D807)-1)="","",OFFSET('4. Work'!$A$1,ROW(D807)-1,COLUMN(D807)-1))</f>
        <v/>
      </c>
      <c r="E807" s="147"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I807" s="3" t="str">
        <f ca="1">IF(OFFSET('4. Work'!$A$1,ROW(I807)-1,COLUMN(I807)-1)="","",OFFSET('4. Work'!$A$1,ROW(I807)-1,COLUMN(I807)-1))</f>
        <v/>
      </c>
      <c r="T807" s="3" t="str">
        <f ca="1">IF(A807&lt;&gt;"",MAX('Initiative Indirect'!$T:$T)+(ROW(A807)-1),"")</f>
        <v/>
      </c>
      <c r="U807" s="3" t="str">
        <f ca="1">IF(B807&lt;&gt;"",INDEX('Initiative Indirect'!$T:$T,MATCH(B807,'Initiative Indirect'!$A:$A,0)),"")</f>
        <v/>
      </c>
      <c r="V807" s="3" t="str">
        <f ca="1">IF(C807&lt;&gt;"",INDEX('Team Indirect'!$T:$T,MATCH(C807,'Team Indirect'!$A:$A,0)),"")</f>
        <v/>
      </c>
      <c r="W807" s="3"/>
      <c r="X807" s="3"/>
      <c r="Y807" s="3" t="str">
        <f ca="1">IF($C807&lt;&gt;"",INDEX('Team Indirect'!$D:$D,MATCH($C807,'Team Indirect'!$A:$A,0)),"")</f>
        <v/>
      </c>
      <c r="Z807" s="3" t="str">
        <f ca="1">IF($C807&lt;&gt;"",INDEX('Team Indirect'!$E:$E,MATCH($C807,'Team Indirect'!$A:$A,0)),"")</f>
        <v/>
      </c>
      <c r="AA807" s="3" t="str">
        <f ca="1">IF($C807&lt;&gt;"",INDEX('Team Indirect'!$F:$F,MATCH($C807,'Team Indirect'!$A:$A,0)),"")</f>
        <v/>
      </c>
      <c r="AB807" s="3" t="str">
        <f t="shared" ca="1" si="12"/>
        <v/>
      </c>
      <c r="AC807" s="3">
        <f ca="1">IF(OR(AllocationUnits="Stories", AllocationUnits="Points"),'Work Indirect'!F807,F807/MAX('Work Indirect'!AB807,1))</f>
        <v>1</v>
      </c>
    </row>
    <row r="808" spans="1:29"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7" t="str">
        <f ca="1">IF(OFFSET('4. Work'!$A$1,ROW(D808)-1,COLUMN(D808)-1)="","",OFFSET('4. Work'!$A$1,ROW(D808)-1,COLUMN(D808)-1))</f>
        <v/>
      </c>
      <c r="E808" s="147"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I808" s="3" t="str">
        <f ca="1">IF(OFFSET('4. Work'!$A$1,ROW(I808)-1,COLUMN(I808)-1)="","",OFFSET('4. Work'!$A$1,ROW(I808)-1,COLUMN(I808)-1))</f>
        <v/>
      </c>
      <c r="T808" s="3" t="str">
        <f ca="1">IF(A808&lt;&gt;"",MAX('Initiative Indirect'!$T:$T)+(ROW(A808)-1),"")</f>
        <v/>
      </c>
      <c r="U808" s="3" t="str">
        <f ca="1">IF(B808&lt;&gt;"",INDEX('Initiative Indirect'!$T:$T,MATCH(B808,'Initiative Indirect'!$A:$A,0)),"")</f>
        <v/>
      </c>
      <c r="V808" s="3" t="str">
        <f ca="1">IF(C808&lt;&gt;"",INDEX('Team Indirect'!$T:$T,MATCH(C808,'Team Indirect'!$A:$A,0)),"")</f>
        <v/>
      </c>
      <c r="W808" s="3"/>
      <c r="X808" s="3"/>
      <c r="Y808" s="3" t="str">
        <f ca="1">IF($C808&lt;&gt;"",INDEX('Team Indirect'!$D:$D,MATCH($C808,'Team Indirect'!$A:$A,0)),"")</f>
        <v/>
      </c>
      <c r="Z808" s="3" t="str">
        <f ca="1">IF($C808&lt;&gt;"",INDEX('Team Indirect'!$E:$E,MATCH($C808,'Team Indirect'!$A:$A,0)),"")</f>
        <v/>
      </c>
      <c r="AA808" s="3" t="str">
        <f ca="1">IF($C808&lt;&gt;"",INDEX('Team Indirect'!$F:$F,MATCH($C808,'Team Indirect'!$A:$A,0)),"")</f>
        <v/>
      </c>
      <c r="AB808" s="3" t="str">
        <f t="shared" ca="1" si="12"/>
        <v/>
      </c>
      <c r="AC808" s="3">
        <f ca="1">IF(OR(AllocationUnits="Stories", AllocationUnits="Points"),'Work Indirect'!F808,F808/MAX('Work Indirect'!AB808,1))</f>
        <v>1</v>
      </c>
    </row>
    <row r="809" spans="1:29"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7" t="str">
        <f ca="1">IF(OFFSET('4. Work'!$A$1,ROW(D809)-1,COLUMN(D809)-1)="","",OFFSET('4. Work'!$A$1,ROW(D809)-1,COLUMN(D809)-1))</f>
        <v/>
      </c>
      <c r="E809" s="147"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I809" s="3" t="str">
        <f ca="1">IF(OFFSET('4. Work'!$A$1,ROW(I809)-1,COLUMN(I809)-1)="","",OFFSET('4. Work'!$A$1,ROW(I809)-1,COLUMN(I809)-1))</f>
        <v/>
      </c>
      <c r="T809" s="3" t="str">
        <f ca="1">IF(A809&lt;&gt;"",MAX('Initiative Indirect'!$T:$T)+(ROW(A809)-1),"")</f>
        <v/>
      </c>
      <c r="U809" s="3" t="str">
        <f ca="1">IF(B809&lt;&gt;"",INDEX('Initiative Indirect'!$T:$T,MATCH(B809,'Initiative Indirect'!$A:$A,0)),"")</f>
        <v/>
      </c>
      <c r="V809" s="3" t="str">
        <f ca="1">IF(C809&lt;&gt;"",INDEX('Team Indirect'!$T:$T,MATCH(C809,'Team Indirect'!$A:$A,0)),"")</f>
        <v/>
      </c>
      <c r="W809" s="3"/>
      <c r="X809" s="3"/>
      <c r="Y809" s="3" t="str">
        <f ca="1">IF($C809&lt;&gt;"",INDEX('Team Indirect'!$D:$D,MATCH($C809,'Team Indirect'!$A:$A,0)),"")</f>
        <v/>
      </c>
      <c r="Z809" s="3" t="str">
        <f ca="1">IF($C809&lt;&gt;"",INDEX('Team Indirect'!$E:$E,MATCH($C809,'Team Indirect'!$A:$A,0)),"")</f>
        <v/>
      </c>
      <c r="AA809" s="3" t="str">
        <f ca="1">IF($C809&lt;&gt;"",INDEX('Team Indirect'!$F:$F,MATCH($C809,'Team Indirect'!$A:$A,0)),"")</f>
        <v/>
      </c>
      <c r="AB809" s="3" t="str">
        <f t="shared" ca="1" si="12"/>
        <v/>
      </c>
      <c r="AC809" s="3">
        <f ca="1">IF(OR(AllocationUnits="Stories", AllocationUnits="Points"),'Work Indirect'!F809,F809/MAX('Work Indirect'!AB809,1))</f>
        <v>1</v>
      </c>
    </row>
    <row r="810" spans="1:29"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7" t="str">
        <f ca="1">IF(OFFSET('4. Work'!$A$1,ROW(D810)-1,COLUMN(D810)-1)="","",OFFSET('4. Work'!$A$1,ROW(D810)-1,COLUMN(D810)-1))</f>
        <v/>
      </c>
      <c r="E810" s="147"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I810" s="3" t="str">
        <f ca="1">IF(OFFSET('4. Work'!$A$1,ROW(I810)-1,COLUMN(I810)-1)="","",OFFSET('4. Work'!$A$1,ROW(I810)-1,COLUMN(I810)-1))</f>
        <v/>
      </c>
      <c r="T810" s="3" t="str">
        <f ca="1">IF(A810&lt;&gt;"",MAX('Initiative Indirect'!$T:$T)+(ROW(A810)-1),"")</f>
        <v/>
      </c>
      <c r="U810" s="3" t="str">
        <f ca="1">IF(B810&lt;&gt;"",INDEX('Initiative Indirect'!$T:$T,MATCH(B810,'Initiative Indirect'!$A:$A,0)),"")</f>
        <v/>
      </c>
      <c r="V810" s="3" t="str">
        <f ca="1">IF(C810&lt;&gt;"",INDEX('Team Indirect'!$T:$T,MATCH(C810,'Team Indirect'!$A:$A,0)),"")</f>
        <v/>
      </c>
      <c r="W810" s="3"/>
      <c r="X810" s="3"/>
      <c r="Y810" s="3" t="str">
        <f ca="1">IF($C810&lt;&gt;"",INDEX('Team Indirect'!$D:$D,MATCH($C810,'Team Indirect'!$A:$A,0)),"")</f>
        <v/>
      </c>
      <c r="Z810" s="3" t="str">
        <f ca="1">IF($C810&lt;&gt;"",INDEX('Team Indirect'!$E:$E,MATCH($C810,'Team Indirect'!$A:$A,0)),"")</f>
        <v/>
      </c>
      <c r="AA810" s="3" t="str">
        <f ca="1">IF($C810&lt;&gt;"",INDEX('Team Indirect'!$F:$F,MATCH($C810,'Team Indirect'!$A:$A,0)),"")</f>
        <v/>
      </c>
      <c r="AB810" s="3" t="str">
        <f t="shared" ca="1" si="12"/>
        <v/>
      </c>
      <c r="AC810" s="3">
        <f ca="1">IF(OR(AllocationUnits="Stories", AllocationUnits="Points"),'Work Indirect'!F810,F810/MAX('Work Indirect'!AB810,1))</f>
        <v>1</v>
      </c>
    </row>
    <row r="811" spans="1:29"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7" t="str">
        <f ca="1">IF(OFFSET('4. Work'!$A$1,ROW(D811)-1,COLUMN(D811)-1)="","",OFFSET('4. Work'!$A$1,ROW(D811)-1,COLUMN(D811)-1))</f>
        <v/>
      </c>
      <c r="E811" s="147"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I811" s="3" t="str">
        <f ca="1">IF(OFFSET('4. Work'!$A$1,ROW(I811)-1,COLUMN(I811)-1)="","",OFFSET('4. Work'!$A$1,ROW(I811)-1,COLUMN(I811)-1))</f>
        <v/>
      </c>
      <c r="T811" s="3" t="str">
        <f ca="1">IF(A811&lt;&gt;"",MAX('Initiative Indirect'!$T:$T)+(ROW(A811)-1),"")</f>
        <v/>
      </c>
      <c r="U811" s="3" t="str">
        <f ca="1">IF(B811&lt;&gt;"",INDEX('Initiative Indirect'!$T:$T,MATCH(B811,'Initiative Indirect'!$A:$A,0)),"")</f>
        <v/>
      </c>
      <c r="V811" s="3" t="str">
        <f ca="1">IF(C811&lt;&gt;"",INDEX('Team Indirect'!$T:$T,MATCH(C811,'Team Indirect'!$A:$A,0)),"")</f>
        <v/>
      </c>
      <c r="W811" s="3"/>
      <c r="X811" s="3"/>
      <c r="Y811" s="3" t="str">
        <f ca="1">IF($C811&lt;&gt;"",INDEX('Team Indirect'!$D:$D,MATCH($C811,'Team Indirect'!$A:$A,0)),"")</f>
        <v/>
      </c>
      <c r="Z811" s="3" t="str">
        <f ca="1">IF($C811&lt;&gt;"",INDEX('Team Indirect'!$E:$E,MATCH($C811,'Team Indirect'!$A:$A,0)),"")</f>
        <v/>
      </c>
      <c r="AA811" s="3" t="str">
        <f ca="1">IF($C811&lt;&gt;"",INDEX('Team Indirect'!$F:$F,MATCH($C811,'Team Indirect'!$A:$A,0)),"")</f>
        <v/>
      </c>
      <c r="AB811" s="3" t="str">
        <f t="shared" ca="1" si="12"/>
        <v/>
      </c>
      <c r="AC811" s="3">
        <f ca="1">IF(OR(AllocationUnits="Stories", AllocationUnits="Points"),'Work Indirect'!F811,F811/MAX('Work Indirect'!AB811,1))</f>
        <v>1</v>
      </c>
    </row>
    <row r="812" spans="1:29"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7" t="str">
        <f ca="1">IF(OFFSET('4. Work'!$A$1,ROW(D812)-1,COLUMN(D812)-1)="","",OFFSET('4. Work'!$A$1,ROW(D812)-1,COLUMN(D812)-1))</f>
        <v/>
      </c>
      <c r="E812" s="147"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I812" s="3" t="str">
        <f ca="1">IF(OFFSET('4. Work'!$A$1,ROW(I812)-1,COLUMN(I812)-1)="","",OFFSET('4. Work'!$A$1,ROW(I812)-1,COLUMN(I812)-1))</f>
        <v/>
      </c>
      <c r="T812" s="3" t="str">
        <f ca="1">IF(A812&lt;&gt;"",MAX('Initiative Indirect'!$T:$T)+(ROW(A812)-1),"")</f>
        <v/>
      </c>
      <c r="U812" s="3" t="str">
        <f ca="1">IF(B812&lt;&gt;"",INDEX('Initiative Indirect'!$T:$T,MATCH(B812,'Initiative Indirect'!$A:$A,0)),"")</f>
        <v/>
      </c>
      <c r="V812" s="3" t="str">
        <f ca="1">IF(C812&lt;&gt;"",INDEX('Team Indirect'!$T:$T,MATCH(C812,'Team Indirect'!$A:$A,0)),"")</f>
        <v/>
      </c>
      <c r="W812" s="3"/>
      <c r="X812" s="3"/>
      <c r="Y812" s="3" t="str">
        <f ca="1">IF($C812&lt;&gt;"",INDEX('Team Indirect'!$D:$D,MATCH($C812,'Team Indirect'!$A:$A,0)),"")</f>
        <v/>
      </c>
      <c r="Z812" s="3" t="str">
        <f ca="1">IF($C812&lt;&gt;"",INDEX('Team Indirect'!$E:$E,MATCH($C812,'Team Indirect'!$A:$A,0)),"")</f>
        <v/>
      </c>
      <c r="AA812" s="3" t="str">
        <f ca="1">IF($C812&lt;&gt;"",INDEX('Team Indirect'!$F:$F,MATCH($C812,'Team Indirect'!$A:$A,0)),"")</f>
        <v/>
      </c>
      <c r="AB812" s="3" t="str">
        <f t="shared" ca="1" si="12"/>
        <v/>
      </c>
      <c r="AC812" s="3">
        <f ca="1">IF(OR(AllocationUnits="Stories", AllocationUnits="Points"),'Work Indirect'!F812,F812/MAX('Work Indirect'!AB812,1))</f>
        <v>1</v>
      </c>
    </row>
    <row r="813" spans="1:29"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7" t="str">
        <f ca="1">IF(OFFSET('4. Work'!$A$1,ROW(D813)-1,COLUMN(D813)-1)="","",OFFSET('4. Work'!$A$1,ROW(D813)-1,COLUMN(D813)-1))</f>
        <v/>
      </c>
      <c r="E813" s="147"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I813" s="3" t="str">
        <f ca="1">IF(OFFSET('4. Work'!$A$1,ROW(I813)-1,COLUMN(I813)-1)="","",OFFSET('4. Work'!$A$1,ROW(I813)-1,COLUMN(I813)-1))</f>
        <v/>
      </c>
      <c r="T813" s="3" t="str">
        <f ca="1">IF(A813&lt;&gt;"",MAX('Initiative Indirect'!$T:$T)+(ROW(A813)-1),"")</f>
        <v/>
      </c>
      <c r="U813" s="3" t="str">
        <f ca="1">IF(B813&lt;&gt;"",INDEX('Initiative Indirect'!$T:$T,MATCH(B813,'Initiative Indirect'!$A:$A,0)),"")</f>
        <v/>
      </c>
      <c r="V813" s="3" t="str">
        <f ca="1">IF(C813&lt;&gt;"",INDEX('Team Indirect'!$T:$T,MATCH(C813,'Team Indirect'!$A:$A,0)),"")</f>
        <v/>
      </c>
      <c r="W813" s="3"/>
      <c r="X813" s="3"/>
      <c r="Y813" s="3" t="str">
        <f ca="1">IF($C813&lt;&gt;"",INDEX('Team Indirect'!$D:$D,MATCH($C813,'Team Indirect'!$A:$A,0)),"")</f>
        <v/>
      </c>
      <c r="Z813" s="3" t="str">
        <f ca="1">IF($C813&lt;&gt;"",INDEX('Team Indirect'!$E:$E,MATCH($C813,'Team Indirect'!$A:$A,0)),"")</f>
        <v/>
      </c>
      <c r="AA813" s="3" t="str">
        <f ca="1">IF($C813&lt;&gt;"",INDEX('Team Indirect'!$F:$F,MATCH($C813,'Team Indirect'!$A:$A,0)),"")</f>
        <v/>
      </c>
      <c r="AB813" s="3" t="str">
        <f t="shared" ca="1" si="12"/>
        <v/>
      </c>
      <c r="AC813" s="3">
        <f ca="1">IF(OR(AllocationUnits="Stories", AllocationUnits="Points"),'Work Indirect'!F813,F813/MAX('Work Indirect'!AB813,1))</f>
        <v>1</v>
      </c>
    </row>
    <row r="814" spans="1:29"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7" t="str">
        <f ca="1">IF(OFFSET('4. Work'!$A$1,ROW(D814)-1,COLUMN(D814)-1)="","",OFFSET('4. Work'!$A$1,ROW(D814)-1,COLUMN(D814)-1))</f>
        <v/>
      </c>
      <c r="E814" s="147"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I814" s="3" t="str">
        <f ca="1">IF(OFFSET('4. Work'!$A$1,ROW(I814)-1,COLUMN(I814)-1)="","",OFFSET('4. Work'!$A$1,ROW(I814)-1,COLUMN(I814)-1))</f>
        <v/>
      </c>
      <c r="T814" s="3" t="str">
        <f ca="1">IF(A814&lt;&gt;"",MAX('Initiative Indirect'!$T:$T)+(ROW(A814)-1),"")</f>
        <v/>
      </c>
      <c r="U814" s="3" t="str">
        <f ca="1">IF(B814&lt;&gt;"",INDEX('Initiative Indirect'!$T:$T,MATCH(B814,'Initiative Indirect'!$A:$A,0)),"")</f>
        <v/>
      </c>
      <c r="V814" s="3" t="str">
        <f ca="1">IF(C814&lt;&gt;"",INDEX('Team Indirect'!$T:$T,MATCH(C814,'Team Indirect'!$A:$A,0)),"")</f>
        <v/>
      </c>
      <c r="W814" s="3"/>
      <c r="X814" s="3"/>
      <c r="Y814" s="3" t="str">
        <f ca="1">IF($C814&lt;&gt;"",INDEX('Team Indirect'!$D:$D,MATCH($C814,'Team Indirect'!$A:$A,0)),"")</f>
        <v/>
      </c>
      <c r="Z814" s="3" t="str">
        <f ca="1">IF($C814&lt;&gt;"",INDEX('Team Indirect'!$E:$E,MATCH($C814,'Team Indirect'!$A:$A,0)),"")</f>
        <v/>
      </c>
      <c r="AA814" s="3" t="str">
        <f ca="1">IF($C814&lt;&gt;"",INDEX('Team Indirect'!$F:$F,MATCH($C814,'Team Indirect'!$A:$A,0)),"")</f>
        <v/>
      </c>
      <c r="AB814" s="3" t="str">
        <f t="shared" ca="1" si="12"/>
        <v/>
      </c>
      <c r="AC814" s="3">
        <f ca="1">IF(OR(AllocationUnits="Stories", AllocationUnits="Points"),'Work Indirect'!F814,F814/MAX('Work Indirect'!AB814,1))</f>
        <v>1</v>
      </c>
    </row>
    <row r="815" spans="1:29"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7" t="str">
        <f ca="1">IF(OFFSET('4. Work'!$A$1,ROW(D815)-1,COLUMN(D815)-1)="","",OFFSET('4. Work'!$A$1,ROW(D815)-1,COLUMN(D815)-1))</f>
        <v/>
      </c>
      <c r="E815" s="147"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I815" s="3" t="str">
        <f ca="1">IF(OFFSET('4. Work'!$A$1,ROW(I815)-1,COLUMN(I815)-1)="","",OFFSET('4. Work'!$A$1,ROW(I815)-1,COLUMN(I815)-1))</f>
        <v/>
      </c>
      <c r="T815" s="3" t="str">
        <f ca="1">IF(A815&lt;&gt;"",MAX('Initiative Indirect'!$T:$T)+(ROW(A815)-1),"")</f>
        <v/>
      </c>
      <c r="U815" s="3" t="str">
        <f ca="1">IF(B815&lt;&gt;"",INDEX('Initiative Indirect'!$T:$T,MATCH(B815,'Initiative Indirect'!$A:$A,0)),"")</f>
        <v/>
      </c>
      <c r="V815" s="3" t="str">
        <f ca="1">IF(C815&lt;&gt;"",INDEX('Team Indirect'!$T:$T,MATCH(C815,'Team Indirect'!$A:$A,0)),"")</f>
        <v/>
      </c>
      <c r="W815" s="3"/>
      <c r="X815" s="3"/>
      <c r="Y815" s="3" t="str">
        <f ca="1">IF($C815&lt;&gt;"",INDEX('Team Indirect'!$D:$D,MATCH($C815,'Team Indirect'!$A:$A,0)),"")</f>
        <v/>
      </c>
      <c r="Z815" s="3" t="str">
        <f ca="1">IF($C815&lt;&gt;"",INDEX('Team Indirect'!$E:$E,MATCH($C815,'Team Indirect'!$A:$A,0)),"")</f>
        <v/>
      </c>
      <c r="AA815" s="3" t="str">
        <f ca="1">IF($C815&lt;&gt;"",INDEX('Team Indirect'!$F:$F,MATCH($C815,'Team Indirect'!$A:$A,0)),"")</f>
        <v/>
      </c>
      <c r="AB815" s="3" t="str">
        <f t="shared" ca="1" si="12"/>
        <v/>
      </c>
      <c r="AC815" s="3">
        <f ca="1">IF(OR(AllocationUnits="Stories", AllocationUnits="Points"),'Work Indirect'!F815,F815/MAX('Work Indirect'!AB815,1))</f>
        <v>1</v>
      </c>
    </row>
    <row r="816" spans="1:29"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7" t="str">
        <f ca="1">IF(OFFSET('4. Work'!$A$1,ROW(D816)-1,COLUMN(D816)-1)="","",OFFSET('4. Work'!$A$1,ROW(D816)-1,COLUMN(D816)-1))</f>
        <v/>
      </c>
      <c r="E816" s="147"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I816" s="3" t="str">
        <f ca="1">IF(OFFSET('4. Work'!$A$1,ROW(I816)-1,COLUMN(I816)-1)="","",OFFSET('4. Work'!$A$1,ROW(I816)-1,COLUMN(I816)-1))</f>
        <v/>
      </c>
      <c r="T816" s="3" t="str">
        <f ca="1">IF(A816&lt;&gt;"",MAX('Initiative Indirect'!$T:$T)+(ROW(A816)-1),"")</f>
        <v/>
      </c>
      <c r="U816" s="3" t="str">
        <f ca="1">IF(B816&lt;&gt;"",INDEX('Initiative Indirect'!$T:$T,MATCH(B816,'Initiative Indirect'!$A:$A,0)),"")</f>
        <v/>
      </c>
      <c r="V816" s="3" t="str">
        <f ca="1">IF(C816&lt;&gt;"",INDEX('Team Indirect'!$T:$T,MATCH(C816,'Team Indirect'!$A:$A,0)),"")</f>
        <v/>
      </c>
      <c r="W816" s="3"/>
      <c r="X816" s="3"/>
      <c r="Y816" s="3" t="str">
        <f ca="1">IF($C816&lt;&gt;"",INDEX('Team Indirect'!$D:$D,MATCH($C816,'Team Indirect'!$A:$A,0)),"")</f>
        <v/>
      </c>
      <c r="Z816" s="3" t="str">
        <f ca="1">IF($C816&lt;&gt;"",INDEX('Team Indirect'!$E:$E,MATCH($C816,'Team Indirect'!$A:$A,0)),"")</f>
        <v/>
      </c>
      <c r="AA816" s="3" t="str">
        <f ca="1">IF($C816&lt;&gt;"",INDEX('Team Indirect'!$F:$F,MATCH($C816,'Team Indirect'!$A:$A,0)),"")</f>
        <v/>
      </c>
      <c r="AB816" s="3" t="str">
        <f t="shared" ca="1" si="12"/>
        <v/>
      </c>
      <c r="AC816" s="3">
        <f ca="1">IF(OR(AllocationUnits="Stories", AllocationUnits="Points"),'Work Indirect'!F816,F816/MAX('Work Indirect'!AB816,1))</f>
        <v>1</v>
      </c>
    </row>
    <row r="817" spans="1:29"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7" t="str">
        <f ca="1">IF(OFFSET('4. Work'!$A$1,ROW(D817)-1,COLUMN(D817)-1)="","",OFFSET('4. Work'!$A$1,ROW(D817)-1,COLUMN(D817)-1))</f>
        <v/>
      </c>
      <c r="E817" s="147"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I817" s="3" t="str">
        <f ca="1">IF(OFFSET('4. Work'!$A$1,ROW(I817)-1,COLUMN(I817)-1)="","",OFFSET('4. Work'!$A$1,ROW(I817)-1,COLUMN(I817)-1))</f>
        <v/>
      </c>
      <c r="T817" s="3" t="str">
        <f ca="1">IF(A817&lt;&gt;"",MAX('Initiative Indirect'!$T:$T)+(ROW(A817)-1),"")</f>
        <v/>
      </c>
      <c r="U817" s="3" t="str">
        <f ca="1">IF(B817&lt;&gt;"",INDEX('Initiative Indirect'!$T:$T,MATCH(B817,'Initiative Indirect'!$A:$A,0)),"")</f>
        <v/>
      </c>
      <c r="V817" s="3" t="str">
        <f ca="1">IF(C817&lt;&gt;"",INDEX('Team Indirect'!$T:$T,MATCH(C817,'Team Indirect'!$A:$A,0)),"")</f>
        <v/>
      </c>
      <c r="W817" s="3"/>
      <c r="X817" s="3"/>
      <c r="Y817" s="3" t="str">
        <f ca="1">IF($C817&lt;&gt;"",INDEX('Team Indirect'!$D:$D,MATCH($C817,'Team Indirect'!$A:$A,0)),"")</f>
        <v/>
      </c>
      <c r="Z817" s="3" t="str">
        <f ca="1">IF($C817&lt;&gt;"",INDEX('Team Indirect'!$E:$E,MATCH($C817,'Team Indirect'!$A:$A,0)),"")</f>
        <v/>
      </c>
      <c r="AA817" s="3" t="str">
        <f ca="1">IF($C817&lt;&gt;"",INDEX('Team Indirect'!$F:$F,MATCH($C817,'Team Indirect'!$A:$A,0)),"")</f>
        <v/>
      </c>
      <c r="AB817" s="3" t="str">
        <f t="shared" ca="1" si="12"/>
        <v/>
      </c>
      <c r="AC817" s="3">
        <f ca="1">IF(OR(AllocationUnits="Stories", AllocationUnits="Points"),'Work Indirect'!F817,F817/MAX('Work Indirect'!AB817,1))</f>
        <v>1</v>
      </c>
    </row>
    <row r="818" spans="1:29"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7" t="str">
        <f ca="1">IF(OFFSET('4. Work'!$A$1,ROW(D818)-1,COLUMN(D818)-1)="","",OFFSET('4. Work'!$A$1,ROW(D818)-1,COLUMN(D818)-1))</f>
        <v/>
      </c>
      <c r="E818" s="147"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I818" s="3" t="str">
        <f ca="1">IF(OFFSET('4. Work'!$A$1,ROW(I818)-1,COLUMN(I818)-1)="","",OFFSET('4. Work'!$A$1,ROW(I818)-1,COLUMN(I818)-1))</f>
        <v/>
      </c>
      <c r="T818" s="3" t="str">
        <f ca="1">IF(A818&lt;&gt;"",MAX('Initiative Indirect'!$T:$T)+(ROW(A818)-1),"")</f>
        <v/>
      </c>
      <c r="U818" s="3" t="str">
        <f ca="1">IF(B818&lt;&gt;"",INDEX('Initiative Indirect'!$T:$T,MATCH(B818,'Initiative Indirect'!$A:$A,0)),"")</f>
        <v/>
      </c>
      <c r="V818" s="3" t="str">
        <f ca="1">IF(C818&lt;&gt;"",INDEX('Team Indirect'!$T:$T,MATCH(C818,'Team Indirect'!$A:$A,0)),"")</f>
        <v/>
      </c>
      <c r="W818" s="3"/>
      <c r="X818" s="3"/>
      <c r="Y818" s="3" t="str">
        <f ca="1">IF($C818&lt;&gt;"",INDEX('Team Indirect'!$D:$D,MATCH($C818,'Team Indirect'!$A:$A,0)),"")</f>
        <v/>
      </c>
      <c r="Z818" s="3" t="str">
        <f ca="1">IF($C818&lt;&gt;"",INDEX('Team Indirect'!$E:$E,MATCH($C818,'Team Indirect'!$A:$A,0)),"")</f>
        <v/>
      </c>
      <c r="AA818" s="3" t="str">
        <f ca="1">IF($C818&lt;&gt;"",INDEX('Team Indirect'!$F:$F,MATCH($C818,'Team Indirect'!$A:$A,0)),"")</f>
        <v/>
      </c>
      <c r="AB818" s="3" t="str">
        <f t="shared" ca="1" si="12"/>
        <v/>
      </c>
      <c r="AC818" s="3">
        <f ca="1">IF(OR(AllocationUnits="Stories", AllocationUnits="Points"),'Work Indirect'!F818,F818/MAX('Work Indirect'!AB818,1))</f>
        <v>1</v>
      </c>
    </row>
    <row r="819" spans="1:29"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7" t="str">
        <f ca="1">IF(OFFSET('4. Work'!$A$1,ROW(D819)-1,COLUMN(D819)-1)="","",OFFSET('4. Work'!$A$1,ROW(D819)-1,COLUMN(D819)-1))</f>
        <v/>
      </c>
      <c r="E819" s="147"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I819" s="3" t="str">
        <f ca="1">IF(OFFSET('4. Work'!$A$1,ROW(I819)-1,COLUMN(I819)-1)="","",OFFSET('4. Work'!$A$1,ROW(I819)-1,COLUMN(I819)-1))</f>
        <v/>
      </c>
      <c r="T819" s="3" t="str">
        <f ca="1">IF(A819&lt;&gt;"",MAX('Initiative Indirect'!$T:$T)+(ROW(A819)-1),"")</f>
        <v/>
      </c>
      <c r="U819" s="3" t="str">
        <f ca="1">IF(B819&lt;&gt;"",INDEX('Initiative Indirect'!$T:$T,MATCH(B819,'Initiative Indirect'!$A:$A,0)),"")</f>
        <v/>
      </c>
      <c r="V819" s="3" t="str">
        <f ca="1">IF(C819&lt;&gt;"",INDEX('Team Indirect'!$T:$T,MATCH(C819,'Team Indirect'!$A:$A,0)),"")</f>
        <v/>
      </c>
      <c r="W819" s="3"/>
      <c r="X819" s="3"/>
      <c r="Y819" s="3" t="str">
        <f ca="1">IF($C819&lt;&gt;"",INDEX('Team Indirect'!$D:$D,MATCH($C819,'Team Indirect'!$A:$A,0)),"")</f>
        <v/>
      </c>
      <c r="Z819" s="3" t="str">
        <f ca="1">IF($C819&lt;&gt;"",INDEX('Team Indirect'!$E:$E,MATCH($C819,'Team Indirect'!$A:$A,0)),"")</f>
        <v/>
      </c>
      <c r="AA819" s="3" t="str">
        <f ca="1">IF($C819&lt;&gt;"",INDEX('Team Indirect'!$F:$F,MATCH($C819,'Team Indirect'!$A:$A,0)),"")</f>
        <v/>
      </c>
      <c r="AB819" s="3" t="str">
        <f t="shared" ca="1" si="12"/>
        <v/>
      </c>
      <c r="AC819" s="3">
        <f ca="1">IF(OR(AllocationUnits="Stories", AllocationUnits="Points"),'Work Indirect'!F819,F819/MAX('Work Indirect'!AB819,1))</f>
        <v>1</v>
      </c>
    </row>
    <row r="820" spans="1:29"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7" t="str">
        <f ca="1">IF(OFFSET('4. Work'!$A$1,ROW(D820)-1,COLUMN(D820)-1)="","",OFFSET('4. Work'!$A$1,ROW(D820)-1,COLUMN(D820)-1))</f>
        <v/>
      </c>
      <c r="E820" s="147"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I820" s="3" t="str">
        <f ca="1">IF(OFFSET('4. Work'!$A$1,ROW(I820)-1,COLUMN(I820)-1)="","",OFFSET('4. Work'!$A$1,ROW(I820)-1,COLUMN(I820)-1))</f>
        <v/>
      </c>
      <c r="T820" s="3" t="str">
        <f ca="1">IF(A820&lt;&gt;"",MAX('Initiative Indirect'!$T:$T)+(ROW(A820)-1),"")</f>
        <v/>
      </c>
      <c r="U820" s="3" t="str">
        <f ca="1">IF(B820&lt;&gt;"",INDEX('Initiative Indirect'!$T:$T,MATCH(B820,'Initiative Indirect'!$A:$A,0)),"")</f>
        <v/>
      </c>
      <c r="V820" s="3" t="str">
        <f ca="1">IF(C820&lt;&gt;"",INDEX('Team Indirect'!$T:$T,MATCH(C820,'Team Indirect'!$A:$A,0)),"")</f>
        <v/>
      </c>
      <c r="W820" s="3"/>
      <c r="X820" s="3"/>
      <c r="Y820" s="3" t="str">
        <f ca="1">IF($C820&lt;&gt;"",INDEX('Team Indirect'!$D:$D,MATCH($C820,'Team Indirect'!$A:$A,0)),"")</f>
        <v/>
      </c>
      <c r="Z820" s="3" t="str">
        <f ca="1">IF($C820&lt;&gt;"",INDEX('Team Indirect'!$E:$E,MATCH($C820,'Team Indirect'!$A:$A,0)),"")</f>
        <v/>
      </c>
      <c r="AA820" s="3" t="str">
        <f ca="1">IF($C820&lt;&gt;"",INDEX('Team Indirect'!$F:$F,MATCH($C820,'Team Indirect'!$A:$A,0)),"")</f>
        <v/>
      </c>
      <c r="AB820" s="3" t="str">
        <f t="shared" ca="1" si="12"/>
        <v/>
      </c>
      <c r="AC820" s="3">
        <f ca="1">IF(OR(AllocationUnits="Stories", AllocationUnits="Points"),'Work Indirect'!F820,F820/MAX('Work Indirect'!AB820,1))</f>
        <v>1</v>
      </c>
    </row>
    <row r="821" spans="1:29"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7" t="str">
        <f ca="1">IF(OFFSET('4. Work'!$A$1,ROW(D821)-1,COLUMN(D821)-1)="","",OFFSET('4. Work'!$A$1,ROW(D821)-1,COLUMN(D821)-1))</f>
        <v/>
      </c>
      <c r="E821" s="147"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I821" s="3" t="str">
        <f ca="1">IF(OFFSET('4. Work'!$A$1,ROW(I821)-1,COLUMN(I821)-1)="","",OFFSET('4. Work'!$A$1,ROW(I821)-1,COLUMN(I821)-1))</f>
        <v/>
      </c>
      <c r="T821" s="3" t="str">
        <f ca="1">IF(A821&lt;&gt;"",MAX('Initiative Indirect'!$T:$T)+(ROW(A821)-1),"")</f>
        <v/>
      </c>
      <c r="U821" s="3" t="str">
        <f ca="1">IF(B821&lt;&gt;"",INDEX('Initiative Indirect'!$T:$T,MATCH(B821,'Initiative Indirect'!$A:$A,0)),"")</f>
        <v/>
      </c>
      <c r="V821" s="3" t="str">
        <f ca="1">IF(C821&lt;&gt;"",INDEX('Team Indirect'!$T:$T,MATCH(C821,'Team Indirect'!$A:$A,0)),"")</f>
        <v/>
      </c>
      <c r="W821" s="3"/>
      <c r="X821" s="3"/>
      <c r="Y821" s="3" t="str">
        <f ca="1">IF($C821&lt;&gt;"",INDEX('Team Indirect'!$D:$D,MATCH($C821,'Team Indirect'!$A:$A,0)),"")</f>
        <v/>
      </c>
      <c r="Z821" s="3" t="str">
        <f ca="1">IF($C821&lt;&gt;"",INDEX('Team Indirect'!$E:$E,MATCH($C821,'Team Indirect'!$A:$A,0)),"")</f>
        <v/>
      </c>
      <c r="AA821" s="3" t="str">
        <f ca="1">IF($C821&lt;&gt;"",INDEX('Team Indirect'!$F:$F,MATCH($C821,'Team Indirect'!$A:$A,0)),"")</f>
        <v/>
      </c>
      <c r="AB821" s="3" t="str">
        <f t="shared" ca="1" si="12"/>
        <v/>
      </c>
      <c r="AC821" s="3">
        <f ca="1">IF(OR(AllocationUnits="Stories", AllocationUnits="Points"),'Work Indirect'!F821,F821/MAX('Work Indirect'!AB821,1))</f>
        <v>1</v>
      </c>
    </row>
    <row r="822" spans="1:29"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7" t="str">
        <f ca="1">IF(OFFSET('4. Work'!$A$1,ROW(D822)-1,COLUMN(D822)-1)="","",OFFSET('4. Work'!$A$1,ROW(D822)-1,COLUMN(D822)-1))</f>
        <v/>
      </c>
      <c r="E822" s="147"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I822" s="3" t="str">
        <f ca="1">IF(OFFSET('4. Work'!$A$1,ROW(I822)-1,COLUMN(I822)-1)="","",OFFSET('4. Work'!$A$1,ROW(I822)-1,COLUMN(I822)-1))</f>
        <v/>
      </c>
      <c r="T822" s="3" t="str">
        <f ca="1">IF(A822&lt;&gt;"",MAX('Initiative Indirect'!$T:$T)+(ROW(A822)-1),"")</f>
        <v/>
      </c>
      <c r="U822" s="3" t="str">
        <f ca="1">IF(B822&lt;&gt;"",INDEX('Initiative Indirect'!$T:$T,MATCH(B822,'Initiative Indirect'!$A:$A,0)),"")</f>
        <v/>
      </c>
      <c r="V822" s="3" t="str">
        <f ca="1">IF(C822&lt;&gt;"",INDEX('Team Indirect'!$T:$T,MATCH(C822,'Team Indirect'!$A:$A,0)),"")</f>
        <v/>
      </c>
      <c r="W822" s="3"/>
      <c r="X822" s="3"/>
      <c r="Y822" s="3" t="str">
        <f ca="1">IF($C822&lt;&gt;"",INDEX('Team Indirect'!$D:$D,MATCH($C822,'Team Indirect'!$A:$A,0)),"")</f>
        <v/>
      </c>
      <c r="Z822" s="3" t="str">
        <f ca="1">IF($C822&lt;&gt;"",INDEX('Team Indirect'!$E:$E,MATCH($C822,'Team Indirect'!$A:$A,0)),"")</f>
        <v/>
      </c>
      <c r="AA822" s="3" t="str">
        <f ca="1">IF($C822&lt;&gt;"",INDEX('Team Indirect'!$F:$F,MATCH($C822,'Team Indirect'!$A:$A,0)),"")</f>
        <v/>
      </c>
      <c r="AB822" s="3" t="str">
        <f t="shared" ca="1" si="12"/>
        <v/>
      </c>
      <c r="AC822" s="3">
        <f ca="1">IF(OR(AllocationUnits="Stories", AllocationUnits="Points"),'Work Indirect'!F822,F822/MAX('Work Indirect'!AB822,1))</f>
        <v>1</v>
      </c>
    </row>
    <row r="823" spans="1:29"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7" t="str">
        <f ca="1">IF(OFFSET('4. Work'!$A$1,ROW(D823)-1,COLUMN(D823)-1)="","",OFFSET('4. Work'!$A$1,ROW(D823)-1,COLUMN(D823)-1))</f>
        <v/>
      </c>
      <c r="E823" s="147"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I823" s="3" t="str">
        <f ca="1">IF(OFFSET('4. Work'!$A$1,ROW(I823)-1,COLUMN(I823)-1)="","",OFFSET('4. Work'!$A$1,ROW(I823)-1,COLUMN(I823)-1))</f>
        <v/>
      </c>
      <c r="T823" s="3" t="str">
        <f ca="1">IF(A823&lt;&gt;"",MAX('Initiative Indirect'!$T:$T)+(ROW(A823)-1),"")</f>
        <v/>
      </c>
      <c r="U823" s="3" t="str">
        <f ca="1">IF(B823&lt;&gt;"",INDEX('Initiative Indirect'!$T:$T,MATCH(B823,'Initiative Indirect'!$A:$A,0)),"")</f>
        <v/>
      </c>
      <c r="V823" s="3" t="str">
        <f ca="1">IF(C823&lt;&gt;"",INDEX('Team Indirect'!$T:$T,MATCH(C823,'Team Indirect'!$A:$A,0)),"")</f>
        <v/>
      </c>
      <c r="W823" s="3"/>
      <c r="X823" s="3"/>
      <c r="Y823" s="3" t="str">
        <f ca="1">IF($C823&lt;&gt;"",INDEX('Team Indirect'!$D:$D,MATCH($C823,'Team Indirect'!$A:$A,0)),"")</f>
        <v/>
      </c>
      <c r="Z823" s="3" t="str">
        <f ca="1">IF($C823&lt;&gt;"",INDEX('Team Indirect'!$E:$E,MATCH($C823,'Team Indirect'!$A:$A,0)),"")</f>
        <v/>
      </c>
      <c r="AA823" s="3" t="str">
        <f ca="1">IF($C823&lt;&gt;"",INDEX('Team Indirect'!$F:$F,MATCH($C823,'Team Indirect'!$A:$A,0)),"")</f>
        <v/>
      </c>
      <c r="AB823" s="3" t="str">
        <f t="shared" ca="1" si="12"/>
        <v/>
      </c>
      <c r="AC823" s="3">
        <f ca="1">IF(OR(AllocationUnits="Stories", AllocationUnits="Points"),'Work Indirect'!F823,F823/MAX('Work Indirect'!AB823,1))</f>
        <v>1</v>
      </c>
    </row>
    <row r="824" spans="1:29"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7" t="str">
        <f ca="1">IF(OFFSET('4. Work'!$A$1,ROW(D824)-1,COLUMN(D824)-1)="","",OFFSET('4. Work'!$A$1,ROW(D824)-1,COLUMN(D824)-1))</f>
        <v/>
      </c>
      <c r="E824" s="147"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I824" s="3" t="str">
        <f ca="1">IF(OFFSET('4. Work'!$A$1,ROW(I824)-1,COLUMN(I824)-1)="","",OFFSET('4. Work'!$A$1,ROW(I824)-1,COLUMN(I824)-1))</f>
        <v/>
      </c>
      <c r="T824" s="3" t="str">
        <f ca="1">IF(A824&lt;&gt;"",MAX('Initiative Indirect'!$T:$T)+(ROW(A824)-1),"")</f>
        <v/>
      </c>
      <c r="U824" s="3" t="str">
        <f ca="1">IF(B824&lt;&gt;"",INDEX('Initiative Indirect'!$T:$T,MATCH(B824,'Initiative Indirect'!$A:$A,0)),"")</f>
        <v/>
      </c>
      <c r="V824" s="3" t="str">
        <f ca="1">IF(C824&lt;&gt;"",INDEX('Team Indirect'!$T:$T,MATCH(C824,'Team Indirect'!$A:$A,0)),"")</f>
        <v/>
      </c>
      <c r="W824" s="3"/>
      <c r="X824" s="3"/>
      <c r="Y824" s="3" t="str">
        <f ca="1">IF($C824&lt;&gt;"",INDEX('Team Indirect'!$D:$D,MATCH($C824,'Team Indirect'!$A:$A,0)),"")</f>
        <v/>
      </c>
      <c r="Z824" s="3" t="str">
        <f ca="1">IF($C824&lt;&gt;"",INDEX('Team Indirect'!$E:$E,MATCH($C824,'Team Indirect'!$A:$A,0)),"")</f>
        <v/>
      </c>
      <c r="AA824" s="3" t="str">
        <f ca="1">IF($C824&lt;&gt;"",INDEX('Team Indirect'!$F:$F,MATCH($C824,'Team Indirect'!$A:$A,0)),"")</f>
        <v/>
      </c>
      <c r="AB824" s="3" t="str">
        <f t="shared" ca="1" si="12"/>
        <v/>
      </c>
      <c r="AC824" s="3">
        <f ca="1">IF(OR(AllocationUnits="Stories", AllocationUnits="Points"),'Work Indirect'!F824,F824/MAX('Work Indirect'!AB824,1))</f>
        <v>1</v>
      </c>
    </row>
    <row r="825" spans="1:29"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7" t="str">
        <f ca="1">IF(OFFSET('4. Work'!$A$1,ROW(D825)-1,COLUMN(D825)-1)="","",OFFSET('4. Work'!$A$1,ROW(D825)-1,COLUMN(D825)-1))</f>
        <v/>
      </c>
      <c r="E825" s="147"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I825" s="3" t="str">
        <f ca="1">IF(OFFSET('4. Work'!$A$1,ROW(I825)-1,COLUMN(I825)-1)="","",OFFSET('4. Work'!$A$1,ROW(I825)-1,COLUMN(I825)-1))</f>
        <v/>
      </c>
      <c r="T825" s="3" t="str">
        <f ca="1">IF(A825&lt;&gt;"",MAX('Initiative Indirect'!$T:$T)+(ROW(A825)-1),"")</f>
        <v/>
      </c>
      <c r="U825" s="3" t="str">
        <f ca="1">IF(B825&lt;&gt;"",INDEX('Initiative Indirect'!$T:$T,MATCH(B825,'Initiative Indirect'!$A:$A,0)),"")</f>
        <v/>
      </c>
      <c r="V825" s="3" t="str">
        <f ca="1">IF(C825&lt;&gt;"",INDEX('Team Indirect'!$T:$T,MATCH(C825,'Team Indirect'!$A:$A,0)),"")</f>
        <v/>
      </c>
      <c r="W825" s="3"/>
      <c r="X825" s="3"/>
      <c r="Y825" s="3" t="str">
        <f ca="1">IF($C825&lt;&gt;"",INDEX('Team Indirect'!$D:$D,MATCH($C825,'Team Indirect'!$A:$A,0)),"")</f>
        <v/>
      </c>
      <c r="Z825" s="3" t="str">
        <f ca="1">IF($C825&lt;&gt;"",INDEX('Team Indirect'!$E:$E,MATCH($C825,'Team Indirect'!$A:$A,0)),"")</f>
        <v/>
      </c>
      <c r="AA825" s="3" t="str">
        <f ca="1">IF($C825&lt;&gt;"",INDEX('Team Indirect'!$F:$F,MATCH($C825,'Team Indirect'!$A:$A,0)),"")</f>
        <v/>
      </c>
      <c r="AB825" s="3" t="str">
        <f t="shared" ca="1" si="12"/>
        <v/>
      </c>
      <c r="AC825" s="3">
        <f ca="1">IF(OR(AllocationUnits="Stories", AllocationUnits="Points"),'Work Indirect'!F825,F825/MAX('Work Indirect'!AB825,1))</f>
        <v>1</v>
      </c>
    </row>
    <row r="826" spans="1:29"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7" t="str">
        <f ca="1">IF(OFFSET('4. Work'!$A$1,ROW(D826)-1,COLUMN(D826)-1)="","",OFFSET('4. Work'!$A$1,ROW(D826)-1,COLUMN(D826)-1))</f>
        <v/>
      </c>
      <c r="E826" s="147"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I826" s="3" t="str">
        <f ca="1">IF(OFFSET('4. Work'!$A$1,ROW(I826)-1,COLUMN(I826)-1)="","",OFFSET('4. Work'!$A$1,ROW(I826)-1,COLUMN(I826)-1))</f>
        <v/>
      </c>
      <c r="T826" s="3" t="str">
        <f ca="1">IF(A826&lt;&gt;"",MAX('Initiative Indirect'!$T:$T)+(ROW(A826)-1),"")</f>
        <v/>
      </c>
      <c r="U826" s="3" t="str">
        <f ca="1">IF(B826&lt;&gt;"",INDEX('Initiative Indirect'!$T:$T,MATCH(B826,'Initiative Indirect'!$A:$A,0)),"")</f>
        <v/>
      </c>
      <c r="V826" s="3" t="str">
        <f ca="1">IF(C826&lt;&gt;"",INDEX('Team Indirect'!$T:$T,MATCH(C826,'Team Indirect'!$A:$A,0)),"")</f>
        <v/>
      </c>
      <c r="W826" s="3"/>
      <c r="X826" s="3"/>
      <c r="Y826" s="3" t="str">
        <f ca="1">IF($C826&lt;&gt;"",INDEX('Team Indirect'!$D:$D,MATCH($C826,'Team Indirect'!$A:$A,0)),"")</f>
        <v/>
      </c>
      <c r="Z826" s="3" t="str">
        <f ca="1">IF($C826&lt;&gt;"",INDEX('Team Indirect'!$E:$E,MATCH($C826,'Team Indirect'!$A:$A,0)),"")</f>
        <v/>
      </c>
      <c r="AA826" s="3" t="str">
        <f ca="1">IF($C826&lt;&gt;"",INDEX('Team Indirect'!$F:$F,MATCH($C826,'Team Indirect'!$A:$A,0)),"")</f>
        <v/>
      </c>
      <c r="AB826" s="3" t="str">
        <f t="shared" ca="1" si="12"/>
        <v/>
      </c>
      <c r="AC826" s="3">
        <f ca="1">IF(OR(AllocationUnits="Stories", AllocationUnits="Points"),'Work Indirect'!F826,F826/MAX('Work Indirect'!AB826,1))</f>
        <v>1</v>
      </c>
    </row>
    <row r="827" spans="1:29"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7" t="str">
        <f ca="1">IF(OFFSET('4. Work'!$A$1,ROW(D827)-1,COLUMN(D827)-1)="","",OFFSET('4. Work'!$A$1,ROW(D827)-1,COLUMN(D827)-1))</f>
        <v/>
      </c>
      <c r="E827" s="147"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I827" s="3" t="str">
        <f ca="1">IF(OFFSET('4. Work'!$A$1,ROW(I827)-1,COLUMN(I827)-1)="","",OFFSET('4. Work'!$A$1,ROW(I827)-1,COLUMN(I827)-1))</f>
        <v/>
      </c>
      <c r="T827" s="3" t="str">
        <f ca="1">IF(A827&lt;&gt;"",MAX('Initiative Indirect'!$T:$T)+(ROW(A827)-1),"")</f>
        <v/>
      </c>
      <c r="U827" s="3" t="str">
        <f ca="1">IF(B827&lt;&gt;"",INDEX('Initiative Indirect'!$T:$T,MATCH(B827,'Initiative Indirect'!$A:$A,0)),"")</f>
        <v/>
      </c>
      <c r="V827" s="3" t="str">
        <f ca="1">IF(C827&lt;&gt;"",INDEX('Team Indirect'!$T:$T,MATCH(C827,'Team Indirect'!$A:$A,0)),"")</f>
        <v/>
      </c>
      <c r="W827" s="3"/>
      <c r="X827" s="3"/>
      <c r="Y827" s="3" t="str">
        <f ca="1">IF($C827&lt;&gt;"",INDEX('Team Indirect'!$D:$D,MATCH($C827,'Team Indirect'!$A:$A,0)),"")</f>
        <v/>
      </c>
      <c r="Z827" s="3" t="str">
        <f ca="1">IF($C827&lt;&gt;"",INDEX('Team Indirect'!$E:$E,MATCH($C827,'Team Indirect'!$A:$A,0)),"")</f>
        <v/>
      </c>
      <c r="AA827" s="3" t="str">
        <f ca="1">IF($C827&lt;&gt;"",INDEX('Team Indirect'!$F:$F,MATCH($C827,'Team Indirect'!$A:$A,0)),"")</f>
        <v/>
      </c>
      <c r="AB827" s="3" t="str">
        <f t="shared" ca="1" si="12"/>
        <v/>
      </c>
      <c r="AC827" s="3">
        <f ca="1">IF(OR(AllocationUnits="Stories", AllocationUnits="Points"),'Work Indirect'!F827,F827/MAX('Work Indirect'!AB827,1))</f>
        <v>1</v>
      </c>
    </row>
    <row r="828" spans="1:29"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7" t="str">
        <f ca="1">IF(OFFSET('4. Work'!$A$1,ROW(D828)-1,COLUMN(D828)-1)="","",OFFSET('4. Work'!$A$1,ROW(D828)-1,COLUMN(D828)-1))</f>
        <v/>
      </c>
      <c r="E828" s="147"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I828" s="3" t="str">
        <f ca="1">IF(OFFSET('4. Work'!$A$1,ROW(I828)-1,COLUMN(I828)-1)="","",OFFSET('4. Work'!$A$1,ROW(I828)-1,COLUMN(I828)-1))</f>
        <v/>
      </c>
      <c r="T828" s="3" t="str">
        <f ca="1">IF(A828&lt;&gt;"",MAX('Initiative Indirect'!$T:$T)+(ROW(A828)-1),"")</f>
        <v/>
      </c>
      <c r="U828" s="3" t="str">
        <f ca="1">IF(B828&lt;&gt;"",INDEX('Initiative Indirect'!$T:$T,MATCH(B828,'Initiative Indirect'!$A:$A,0)),"")</f>
        <v/>
      </c>
      <c r="V828" s="3" t="str">
        <f ca="1">IF(C828&lt;&gt;"",INDEX('Team Indirect'!$T:$T,MATCH(C828,'Team Indirect'!$A:$A,0)),"")</f>
        <v/>
      </c>
      <c r="W828" s="3"/>
      <c r="X828" s="3"/>
      <c r="Y828" s="3" t="str">
        <f ca="1">IF($C828&lt;&gt;"",INDEX('Team Indirect'!$D:$D,MATCH($C828,'Team Indirect'!$A:$A,0)),"")</f>
        <v/>
      </c>
      <c r="Z828" s="3" t="str">
        <f ca="1">IF($C828&lt;&gt;"",INDEX('Team Indirect'!$E:$E,MATCH($C828,'Team Indirect'!$A:$A,0)),"")</f>
        <v/>
      </c>
      <c r="AA828" s="3" t="str">
        <f ca="1">IF($C828&lt;&gt;"",INDEX('Team Indirect'!$F:$F,MATCH($C828,'Team Indirect'!$A:$A,0)),"")</f>
        <v/>
      </c>
      <c r="AB828" s="3" t="str">
        <f t="shared" ca="1" si="12"/>
        <v/>
      </c>
      <c r="AC828" s="3">
        <f ca="1">IF(OR(AllocationUnits="Stories", AllocationUnits="Points"),'Work Indirect'!F828,F828/MAX('Work Indirect'!AB828,1))</f>
        <v>1</v>
      </c>
    </row>
    <row r="829" spans="1:29"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7" t="str">
        <f ca="1">IF(OFFSET('4. Work'!$A$1,ROW(D829)-1,COLUMN(D829)-1)="","",OFFSET('4. Work'!$A$1,ROW(D829)-1,COLUMN(D829)-1))</f>
        <v/>
      </c>
      <c r="E829" s="147"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I829" s="3" t="str">
        <f ca="1">IF(OFFSET('4. Work'!$A$1,ROW(I829)-1,COLUMN(I829)-1)="","",OFFSET('4. Work'!$A$1,ROW(I829)-1,COLUMN(I829)-1))</f>
        <v/>
      </c>
      <c r="T829" s="3" t="str">
        <f ca="1">IF(A829&lt;&gt;"",MAX('Initiative Indirect'!$T:$T)+(ROW(A829)-1),"")</f>
        <v/>
      </c>
      <c r="U829" s="3" t="str">
        <f ca="1">IF(B829&lt;&gt;"",INDEX('Initiative Indirect'!$T:$T,MATCH(B829,'Initiative Indirect'!$A:$A,0)),"")</f>
        <v/>
      </c>
      <c r="V829" s="3" t="str">
        <f ca="1">IF(C829&lt;&gt;"",INDEX('Team Indirect'!$T:$T,MATCH(C829,'Team Indirect'!$A:$A,0)),"")</f>
        <v/>
      </c>
      <c r="W829" s="3"/>
      <c r="X829" s="3"/>
      <c r="Y829" s="3" t="str">
        <f ca="1">IF($C829&lt;&gt;"",INDEX('Team Indirect'!$D:$D,MATCH($C829,'Team Indirect'!$A:$A,0)),"")</f>
        <v/>
      </c>
      <c r="Z829" s="3" t="str">
        <f ca="1">IF($C829&lt;&gt;"",INDEX('Team Indirect'!$E:$E,MATCH($C829,'Team Indirect'!$A:$A,0)),"")</f>
        <v/>
      </c>
      <c r="AA829" s="3" t="str">
        <f ca="1">IF($C829&lt;&gt;"",INDEX('Team Indirect'!$F:$F,MATCH($C829,'Team Indirect'!$A:$A,0)),"")</f>
        <v/>
      </c>
      <c r="AB829" s="3" t="str">
        <f t="shared" ca="1" si="12"/>
        <v/>
      </c>
      <c r="AC829" s="3">
        <f ca="1">IF(OR(AllocationUnits="Stories", AllocationUnits="Points"),'Work Indirect'!F829,F829/MAX('Work Indirect'!AB829,1))</f>
        <v>1</v>
      </c>
    </row>
    <row r="830" spans="1:29"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7" t="str">
        <f ca="1">IF(OFFSET('4. Work'!$A$1,ROW(D830)-1,COLUMN(D830)-1)="","",OFFSET('4. Work'!$A$1,ROW(D830)-1,COLUMN(D830)-1))</f>
        <v/>
      </c>
      <c r="E830" s="147"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I830" s="3" t="str">
        <f ca="1">IF(OFFSET('4. Work'!$A$1,ROW(I830)-1,COLUMN(I830)-1)="","",OFFSET('4. Work'!$A$1,ROW(I830)-1,COLUMN(I830)-1))</f>
        <v/>
      </c>
      <c r="T830" s="3" t="str">
        <f ca="1">IF(A830&lt;&gt;"",MAX('Initiative Indirect'!$T:$T)+(ROW(A830)-1),"")</f>
        <v/>
      </c>
      <c r="U830" s="3" t="str">
        <f ca="1">IF(B830&lt;&gt;"",INDEX('Initiative Indirect'!$T:$T,MATCH(B830,'Initiative Indirect'!$A:$A,0)),"")</f>
        <v/>
      </c>
      <c r="V830" s="3" t="str">
        <f ca="1">IF(C830&lt;&gt;"",INDEX('Team Indirect'!$T:$T,MATCH(C830,'Team Indirect'!$A:$A,0)),"")</f>
        <v/>
      </c>
      <c r="W830" s="3"/>
      <c r="X830" s="3"/>
      <c r="Y830" s="3" t="str">
        <f ca="1">IF($C830&lt;&gt;"",INDEX('Team Indirect'!$D:$D,MATCH($C830,'Team Indirect'!$A:$A,0)),"")</f>
        <v/>
      </c>
      <c r="Z830" s="3" t="str">
        <f ca="1">IF($C830&lt;&gt;"",INDEX('Team Indirect'!$E:$E,MATCH($C830,'Team Indirect'!$A:$A,0)),"")</f>
        <v/>
      </c>
      <c r="AA830" s="3" t="str">
        <f ca="1">IF($C830&lt;&gt;"",INDEX('Team Indirect'!$F:$F,MATCH($C830,'Team Indirect'!$A:$A,0)),"")</f>
        <v/>
      </c>
      <c r="AB830" s="3" t="str">
        <f t="shared" ca="1" si="12"/>
        <v/>
      </c>
      <c r="AC830" s="3">
        <f ca="1">IF(OR(AllocationUnits="Stories", AllocationUnits="Points"),'Work Indirect'!F830,F830/MAX('Work Indirect'!AB830,1))</f>
        <v>1</v>
      </c>
    </row>
    <row r="831" spans="1:29"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7" t="str">
        <f ca="1">IF(OFFSET('4. Work'!$A$1,ROW(D831)-1,COLUMN(D831)-1)="","",OFFSET('4. Work'!$A$1,ROW(D831)-1,COLUMN(D831)-1))</f>
        <v/>
      </c>
      <c r="E831" s="147"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I831" s="3" t="str">
        <f ca="1">IF(OFFSET('4. Work'!$A$1,ROW(I831)-1,COLUMN(I831)-1)="","",OFFSET('4. Work'!$A$1,ROW(I831)-1,COLUMN(I831)-1))</f>
        <v/>
      </c>
      <c r="T831" s="3" t="str">
        <f ca="1">IF(A831&lt;&gt;"",MAX('Initiative Indirect'!$T:$T)+(ROW(A831)-1),"")</f>
        <v/>
      </c>
      <c r="U831" s="3" t="str">
        <f ca="1">IF(B831&lt;&gt;"",INDEX('Initiative Indirect'!$T:$T,MATCH(B831,'Initiative Indirect'!$A:$A,0)),"")</f>
        <v/>
      </c>
      <c r="V831" s="3" t="str">
        <f ca="1">IF(C831&lt;&gt;"",INDEX('Team Indirect'!$T:$T,MATCH(C831,'Team Indirect'!$A:$A,0)),"")</f>
        <v/>
      </c>
      <c r="W831" s="3"/>
      <c r="X831" s="3"/>
      <c r="Y831" s="3" t="str">
        <f ca="1">IF($C831&lt;&gt;"",INDEX('Team Indirect'!$D:$D,MATCH($C831,'Team Indirect'!$A:$A,0)),"")</f>
        <v/>
      </c>
      <c r="Z831" s="3" t="str">
        <f ca="1">IF($C831&lt;&gt;"",INDEX('Team Indirect'!$E:$E,MATCH($C831,'Team Indirect'!$A:$A,0)),"")</f>
        <v/>
      </c>
      <c r="AA831" s="3" t="str">
        <f ca="1">IF($C831&lt;&gt;"",INDEX('Team Indirect'!$F:$F,MATCH($C831,'Team Indirect'!$A:$A,0)),"")</f>
        <v/>
      </c>
      <c r="AB831" s="3" t="str">
        <f t="shared" ca="1" si="12"/>
        <v/>
      </c>
      <c r="AC831" s="3">
        <f ca="1">IF(OR(AllocationUnits="Stories", AllocationUnits="Points"),'Work Indirect'!F831,F831/MAX('Work Indirect'!AB831,1))</f>
        <v>1</v>
      </c>
    </row>
    <row r="832" spans="1:29"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7" t="str">
        <f ca="1">IF(OFFSET('4. Work'!$A$1,ROW(D832)-1,COLUMN(D832)-1)="","",OFFSET('4. Work'!$A$1,ROW(D832)-1,COLUMN(D832)-1))</f>
        <v/>
      </c>
      <c r="E832" s="147"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I832" s="3" t="str">
        <f ca="1">IF(OFFSET('4. Work'!$A$1,ROW(I832)-1,COLUMN(I832)-1)="","",OFFSET('4. Work'!$A$1,ROW(I832)-1,COLUMN(I832)-1))</f>
        <v/>
      </c>
      <c r="T832" s="3" t="str">
        <f ca="1">IF(A832&lt;&gt;"",MAX('Initiative Indirect'!$T:$T)+(ROW(A832)-1),"")</f>
        <v/>
      </c>
      <c r="U832" s="3" t="str">
        <f ca="1">IF(B832&lt;&gt;"",INDEX('Initiative Indirect'!$T:$T,MATCH(B832,'Initiative Indirect'!$A:$A,0)),"")</f>
        <v/>
      </c>
      <c r="V832" s="3" t="str">
        <f ca="1">IF(C832&lt;&gt;"",INDEX('Team Indirect'!$T:$T,MATCH(C832,'Team Indirect'!$A:$A,0)),"")</f>
        <v/>
      </c>
      <c r="W832" s="3"/>
      <c r="X832" s="3"/>
      <c r="Y832" s="3" t="str">
        <f ca="1">IF($C832&lt;&gt;"",INDEX('Team Indirect'!$D:$D,MATCH($C832,'Team Indirect'!$A:$A,0)),"")</f>
        <v/>
      </c>
      <c r="Z832" s="3" t="str">
        <f ca="1">IF($C832&lt;&gt;"",INDEX('Team Indirect'!$E:$E,MATCH($C832,'Team Indirect'!$A:$A,0)),"")</f>
        <v/>
      </c>
      <c r="AA832" s="3" t="str">
        <f ca="1">IF($C832&lt;&gt;"",INDEX('Team Indirect'!$F:$F,MATCH($C832,'Team Indirect'!$A:$A,0)),"")</f>
        <v/>
      </c>
      <c r="AB832" s="3" t="str">
        <f t="shared" ca="1" si="12"/>
        <v/>
      </c>
      <c r="AC832" s="3">
        <f ca="1">IF(OR(AllocationUnits="Stories", AllocationUnits="Points"),'Work Indirect'!F832,F832/MAX('Work Indirect'!AB832,1))</f>
        <v>1</v>
      </c>
    </row>
    <row r="833" spans="1:29"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7" t="str">
        <f ca="1">IF(OFFSET('4. Work'!$A$1,ROW(D833)-1,COLUMN(D833)-1)="","",OFFSET('4. Work'!$A$1,ROW(D833)-1,COLUMN(D833)-1))</f>
        <v/>
      </c>
      <c r="E833" s="147"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I833" s="3" t="str">
        <f ca="1">IF(OFFSET('4. Work'!$A$1,ROW(I833)-1,COLUMN(I833)-1)="","",OFFSET('4. Work'!$A$1,ROW(I833)-1,COLUMN(I833)-1))</f>
        <v/>
      </c>
      <c r="T833" s="3" t="str">
        <f ca="1">IF(A833&lt;&gt;"",MAX('Initiative Indirect'!$T:$T)+(ROW(A833)-1),"")</f>
        <v/>
      </c>
      <c r="U833" s="3" t="str">
        <f ca="1">IF(B833&lt;&gt;"",INDEX('Initiative Indirect'!$T:$T,MATCH(B833,'Initiative Indirect'!$A:$A,0)),"")</f>
        <v/>
      </c>
      <c r="V833" s="3" t="str">
        <f ca="1">IF(C833&lt;&gt;"",INDEX('Team Indirect'!$T:$T,MATCH(C833,'Team Indirect'!$A:$A,0)),"")</f>
        <v/>
      </c>
      <c r="W833" s="3"/>
      <c r="X833" s="3"/>
      <c r="Y833" s="3" t="str">
        <f ca="1">IF($C833&lt;&gt;"",INDEX('Team Indirect'!$D:$D,MATCH($C833,'Team Indirect'!$A:$A,0)),"")</f>
        <v/>
      </c>
      <c r="Z833" s="3" t="str">
        <f ca="1">IF($C833&lt;&gt;"",INDEX('Team Indirect'!$E:$E,MATCH($C833,'Team Indirect'!$A:$A,0)),"")</f>
        <v/>
      </c>
      <c r="AA833" s="3" t="str">
        <f ca="1">IF($C833&lt;&gt;"",INDEX('Team Indirect'!$F:$F,MATCH($C833,'Team Indirect'!$A:$A,0)),"")</f>
        <v/>
      </c>
      <c r="AB833" s="3" t="str">
        <f t="shared" ca="1" si="12"/>
        <v/>
      </c>
      <c r="AC833" s="3">
        <f ca="1">IF(OR(AllocationUnits="Stories", AllocationUnits="Points"),'Work Indirect'!F833,F833/MAX('Work Indirect'!AB833,1))</f>
        <v>1</v>
      </c>
    </row>
    <row r="834" spans="1:29"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7" t="str">
        <f ca="1">IF(OFFSET('4. Work'!$A$1,ROW(D834)-1,COLUMN(D834)-1)="","",OFFSET('4. Work'!$A$1,ROW(D834)-1,COLUMN(D834)-1))</f>
        <v/>
      </c>
      <c r="E834" s="147"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I834" s="3" t="str">
        <f ca="1">IF(OFFSET('4. Work'!$A$1,ROW(I834)-1,COLUMN(I834)-1)="","",OFFSET('4. Work'!$A$1,ROW(I834)-1,COLUMN(I834)-1))</f>
        <v/>
      </c>
      <c r="T834" s="3" t="str">
        <f ca="1">IF(A834&lt;&gt;"",MAX('Initiative Indirect'!$T:$T)+(ROW(A834)-1),"")</f>
        <v/>
      </c>
      <c r="U834" s="3" t="str">
        <f ca="1">IF(B834&lt;&gt;"",INDEX('Initiative Indirect'!$T:$T,MATCH(B834,'Initiative Indirect'!$A:$A,0)),"")</f>
        <v/>
      </c>
      <c r="V834" s="3" t="str">
        <f ca="1">IF(C834&lt;&gt;"",INDEX('Team Indirect'!$T:$T,MATCH(C834,'Team Indirect'!$A:$A,0)),"")</f>
        <v/>
      </c>
      <c r="W834" s="3"/>
      <c r="X834" s="3"/>
      <c r="Y834" s="3" t="str">
        <f ca="1">IF($C834&lt;&gt;"",INDEX('Team Indirect'!$D:$D,MATCH($C834,'Team Indirect'!$A:$A,0)),"")</f>
        <v/>
      </c>
      <c r="Z834" s="3" t="str">
        <f ca="1">IF($C834&lt;&gt;"",INDEX('Team Indirect'!$E:$E,MATCH($C834,'Team Indirect'!$A:$A,0)),"")</f>
        <v/>
      </c>
      <c r="AA834" s="3" t="str">
        <f ca="1">IF($C834&lt;&gt;"",INDEX('Team Indirect'!$F:$F,MATCH($C834,'Team Indirect'!$A:$A,0)),"")</f>
        <v/>
      </c>
      <c r="AB834" s="3" t="str">
        <f t="shared" ref="AB834:AB897" ca="1" si="13">IF(AND(Y834&lt;&gt;"",Z834&lt;&gt;""),Y834+((Z834-Y834)*(1-MAX(0,AA834))*(1-Probability)),"")</f>
        <v/>
      </c>
      <c r="AC834" s="3">
        <f ca="1">IF(OR(AllocationUnits="Stories", AllocationUnits="Points"),'Work Indirect'!F834,F834/MAX('Work Indirect'!AB834,1))</f>
        <v>1</v>
      </c>
    </row>
    <row r="835" spans="1:29"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7" t="str">
        <f ca="1">IF(OFFSET('4. Work'!$A$1,ROW(D835)-1,COLUMN(D835)-1)="","",OFFSET('4. Work'!$A$1,ROW(D835)-1,COLUMN(D835)-1))</f>
        <v/>
      </c>
      <c r="E835" s="147"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I835" s="3" t="str">
        <f ca="1">IF(OFFSET('4. Work'!$A$1,ROW(I835)-1,COLUMN(I835)-1)="","",OFFSET('4. Work'!$A$1,ROW(I835)-1,COLUMN(I835)-1))</f>
        <v/>
      </c>
      <c r="T835" s="3" t="str">
        <f ca="1">IF(A835&lt;&gt;"",MAX('Initiative Indirect'!$T:$T)+(ROW(A835)-1),"")</f>
        <v/>
      </c>
      <c r="U835" s="3" t="str">
        <f ca="1">IF(B835&lt;&gt;"",INDEX('Initiative Indirect'!$T:$T,MATCH(B835,'Initiative Indirect'!$A:$A,0)),"")</f>
        <v/>
      </c>
      <c r="V835" s="3" t="str">
        <f ca="1">IF(C835&lt;&gt;"",INDEX('Team Indirect'!$T:$T,MATCH(C835,'Team Indirect'!$A:$A,0)),"")</f>
        <v/>
      </c>
      <c r="W835" s="3"/>
      <c r="X835" s="3"/>
      <c r="Y835" s="3" t="str">
        <f ca="1">IF($C835&lt;&gt;"",INDEX('Team Indirect'!$D:$D,MATCH($C835,'Team Indirect'!$A:$A,0)),"")</f>
        <v/>
      </c>
      <c r="Z835" s="3" t="str">
        <f ca="1">IF($C835&lt;&gt;"",INDEX('Team Indirect'!$E:$E,MATCH($C835,'Team Indirect'!$A:$A,0)),"")</f>
        <v/>
      </c>
      <c r="AA835" s="3" t="str">
        <f ca="1">IF($C835&lt;&gt;"",INDEX('Team Indirect'!$F:$F,MATCH($C835,'Team Indirect'!$A:$A,0)),"")</f>
        <v/>
      </c>
      <c r="AB835" s="3" t="str">
        <f t="shared" ca="1" si="13"/>
        <v/>
      </c>
      <c r="AC835" s="3">
        <f ca="1">IF(OR(AllocationUnits="Stories", AllocationUnits="Points"),'Work Indirect'!F835,F835/MAX('Work Indirect'!AB835,1))</f>
        <v>1</v>
      </c>
    </row>
    <row r="836" spans="1:29"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7" t="str">
        <f ca="1">IF(OFFSET('4. Work'!$A$1,ROW(D836)-1,COLUMN(D836)-1)="","",OFFSET('4. Work'!$A$1,ROW(D836)-1,COLUMN(D836)-1))</f>
        <v/>
      </c>
      <c r="E836" s="147"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I836" s="3" t="str">
        <f ca="1">IF(OFFSET('4. Work'!$A$1,ROW(I836)-1,COLUMN(I836)-1)="","",OFFSET('4. Work'!$A$1,ROW(I836)-1,COLUMN(I836)-1))</f>
        <v/>
      </c>
      <c r="T836" s="3" t="str">
        <f ca="1">IF(A836&lt;&gt;"",MAX('Initiative Indirect'!$T:$T)+(ROW(A836)-1),"")</f>
        <v/>
      </c>
      <c r="U836" s="3" t="str">
        <f ca="1">IF(B836&lt;&gt;"",INDEX('Initiative Indirect'!$T:$T,MATCH(B836,'Initiative Indirect'!$A:$A,0)),"")</f>
        <v/>
      </c>
      <c r="V836" s="3" t="str">
        <f ca="1">IF(C836&lt;&gt;"",INDEX('Team Indirect'!$T:$T,MATCH(C836,'Team Indirect'!$A:$A,0)),"")</f>
        <v/>
      </c>
      <c r="W836" s="3"/>
      <c r="X836" s="3"/>
      <c r="Y836" s="3" t="str">
        <f ca="1">IF($C836&lt;&gt;"",INDEX('Team Indirect'!$D:$D,MATCH($C836,'Team Indirect'!$A:$A,0)),"")</f>
        <v/>
      </c>
      <c r="Z836" s="3" t="str">
        <f ca="1">IF($C836&lt;&gt;"",INDEX('Team Indirect'!$E:$E,MATCH($C836,'Team Indirect'!$A:$A,0)),"")</f>
        <v/>
      </c>
      <c r="AA836" s="3" t="str">
        <f ca="1">IF($C836&lt;&gt;"",INDEX('Team Indirect'!$F:$F,MATCH($C836,'Team Indirect'!$A:$A,0)),"")</f>
        <v/>
      </c>
      <c r="AB836" s="3" t="str">
        <f t="shared" ca="1" si="13"/>
        <v/>
      </c>
      <c r="AC836" s="3">
        <f ca="1">IF(OR(AllocationUnits="Stories", AllocationUnits="Points"),'Work Indirect'!F836,F836/MAX('Work Indirect'!AB836,1))</f>
        <v>1</v>
      </c>
    </row>
    <row r="837" spans="1:29"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7" t="str">
        <f ca="1">IF(OFFSET('4. Work'!$A$1,ROW(D837)-1,COLUMN(D837)-1)="","",OFFSET('4. Work'!$A$1,ROW(D837)-1,COLUMN(D837)-1))</f>
        <v/>
      </c>
      <c r="E837" s="147"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I837" s="3" t="str">
        <f ca="1">IF(OFFSET('4. Work'!$A$1,ROW(I837)-1,COLUMN(I837)-1)="","",OFFSET('4. Work'!$A$1,ROW(I837)-1,COLUMN(I837)-1))</f>
        <v/>
      </c>
      <c r="T837" s="3" t="str">
        <f ca="1">IF(A837&lt;&gt;"",MAX('Initiative Indirect'!$T:$T)+(ROW(A837)-1),"")</f>
        <v/>
      </c>
      <c r="U837" s="3" t="str">
        <f ca="1">IF(B837&lt;&gt;"",INDEX('Initiative Indirect'!$T:$T,MATCH(B837,'Initiative Indirect'!$A:$A,0)),"")</f>
        <v/>
      </c>
      <c r="V837" s="3" t="str">
        <f ca="1">IF(C837&lt;&gt;"",INDEX('Team Indirect'!$T:$T,MATCH(C837,'Team Indirect'!$A:$A,0)),"")</f>
        <v/>
      </c>
      <c r="W837" s="3"/>
      <c r="X837" s="3"/>
      <c r="Y837" s="3" t="str">
        <f ca="1">IF($C837&lt;&gt;"",INDEX('Team Indirect'!$D:$D,MATCH($C837,'Team Indirect'!$A:$A,0)),"")</f>
        <v/>
      </c>
      <c r="Z837" s="3" t="str">
        <f ca="1">IF($C837&lt;&gt;"",INDEX('Team Indirect'!$E:$E,MATCH($C837,'Team Indirect'!$A:$A,0)),"")</f>
        <v/>
      </c>
      <c r="AA837" s="3" t="str">
        <f ca="1">IF($C837&lt;&gt;"",INDEX('Team Indirect'!$F:$F,MATCH($C837,'Team Indirect'!$A:$A,0)),"")</f>
        <v/>
      </c>
      <c r="AB837" s="3" t="str">
        <f t="shared" ca="1" si="13"/>
        <v/>
      </c>
      <c r="AC837" s="3">
        <f ca="1">IF(OR(AllocationUnits="Stories", AllocationUnits="Points"),'Work Indirect'!F837,F837/MAX('Work Indirect'!AB837,1))</f>
        <v>1</v>
      </c>
    </row>
    <row r="838" spans="1:29"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7" t="str">
        <f ca="1">IF(OFFSET('4. Work'!$A$1,ROW(D838)-1,COLUMN(D838)-1)="","",OFFSET('4. Work'!$A$1,ROW(D838)-1,COLUMN(D838)-1))</f>
        <v/>
      </c>
      <c r="E838" s="147"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I838" s="3" t="str">
        <f ca="1">IF(OFFSET('4. Work'!$A$1,ROW(I838)-1,COLUMN(I838)-1)="","",OFFSET('4. Work'!$A$1,ROW(I838)-1,COLUMN(I838)-1))</f>
        <v/>
      </c>
      <c r="T838" s="3" t="str">
        <f ca="1">IF(A838&lt;&gt;"",MAX('Initiative Indirect'!$T:$T)+(ROW(A838)-1),"")</f>
        <v/>
      </c>
      <c r="U838" s="3" t="str">
        <f ca="1">IF(B838&lt;&gt;"",INDEX('Initiative Indirect'!$T:$T,MATCH(B838,'Initiative Indirect'!$A:$A,0)),"")</f>
        <v/>
      </c>
      <c r="V838" s="3" t="str">
        <f ca="1">IF(C838&lt;&gt;"",INDEX('Team Indirect'!$T:$T,MATCH(C838,'Team Indirect'!$A:$A,0)),"")</f>
        <v/>
      </c>
      <c r="W838" s="3"/>
      <c r="X838" s="3"/>
      <c r="Y838" s="3" t="str">
        <f ca="1">IF($C838&lt;&gt;"",INDEX('Team Indirect'!$D:$D,MATCH($C838,'Team Indirect'!$A:$A,0)),"")</f>
        <v/>
      </c>
      <c r="Z838" s="3" t="str">
        <f ca="1">IF($C838&lt;&gt;"",INDEX('Team Indirect'!$E:$E,MATCH($C838,'Team Indirect'!$A:$A,0)),"")</f>
        <v/>
      </c>
      <c r="AA838" s="3" t="str">
        <f ca="1">IF($C838&lt;&gt;"",INDEX('Team Indirect'!$F:$F,MATCH($C838,'Team Indirect'!$A:$A,0)),"")</f>
        <v/>
      </c>
      <c r="AB838" s="3" t="str">
        <f t="shared" ca="1" si="13"/>
        <v/>
      </c>
      <c r="AC838" s="3">
        <f ca="1">IF(OR(AllocationUnits="Stories", AllocationUnits="Points"),'Work Indirect'!F838,F838/MAX('Work Indirect'!AB838,1))</f>
        <v>1</v>
      </c>
    </row>
    <row r="839" spans="1:29"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7" t="str">
        <f ca="1">IF(OFFSET('4. Work'!$A$1,ROW(D839)-1,COLUMN(D839)-1)="","",OFFSET('4. Work'!$A$1,ROW(D839)-1,COLUMN(D839)-1))</f>
        <v/>
      </c>
      <c r="E839" s="147"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I839" s="3" t="str">
        <f ca="1">IF(OFFSET('4. Work'!$A$1,ROW(I839)-1,COLUMN(I839)-1)="","",OFFSET('4. Work'!$A$1,ROW(I839)-1,COLUMN(I839)-1))</f>
        <v/>
      </c>
      <c r="T839" s="3" t="str">
        <f ca="1">IF(A839&lt;&gt;"",MAX('Initiative Indirect'!$T:$T)+(ROW(A839)-1),"")</f>
        <v/>
      </c>
      <c r="U839" s="3" t="str">
        <f ca="1">IF(B839&lt;&gt;"",INDEX('Initiative Indirect'!$T:$T,MATCH(B839,'Initiative Indirect'!$A:$A,0)),"")</f>
        <v/>
      </c>
      <c r="V839" s="3" t="str">
        <f ca="1">IF(C839&lt;&gt;"",INDEX('Team Indirect'!$T:$T,MATCH(C839,'Team Indirect'!$A:$A,0)),"")</f>
        <v/>
      </c>
      <c r="W839" s="3"/>
      <c r="X839" s="3"/>
      <c r="Y839" s="3" t="str">
        <f ca="1">IF($C839&lt;&gt;"",INDEX('Team Indirect'!$D:$D,MATCH($C839,'Team Indirect'!$A:$A,0)),"")</f>
        <v/>
      </c>
      <c r="Z839" s="3" t="str">
        <f ca="1">IF($C839&lt;&gt;"",INDEX('Team Indirect'!$E:$E,MATCH($C839,'Team Indirect'!$A:$A,0)),"")</f>
        <v/>
      </c>
      <c r="AA839" s="3" t="str">
        <f ca="1">IF($C839&lt;&gt;"",INDEX('Team Indirect'!$F:$F,MATCH($C839,'Team Indirect'!$A:$A,0)),"")</f>
        <v/>
      </c>
      <c r="AB839" s="3" t="str">
        <f t="shared" ca="1" si="13"/>
        <v/>
      </c>
      <c r="AC839" s="3">
        <f ca="1">IF(OR(AllocationUnits="Stories", AllocationUnits="Points"),'Work Indirect'!F839,F839/MAX('Work Indirect'!AB839,1))</f>
        <v>1</v>
      </c>
    </row>
    <row r="840" spans="1:29"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7" t="str">
        <f ca="1">IF(OFFSET('4. Work'!$A$1,ROW(D840)-1,COLUMN(D840)-1)="","",OFFSET('4. Work'!$A$1,ROW(D840)-1,COLUMN(D840)-1))</f>
        <v/>
      </c>
      <c r="E840" s="147"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I840" s="3" t="str">
        <f ca="1">IF(OFFSET('4. Work'!$A$1,ROW(I840)-1,COLUMN(I840)-1)="","",OFFSET('4. Work'!$A$1,ROW(I840)-1,COLUMN(I840)-1))</f>
        <v/>
      </c>
      <c r="T840" s="3" t="str">
        <f ca="1">IF(A840&lt;&gt;"",MAX('Initiative Indirect'!$T:$T)+(ROW(A840)-1),"")</f>
        <v/>
      </c>
      <c r="U840" s="3" t="str">
        <f ca="1">IF(B840&lt;&gt;"",INDEX('Initiative Indirect'!$T:$T,MATCH(B840,'Initiative Indirect'!$A:$A,0)),"")</f>
        <v/>
      </c>
      <c r="V840" s="3" t="str">
        <f ca="1">IF(C840&lt;&gt;"",INDEX('Team Indirect'!$T:$T,MATCH(C840,'Team Indirect'!$A:$A,0)),"")</f>
        <v/>
      </c>
      <c r="W840" s="3"/>
      <c r="X840" s="3"/>
      <c r="Y840" s="3" t="str">
        <f ca="1">IF($C840&lt;&gt;"",INDEX('Team Indirect'!$D:$D,MATCH($C840,'Team Indirect'!$A:$A,0)),"")</f>
        <v/>
      </c>
      <c r="Z840" s="3" t="str">
        <f ca="1">IF($C840&lt;&gt;"",INDEX('Team Indirect'!$E:$E,MATCH($C840,'Team Indirect'!$A:$A,0)),"")</f>
        <v/>
      </c>
      <c r="AA840" s="3" t="str">
        <f ca="1">IF($C840&lt;&gt;"",INDEX('Team Indirect'!$F:$F,MATCH($C840,'Team Indirect'!$A:$A,0)),"")</f>
        <v/>
      </c>
      <c r="AB840" s="3" t="str">
        <f t="shared" ca="1" si="13"/>
        <v/>
      </c>
      <c r="AC840" s="3">
        <f ca="1">IF(OR(AllocationUnits="Stories", AllocationUnits="Points"),'Work Indirect'!F840,F840/MAX('Work Indirect'!AB840,1))</f>
        <v>1</v>
      </c>
    </row>
    <row r="841" spans="1:29"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7" t="str">
        <f ca="1">IF(OFFSET('4. Work'!$A$1,ROW(D841)-1,COLUMN(D841)-1)="","",OFFSET('4. Work'!$A$1,ROW(D841)-1,COLUMN(D841)-1))</f>
        <v/>
      </c>
      <c r="E841" s="147"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I841" s="3" t="str">
        <f ca="1">IF(OFFSET('4. Work'!$A$1,ROW(I841)-1,COLUMN(I841)-1)="","",OFFSET('4. Work'!$A$1,ROW(I841)-1,COLUMN(I841)-1))</f>
        <v/>
      </c>
      <c r="T841" s="3" t="str">
        <f ca="1">IF(A841&lt;&gt;"",MAX('Initiative Indirect'!$T:$T)+(ROW(A841)-1),"")</f>
        <v/>
      </c>
      <c r="U841" s="3" t="str">
        <f ca="1">IF(B841&lt;&gt;"",INDEX('Initiative Indirect'!$T:$T,MATCH(B841,'Initiative Indirect'!$A:$A,0)),"")</f>
        <v/>
      </c>
      <c r="V841" s="3" t="str">
        <f ca="1">IF(C841&lt;&gt;"",INDEX('Team Indirect'!$T:$T,MATCH(C841,'Team Indirect'!$A:$A,0)),"")</f>
        <v/>
      </c>
      <c r="W841" s="3"/>
      <c r="X841" s="3"/>
      <c r="Y841" s="3" t="str">
        <f ca="1">IF($C841&lt;&gt;"",INDEX('Team Indirect'!$D:$D,MATCH($C841,'Team Indirect'!$A:$A,0)),"")</f>
        <v/>
      </c>
      <c r="Z841" s="3" t="str">
        <f ca="1">IF($C841&lt;&gt;"",INDEX('Team Indirect'!$E:$E,MATCH($C841,'Team Indirect'!$A:$A,0)),"")</f>
        <v/>
      </c>
      <c r="AA841" s="3" t="str">
        <f ca="1">IF($C841&lt;&gt;"",INDEX('Team Indirect'!$F:$F,MATCH($C841,'Team Indirect'!$A:$A,0)),"")</f>
        <v/>
      </c>
      <c r="AB841" s="3" t="str">
        <f t="shared" ca="1" si="13"/>
        <v/>
      </c>
      <c r="AC841" s="3">
        <f ca="1">IF(OR(AllocationUnits="Stories", AllocationUnits="Points"),'Work Indirect'!F841,F841/MAX('Work Indirect'!AB841,1))</f>
        <v>1</v>
      </c>
    </row>
    <row r="842" spans="1:29"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7" t="str">
        <f ca="1">IF(OFFSET('4. Work'!$A$1,ROW(D842)-1,COLUMN(D842)-1)="","",OFFSET('4. Work'!$A$1,ROW(D842)-1,COLUMN(D842)-1))</f>
        <v/>
      </c>
      <c r="E842" s="147"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I842" s="3" t="str">
        <f ca="1">IF(OFFSET('4. Work'!$A$1,ROW(I842)-1,COLUMN(I842)-1)="","",OFFSET('4. Work'!$A$1,ROW(I842)-1,COLUMN(I842)-1))</f>
        <v/>
      </c>
      <c r="T842" s="3" t="str">
        <f ca="1">IF(A842&lt;&gt;"",MAX('Initiative Indirect'!$T:$T)+(ROW(A842)-1),"")</f>
        <v/>
      </c>
      <c r="U842" s="3" t="str">
        <f ca="1">IF(B842&lt;&gt;"",INDEX('Initiative Indirect'!$T:$T,MATCH(B842,'Initiative Indirect'!$A:$A,0)),"")</f>
        <v/>
      </c>
      <c r="V842" s="3" t="str">
        <f ca="1">IF(C842&lt;&gt;"",INDEX('Team Indirect'!$T:$T,MATCH(C842,'Team Indirect'!$A:$A,0)),"")</f>
        <v/>
      </c>
      <c r="W842" s="3"/>
      <c r="X842" s="3"/>
      <c r="Y842" s="3" t="str">
        <f ca="1">IF($C842&lt;&gt;"",INDEX('Team Indirect'!$D:$D,MATCH($C842,'Team Indirect'!$A:$A,0)),"")</f>
        <v/>
      </c>
      <c r="Z842" s="3" t="str">
        <f ca="1">IF($C842&lt;&gt;"",INDEX('Team Indirect'!$E:$E,MATCH($C842,'Team Indirect'!$A:$A,0)),"")</f>
        <v/>
      </c>
      <c r="AA842" s="3" t="str">
        <f ca="1">IF($C842&lt;&gt;"",INDEX('Team Indirect'!$F:$F,MATCH($C842,'Team Indirect'!$A:$A,0)),"")</f>
        <v/>
      </c>
      <c r="AB842" s="3" t="str">
        <f t="shared" ca="1" si="13"/>
        <v/>
      </c>
      <c r="AC842" s="3">
        <f ca="1">IF(OR(AllocationUnits="Stories", AllocationUnits="Points"),'Work Indirect'!F842,F842/MAX('Work Indirect'!AB842,1))</f>
        <v>1</v>
      </c>
    </row>
    <row r="843" spans="1:29"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7" t="str">
        <f ca="1">IF(OFFSET('4. Work'!$A$1,ROW(D843)-1,COLUMN(D843)-1)="","",OFFSET('4. Work'!$A$1,ROW(D843)-1,COLUMN(D843)-1))</f>
        <v/>
      </c>
      <c r="E843" s="147"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I843" s="3" t="str">
        <f ca="1">IF(OFFSET('4. Work'!$A$1,ROW(I843)-1,COLUMN(I843)-1)="","",OFFSET('4. Work'!$A$1,ROW(I843)-1,COLUMN(I843)-1))</f>
        <v/>
      </c>
      <c r="T843" s="3" t="str">
        <f ca="1">IF(A843&lt;&gt;"",MAX('Initiative Indirect'!$T:$T)+(ROW(A843)-1),"")</f>
        <v/>
      </c>
      <c r="U843" s="3" t="str">
        <f ca="1">IF(B843&lt;&gt;"",INDEX('Initiative Indirect'!$T:$T,MATCH(B843,'Initiative Indirect'!$A:$A,0)),"")</f>
        <v/>
      </c>
      <c r="V843" s="3" t="str">
        <f ca="1">IF(C843&lt;&gt;"",INDEX('Team Indirect'!$T:$T,MATCH(C843,'Team Indirect'!$A:$A,0)),"")</f>
        <v/>
      </c>
      <c r="W843" s="3"/>
      <c r="X843" s="3"/>
      <c r="Y843" s="3" t="str">
        <f ca="1">IF($C843&lt;&gt;"",INDEX('Team Indirect'!$D:$D,MATCH($C843,'Team Indirect'!$A:$A,0)),"")</f>
        <v/>
      </c>
      <c r="Z843" s="3" t="str">
        <f ca="1">IF($C843&lt;&gt;"",INDEX('Team Indirect'!$E:$E,MATCH($C843,'Team Indirect'!$A:$A,0)),"")</f>
        <v/>
      </c>
      <c r="AA843" s="3" t="str">
        <f ca="1">IF($C843&lt;&gt;"",INDEX('Team Indirect'!$F:$F,MATCH($C843,'Team Indirect'!$A:$A,0)),"")</f>
        <v/>
      </c>
      <c r="AB843" s="3" t="str">
        <f t="shared" ca="1" si="13"/>
        <v/>
      </c>
      <c r="AC843" s="3">
        <f ca="1">IF(OR(AllocationUnits="Stories", AllocationUnits="Points"),'Work Indirect'!F843,F843/MAX('Work Indirect'!AB843,1))</f>
        <v>1</v>
      </c>
    </row>
    <row r="844" spans="1:29"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7" t="str">
        <f ca="1">IF(OFFSET('4. Work'!$A$1,ROW(D844)-1,COLUMN(D844)-1)="","",OFFSET('4. Work'!$A$1,ROW(D844)-1,COLUMN(D844)-1))</f>
        <v/>
      </c>
      <c r="E844" s="147"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I844" s="3" t="str">
        <f ca="1">IF(OFFSET('4. Work'!$A$1,ROW(I844)-1,COLUMN(I844)-1)="","",OFFSET('4. Work'!$A$1,ROW(I844)-1,COLUMN(I844)-1))</f>
        <v/>
      </c>
      <c r="T844" s="3" t="str">
        <f ca="1">IF(A844&lt;&gt;"",MAX('Initiative Indirect'!$T:$T)+(ROW(A844)-1),"")</f>
        <v/>
      </c>
      <c r="U844" s="3" t="str">
        <f ca="1">IF(B844&lt;&gt;"",INDEX('Initiative Indirect'!$T:$T,MATCH(B844,'Initiative Indirect'!$A:$A,0)),"")</f>
        <v/>
      </c>
      <c r="V844" s="3" t="str">
        <f ca="1">IF(C844&lt;&gt;"",INDEX('Team Indirect'!$T:$T,MATCH(C844,'Team Indirect'!$A:$A,0)),"")</f>
        <v/>
      </c>
      <c r="W844" s="3"/>
      <c r="X844" s="3"/>
      <c r="Y844" s="3" t="str">
        <f ca="1">IF($C844&lt;&gt;"",INDEX('Team Indirect'!$D:$D,MATCH($C844,'Team Indirect'!$A:$A,0)),"")</f>
        <v/>
      </c>
      <c r="Z844" s="3" t="str">
        <f ca="1">IF($C844&lt;&gt;"",INDEX('Team Indirect'!$E:$E,MATCH($C844,'Team Indirect'!$A:$A,0)),"")</f>
        <v/>
      </c>
      <c r="AA844" s="3" t="str">
        <f ca="1">IF($C844&lt;&gt;"",INDEX('Team Indirect'!$F:$F,MATCH($C844,'Team Indirect'!$A:$A,0)),"")</f>
        <v/>
      </c>
      <c r="AB844" s="3" t="str">
        <f t="shared" ca="1" si="13"/>
        <v/>
      </c>
      <c r="AC844" s="3">
        <f ca="1">IF(OR(AllocationUnits="Stories", AllocationUnits="Points"),'Work Indirect'!F844,F844/MAX('Work Indirect'!AB844,1))</f>
        <v>1</v>
      </c>
    </row>
    <row r="845" spans="1:29"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7" t="str">
        <f ca="1">IF(OFFSET('4. Work'!$A$1,ROW(D845)-1,COLUMN(D845)-1)="","",OFFSET('4. Work'!$A$1,ROW(D845)-1,COLUMN(D845)-1))</f>
        <v/>
      </c>
      <c r="E845" s="147"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I845" s="3" t="str">
        <f ca="1">IF(OFFSET('4. Work'!$A$1,ROW(I845)-1,COLUMN(I845)-1)="","",OFFSET('4. Work'!$A$1,ROW(I845)-1,COLUMN(I845)-1))</f>
        <v/>
      </c>
      <c r="T845" s="3" t="str">
        <f ca="1">IF(A845&lt;&gt;"",MAX('Initiative Indirect'!$T:$T)+(ROW(A845)-1),"")</f>
        <v/>
      </c>
      <c r="U845" s="3" t="str">
        <f ca="1">IF(B845&lt;&gt;"",INDEX('Initiative Indirect'!$T:$T,MATCH(B845,'Initiative Indirect'!$A:$A,0)),"")</f>
        <v/>
      </c>
      <c r="V845" s="3" t="str">
        <f ca="1">IF(C845&lt;&gt;"",INDEX('Team Indirect'!$T:$T,MATCH(C845,'Team Indirect'!$A:$A,0)),"")</f>
        <v/>
      </c>
      <c r="W845" s="3"/>
      <c r="X845" s="3"/>
      <c r="Y845" s="3" t="str">
        <f ca="1">IF($C845&lt;&gt;"",INDEX('Team Indirect'!$D:$D,MATCH($C845,'Team Indirect'!$A:$A,0)),"")</f>
        <v/>
      </c>
      <c r="Z845" s="3" t="str">
        <f ca="1">IF($C845&lt;&gt;"",INDEX('Team Indirect'!$E:$E,MATCH($C845,'Team Indirect'!$A:$A,0)),"")</f>
        <v/>
      </c>
      <c r="AA845" s="3" t="str">
        <f ca="1">IF($C845&lt;&gt;"",INDEX('Team Indirect'!$F:$F,MATCH($C845,'Team Indirect'!$A:$A,0)),"")</f>
        <v/>
      </c>
      <c r="AB845" s="3" t="str">
        <f t="shared" ca="1" si="13"/>
        <v/>
      </c>
      <c r="AC845" s="3">
        <f ca="1">IF(OR(AllocationUnits="Stories", AllocationUnits="Points"),'Work Indirect'!F845,F845/MAX('Work Indirect'!AB845,1))</f>
        <v>1</v>
      </c>
    </row>
    <row r="846" spans="1:29"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7" t="str">
        <f ca="1">IF(OFFSET('4. Work'!$A$1,ROW(D846)-1,COLUMN(D846)-1)="","",OFFSET('4. Work'!$A$1,ROW(D846)-1,COLUMN(D846)-1))</f>
        <v/>
      </c>
      <c r="E846" s="147"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I846" s="3" t="str">
        <f ca="1">IF(OFFSET('4. Work'!$A$1,ROW(I846)-1,COLUMN(I846)-1)="","",OFFSET('4. Work'!$A$1,ROW(I846)-1,COLUMN(I846)-1))</f>
        <v/>
      </c>
      <c r="T846" s="3" t="str">
        <f ca="1">IF(A846&lt;&gt;"",MAX('Initiative Indirect'!$T:$T)+(ROW(A846)-1),"")</f>
        <v/>
      </c>
      <c r="U846" s="3" t="str">
        <f ca="1">IF(B846&lt;&gt;"",INDEX('Initiative Indirect'!$T:$T,MATCH(B846,'Initiative Indirect'!$A:$A,0)),"")</f>
        <v/>
      </c>
      <c r="V846" s="3" t="str">
        <f ca="1">IF(C846&lt;&gt;"",INDEX('Team Indirect'!$T:$T,MATCH(C846,'Team Indirect'!$A:$A,0)),"")</f>
        <v/>
      </c>
      <c r="W846" s="3"/>
      <c r="X846" s="3"/>
      <c r="Y846" s="3" t="str">
        <f ca="1">IF($C846&lt;&gt;"",INDEX('Team Indirect'!$D:$D,MATCH($C846,'Team Indirect'!$A:$A,0)),"")</f>
        <v/>
      </c>
      <c r="Z846" s="3" t="str">
        <f ca="1">IF($C846&lt;&gt;"",INDEX('Team Indirect'!$E:$E,MATCH($C846,'Team Indirect'!$A:$A,0)),"")</f>
        <v/>
      </c>
      <c r="AA846" s="3" t="str">
        <f ca="1">IF($C846&lt;&gt;"",INDEX('Team Indirect'!$F:$F,MATCH($C846,'Team Indirect'!$A:$A,0)),"")</f>
        <v/>
      </c>
      <c r="AB846" s="3" t="str">
        <f t="shared" ca="1" si="13"/>
        <v/>
      </c>
      <c r="AC846" s="3">
        <f ca="1">IF(OR(AllocationUnits="Stories", AllocationUnits="Points"),'Work Indirect'!F846,F846/MAX('Work Indirect'!AB846,1))</f>
        <v>1</v>
      </c>
    </row>
    <row r="847" spans="1:29"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7" t="str">
        <f ca="1">IF(OFFSET('4. Work'!$A$1,ROW(D847)-1,COLUMN(D847)-1)="","",OFFSET('4. Work'!$A$1,ROW(D847)-1,COLUMN(D847)-1))</f>
        <v/>
      </c>
      <c r="E847" s="147"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I847" s="3" t="str">
        <f ca="1">IF(OFFSET('4. Work'!$A$1,ROW(I847)-1,COLUMN(I847)-1)="","",OFFSET('4. Work'!$A$1,ROW(I847)-1,COLUMN(I847)-1))</f>
        <v/>
      </c>
      <c r="T847" s="3" t="str">
        <f ca="1">IF(A847&lt;&gt;"",MAX('Initiative Indirect'!$T:$T)+(ROW(A847)-1),"")</f>
        <v/>
      </c>
      <c r="U847" s="3" t="str">
        <f ca="1">IF(B847&lt;&gt;"",INDEX('Initiative Indirect'!$T:$T,MATCH(B847,'Initiative Indirect'!$A:$A,0)),"")</f>
        <v/>
      </c>
      <c r="V847" s="3" t="str">
        <f ca="1">IF(C847&lt;&gt;"",INDEX('Team Indirect'!$T:$T,MATCH(C847,'Team Indirect'!$A:$A,0)),"")</f>
        <v/>
      </c>
      <c r="W847" s="3"/>
      <c r="X847" s="3"/>
      <c r="Y847" s="3" t="str">
        <f ca="1">IF($C847&lt;&gt;"",INDEX('Team Indirect'!$D:$D,MATCH($C847,'Team Indirect'!$A:$A,0)),"")</f>
        <v/>
      </c>
      <c r="Z847" s="3" t="str">
        <f ca="1">IF($C847&lt;&gt;"",INDEX('Team Indirect'!$E:$E,MATCH($C847,'Team Indirect'!$A:$A,0)),"")</f>
        <v/>
      </c>
      <c r="AA847" s="3" t="str">
        <f ca="1">IF($C847&lt;&gt;"",INDEX('Team Indirect'!$F:$F,MATCH($C847,'Team Indirect'!$A:$A,0)),"")</f>
        <v/>
      </c>
      <c r="AB847" s="3" t="str">
        <f t="shared" ca="1" si="13"/>
        <v/>
      </c>
      <c r="AC847" s="3">
        <f ca="1">IF(OR(AllocationUnits="Stories", AllocationUnits="Points"),'Work Indirect'!F847,F847/MAX('Work Indirect'!AB847,1))</f>
        <v>1</v>
      </c>
    </row>
    <row r="848" spans="1:29"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7" t="str">
        <f ca="1">IF(OFFSET('4. Work'!$A$1,ROW(D848)-1,COLUMN(D848)-1)="","",OFFSET('4. Work'!$A$1,ROW(D848)-1,COLUMN(D848)-1))</f>
        <v/>
      </c>
      <c r="E848" s="147"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I848" s="3" t="str">
        <f ca="1">IF(OFFSET('4. Work'!$A$1,ROW(I848)-1,COLUMN(I848)-1)="","",OFFSET('4. Work'!$A$1,ROW(I848)-1,COLUMN(I848)-1))</f>
        <v/>
      </c>
      <c r="T848" s="3" t="str">
        <f ca="1">IF(A848&lt;&gt;"",MAX('Initiative Indirect'!$T:$T)+(ROW(A848)-1),"")</f>
        <v/>
      </c>
      <c r="U848" s="3" t="str">
        <f ca="1">IF(B848&lt;&gt;"",INDEX('Initiative Indirect'!$T:$T,MATCH(B848,'Initiative Indirect'!$A:$A,0)),"")</f>
        <v/>
      </c>
      <c r="V848" s="3" t="str">
        <f ca="1">IF(C848&lt;&gt;"",INDEX('Team Indirect'!$T:$T,MATCH(C848,'Team Indirect'!$A:$A,0)),"")</f>
        <v/>
      </c>
      <c r="W848" s="3"/>
      <c r="X848" s="3"/>
      <c r="Y848" s="3" t="str">
        <f ca="1">IF($C848&lt;&gt;"",INDEX('Team Indirect'!$D:$D,MATCH($C848,'Team Indirect'!$A:$A,0)),"")</f>
        <v/>
      </c>
      <c r="Z848" s="3" t="str">
        <f ca="1">IF($C848&lt;&gt;"",INDEX('Team Indirect'!$E:$E,MATCH($C848,'Team Indirect'!$A:$A,0)),"")</f>
        <v/>
      </c>
      <c r="AA848" s="3" t="str">
        <f ca="1">IF($C848&lt;&gt;"",INDEX('Team Indirect'!$F:$F,MATCH($C848,'Team Indirect'!$A:$A,0)),"")</f>
        <v/>
      </c>
      <c r="AB848" s="3" t="str">
        <f t="shared" ca="1" si="13"/>
        <v/>
      </c>
      <c r="AC848" s="3">
        <f ca="1">IF(OR(AllocationUnits="Stories", AllocationUnits="Points"),'Work Indirect'!F848,F848/MAX('Work Indirect'!AB848,1))</f>
        <v>1</v>
      </c>
    </row>
    <row r="849" spans="1:29"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7" t="str">
        <f ca="1">IF(OFFSET('4. Work'!$A$1,ROW(D849)-1,COLUMN(D849)-1)="","",OFFSET('4. Work'!$A$1,ROW(D849)-1,COLUMN(D849)-1))</f>
        <v/>
      </c>
      <c r="E849" s="147"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I849" s="3" t="str">
        <f ca="1">IF(OFFSET('4. Work'!$A$1,ROW(I849)-1,COLUMN(I849)-1)="","",OFFSET('4. Work'!$A$1,ROW(I849)-1,COLUMN(I849)-1))</f>
        <v/>
      </c>
      <c r="T849" s="3" t="str">
        <f ca="1">IF(A849&lt;&gt;"",MAX('Initiative Indirect'!$T:$T)+(ROW(A849)-1),"")</f>
        <v/>
      </c>
      <c r="U849" s="3" t="str">
        <f ca="1">IF(B849&lt;&gt;"",INDEX('Initiative Indirect'!$T:$T,MATCH(B849,'Initiative Indirect'!$A:$A,0)),"")</f>
        <v/>
      </c>
      <c r="V849" s="3" t="str">
        <f ca="1">IF(C849&lt;&gt;"",INDEX('Team Indirect'!$T:$T,MATCH(C849,'Team Indirect'!$A:$A,0)),"")</f>
        <v/>
      </c>
      <c r="W849" s="3"/>
      <c r="X849" s="3"/>
      <c r="Y849" s="3" t="str">
        <f ca="1">IF($C849&lt;&gt;"",INDEX('Team Indirect'!$D:$D,MATCH($C849,'Team Indirect'!$A:$A,0)),"")</f>
        <v/>
      </c>
      <c r="Z849" s="3" t="str">
        <f ca="1">IF($C849&lt;&gt;"",INDEX('Team Indirect'!$E:$E,MATCH($C849,'Team Indirect'!$A:$A,0)),"")</f>
        <v/>
      </c>
      <c r="AA849" s="3" t="str">
        <f ca="1">IF($C849&lt;&gt;"",INDEX('Team Indirect'!$F:$F,MATCH($C849,'Team Indirect'!$A:$A,0)),"")</f>
        <v/>
      </c>
      <c r="AB849" s="3" t="str">
        <f t="shared" ca="1" si="13"/>
        <v/>
      </c>
      <c r="AC849" s="3">
        <f ca="1">IF(OR(AllocationUnits="Stories", AllocationUnits="Points"),'Work Indirect'!F849,F849/MAX('Work Indirect'!AB849,1))</f>
        <v>1</v>
      </c>
    </row>
    <row r="850" spans="1:29"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7" t="str">
        <f ca="1">IF(OFFSET('4. Work'!$A$1,ROW(D850)-1,COLUMN(D850)-1)="","",OFFSET('4. Work'!$A$1,ROW(D850)-1,COLUMN(D850)-1))</f>
        <v/>
      </c>
      <c r="E850" s="147"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I850" s="3" t="str">
        <f ca="1">IF(OFFSET('4. Work'!$A$1,ROW(I850)-1,COLUMN(I850)-1)="","",OFFSET('4. Work'!$A$1,ROW(I850)-1,COLUMN(I850)-1))</f>
        <v/>
      </c>
      <c r="T850" s="3" t="str">
        <f ca="1">IF(A850&lt;&gt;"",MAX('Initiative Indirect'!$T:$T)+(ROW(A850)-1),"")</f>
        <v/>
      </c>
      <c r="U850" s="3" t="str">
        <f ca="1">IF(B850&lt;&gt;"",INDEX('Initiative Indirect'!$T:$T,MATCH(B850,'Initiative Indirect'!$A:$A,0)),"")</f>
        <v/>
      </c>
      <c r="V850" s="3" t="str">
        <f ca="1">IF(C850&lt;&gt;"",INDEX('Team Indirect'!$T:$T,MATCH(C850,'Team Indirect'!$A:$A,0)),"")</f>
        <v/>
      </c>
      <c r="W850" s="3"/>
      <c r="X850" s="3"/>
      <c r="Y850" s="3" t="str">
        <f ca="1">IF($C850&lt;&gt;"",INDEX('Team Indirect'!$D:$D,MATCH($C850,'Team Indirect'!$A:$A,0)),"")</f>
        <v/>
      </c>
      <c r="Z850" s="3" t="str">
        <f ca="1">IF($C850&lt;&gt;"",INDEX('Team Indirect'!$E:$E,MATCH($C850,'Team Indirect'!$A:$A,0)),"")</f>
        <v/>
      </c>
      <c r="AA850" s="3" t="str">
        <f ca="1">IF($C850&lt;&gt;"",INDEX('Team Indirect'!$F:$F,MATCH($C850,'Team Indirect'!$A:$A,0)),"")</f>
        <v/>
      </c>
      <c r="AB850" s="3" t="str">
        <f t="shared" ca="1" si="13"/>
        <v/>
      </c>
      <c r="AC850" s="3">
        <f ca="1">IF(OR(AllocationUnits="Stories", AllocationUnits="Points"),'Work Indirect'!F850,F850/MAX('Work Indirect'!AB850,1))</f>
        <v>1</v>
      </c>
    </row>
    <row r="851" spans="1:29"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7" t="str">
        <f ca="1">IF(OFFSET('4. Work'!$A$1,ROW(D851)-1,COLUMN(D851)-1)="","",OFFSET('4. Work'!$A$1,ROW(D851)-1,COLUMN(D851)-1))</f>
        <v/>
      </c>
      <c r="E851" s="147"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I851" s="3" t="str">
        <f ca="1">IF(OFFSET('4. Work'!$A$1,ROW(I851)-1,COLUMN(I851)-1)="","",OFFSET('4. Work'!$A$1,ROW(I851)-1,COLUMN(I851)-1))</f>
        <v/>
      </c>
      <c r="T851" s="3" t="str">
        <f ca="1">IF(A851&lt;&gt;"",MAX('Initiative Indirect'!$T:$T)+(ROW(A851)-1),"")</f>
        <v/>
      </c>
      <c r="U851" s="3" t="str">
        <f ca="1">IF(B851&lt;&gt;"",INDEX('Initiative Indirect'!$T:$T,MATCH(B851,'Initiative Indirect'!$A:$A,0)),"")</f>
        <v/>
      </c>
      <c r="V851" s="3" t="str">
        <f ca="1">IF(C851&lt;&gt;"",INDEX('Team Indirect'!$T:$T,MATCH(C851,'Team Indirect'!$A:$A,0)),"")</f>
        <v/>
      </c>
      <c r="W851" s="3"/>
      <c r="X851" s="3"/>
      <c r="Y851" s="3" t="str">
        <f ca="1">IF($C851&lt;&gt;"",INDEX('Team Indirect'!$D:$D,MATCH($C851,'Team Indirect'!$A:$A,0)),"")</f>
        <v/>
      </c>
      <c r="Z851" s="3" t="str">
        <f ca="1">IF($C851&lt;&gt;"",INDEX('Team Indirect'!$E:$E,MATCH($C851,'Team Indirect'!$A:$A,0)),"")</f>
        <v/>
      </c>
      <c r="AA851" s="3" t="str">
        <f ca="1">IF($C851&lt;&gt;"",INDEX('Team Indirect'!$F:$F,MATCH($C851,'Team Indirect'!$A:$A,0)),"")</f>
        <v/>
      </c>
      <c r="AB851" s="3" t="str">
        <f t="shared" ca="1" si="13"/>
        <v/>
      </c>
      <c r="AC851" s="3">
        <f ca="1">IF(OR(AllocationUnits="Stories", AllocationUnits="Points"),'Work Indirect'!F851,F851/MAX('Work Indirect'!AB851,1))</f>
        <v>1</v>
      </c>
    </row>
    <row r="852" spans="1:29"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7" t="str">
        <f ca="1">IF(OFFSET('4. Work'!$A$1,ROW(D852)-1,COLUMN(D852)-1)="","",OFFSET('4. Work'!$A$1,ROW(D852)-1,COLUMN(D852)-1))</f>
        <v/>
      </c>
      <c r="E852" s="147"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I852" s="3" t="str">
        <f ca="1">IF(OFFSET('4. Work'!$A$1,ROW(I852)-1,COLUMN(I852)-1)="","",OFFSET('4. Work'!$A$1,ROW(I852)-1,COLUMN(I852)-1))</f>
        <v/>
      </c>
      <c r="T852" s="3" t="str">
        <f ca="1">IF(A852&lt;&gt;"",MAX('Initiative Indirect'!$T:$T)+(ROW(A852)-1),"")</f>
        <v/>
      </c>
      <c r="U852" s="3" t="str">
        <f ca="1">IF(B852&lt;&gt;"",INDEX('Initiative Indirect'!$T:$T,MATCH(B852,'Initiative Indirect'!$A:$A,0)),"")</f>
        <v/>
      </c>
      <c r="V852" s="3" t="str">
        <f ca="1">IF(C852&lt;&gt;"",INDEX('Team Indirect'!$T:$T,MATCH(C852,'Team Indirect'!$A:$A,0)),"")</f>
        <v/>
      </c>
      <c r="W852" s="3"/>
      <c r="X852" s="3"/>
      <c r="Y852" s="3" t="str">
        <f ca="1">IF($C852&lt;&gt;"",INDEX('Team Indirect'!$D:$D,MATCH($C852,'Team Indirect'!$A:$A,0)),"")</f>
        <v/>
      </c>
      <c r="Z852" s="3" t="str">
        <f ca="1">IF($C852&lt;&gt;"",INDEX('Team Indirect'!$E:$E,MATCH($C852,'Team Indirect'!$A:$A,0)),"")</f>
        <v/>
      </c>
      <c r="AA852" s="3" t="str">
        <f ca="1">IF($C852&lt;&gt;"",INDEX('Team Indirect'!$F:$F,MATCH($C852,'Team Indirect'!$A:$A,0)),"")</f>
        <v/>
      </c>
      <c r="AB852" s="3" t="str">
        <f t="shared" ca="1" si="13"/>
        <v/>
      </c>
      <c r="AC852" s="3">
        <f ca="1">IF(OR(AllocationUnits="Stories", AllocationUnits="Points"),'Work Indirect'!F852,F852/MAX('Work Indirect'!AB852,1))</f>
        <v>1</v>
      </c>
    </row>
    <row r="853" spans="1:29"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7" t="str">
        <f ca="1">IF(OFFSET('4. Work'!$A$1,ROW(D853)-1,COLUMN(D853)-1)="","",OFFSET('4. Work'!$A$1,ROW(D853)-1,COLUMN(D853)-1))</f>
        <v/>
      </c>
      <c r="E853" s="147"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I853" s="3" t="str">
        <f ca="1">IF(OFFSET('4. Work'!$A$1,ROW(I853)-1,COLUMN(I853)-1)="","",OFFSET('4. Work'!$A$1,ROW(I853)-1,COLUMN(I853)-1))</f>
        <v/>
      </c>
      <c r="T853" s="3" t="str">
        <f ca="1">IF(A853&lt;&gt;"",MAX('Initiative Indirect'!$T:$T)+(ROW(A853)-1),"")</f>
        <v/>
      </c>
      <c r="U853" s="3" t="str">
        <f ca="1">IF(B853&lt;&gt;"",INDEX('Initiative Indirect'!$T:$T,MATCH(B853,'Initiative Indirect'!$A:$A,0)),"")</f>
        <v/>
      </c>
      <c r="V853" s="3" t="str">
        <f ca="1">IF(C853&lt;&gt;"",INDEX('Team Indirect'!$T:$T,MATCH(C853,'Team Indirect'!$A:$A,0)),"")</f>
        <v/>
      </c>
      <c r="W853" s="3"/>
      <c r="X853" s="3"/>
      <c r="Y853" s="3" t="str">
        <f ca="1">IF($C853&lt;&gt;"",INDEX('Team Indirect'!$D:$D,MATCH($C853,'Team Indirect'!$A:$A,0)),"")</f>
        <v/>
      </c>
      <c r="Z853" s="3" t="str">
        <f ca="1">IF($C853&lt;&gt;"",INDEX('Team Indirect'!$E:$E,MATCH($C853,'Team Indirect'!$A:$A,0)),"")</f>
        <v/>
      </c>
      <c r="AA853" s="3" t="str">
        <f ca="1">IF($C853&lt;&gt;"",INDEX('Team Indirect'!$F:$F,MATCH($C853,'Team Indirect'!$A:$A,0)),"")</f>
        <v/>
      </c>
      <c r="AB853" s="3" t="str">
        <f t="shared" ca="1" si="13"/>
        <v/>
      </c>
      <c r="AC853" s="3">
        <f ca="1">IF(OR(AllocationUnits="Stories", AllocationUnits="Points"),'Work Indirect'!F853,F853/MAX('Work Indirect'!AB853,1))</f>
        <v>1</v>
      </c>
    </row>
    <row r="854" spans="1:29"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7" t="str">
        <f ca="1">IF(OFFSET('4. Work'!$A$1,ROW(D854)-1,COLUMN(D854)-1)="","",OFFSET('4. Work'!$A$1,ROW(D854)-1,COLUMN(D854)-1))</f>
        <v/>
      </c>
      <c r="E854" s="147"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I854" s="3" t="str">
        <f ca="1">IF(OFFSET('4. Work'!$A$1,ROW(I854)-1,COLUMN(I854)-1)="","",OFFSET('4. Work'!$A$1,ROW(I854)-1,COLUMN(I854)-1))</f>
        <v/>
      </c>
      <c r="T854" s="3" t="str">
        <f ca="1">IF(A854&lt;&gt;"",MAX('Initiative Indirect'!$T:$T)+(ROW(A854)-1),"")</f>
        <v/>
      </c>
      <c r="U854" s="3" t="str">
        <f ca="1">IF(B854&lt;&gt;"",INDEX('Initiative Indirect'!$T:$T,MATCH(B854,'Initiative Indirect'!$A:$A,0)),"")</f>
        <v/>
      </c>
      <c r="V854" s="3" t="str">
        <f ca="1">IF(C854&lt;&gt;"",INDEX('Team Indirect'!$T:$T,MATCH(C854,'Team Indirect'!$A:$A,0)),"")</f>
        <v/>
      </c>
      <c r="W854" s="3"/>
      <c r="X854" s="3"/>
      <c r="Y854" s="3" t="str">
        <f ca="1">IF($C854&lt;&gt;"",INDEX('Team Indirect'!$D:$D,MATCH($C854,'Team Indirect'!$A:$A,0)),"")</f>
        <v/>
      </c>
      <c r="Z854" s="3" t="str">
        <f ca="1">IF($C854&lt;&gt;"",INDEX('Team Indirect'!$E:$E,MATCH($C854,'Team Indirect'!$A:$A,0)),"")</f>
        <v/>
      </c>
      <c r="AA854" s="3" t="str">
        <f ca="1">IF($C854&lt;&gt;"",INDEX('Team Indirect'!$F:$F,MATCH($C854,'Team Indirect'!$A:$A,0)),"")</f>
        <v/>
      </c>
      <c r="AB854" s="3" t="str">
        <f t="shared" ca="1" si="13"/>
        <v/>
      </c>
      <c r="AC854" s="3">
        <f ca="1">IF(OR(AllocationUnits="Stories", AllocationUnits="Points"),'Work Indirect'!F854,F854/MAX('Work Indirect'!AB854,1))</f>
        <v>1</v>
      </c>
    </row>
    <row r="855" spans="1:29"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7" t="str">
        <f ca="1">IF(OFFSET('4. Work'!$A$1,ROW(D855)-1,COLUMN(D855)-1)="","",OFFSET('4. Work'!$A$1,ROW(D855)-1,COLUMN(D855)-1))</f>
        <v/>
      </c>
      <c r="E855" s="147"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I855" s="3" t="str">
        <f ca="1">IF(OFFSET('4. Work'!$A$1,ROW(I855)-1,COLUMN(I855)-1)="","",OFFSET('4. Work'!$A$1,ROW(I855)-1,COLUMN(I855)-1))</f>
        <v/>
      </c>
      <c r="T855" s="3" t="str">
        <f ca="1">IF(A855&lt;&gt;"",MAX('Initiative Indirect'!$T:$T)+(ROW(A855)-1),"")</f>
        <v/>
      </c>
      <c r="U855" s="3" t="str">
        <f ca="1">IF(B855&lt;&gt;"",INDEX('Initiative Indirect'!$T:$T,MATCH(B855,'Initiative Indirect'!$A:$A,0)),"")</f>
        <v/>
      </c>
      <c r="V855" s="3" t="str">
        <f ca="1">IF(C855&lt;&gt;"",INDEX('Team Indirect'!$T:$T,MATCH(C855,'Team Indirect'!$A:$A,0)),"")</f>
        <v/>
      </c>
      <c r="W855" s="3"/>
      <c r="X855" s="3"/>
      <c r="Y855" s="3" t="str">
        <f ca="1">IF($C855&lt;&gt;"",INDEX('Team Indirect'!$D:$D,MATCH($C855,'Team Indirect'!$A:$A,0)),"")</f>
        <v/>
      </c>
      <c r="Z855" s="3" t="str">
        <f ca="1">IF($C855&lt;&gt;"",INDEX('Team Indirect'!$E:$E,MATCH($C855,'Team Indirect'!$A:$A,0)),"")</f>
        <v/>
      </c>
      <c r="AA855" s="3" t="str">
        <f ca="1">IF($C855&lt;&gt;"",INDEX('Team Indirect'!$F:$F,MATCH($C855,'Team Indirect'!$A:$A,0)),"")</f>
        <v/>
      </c>
      <c r="AB855" s="3" t="str">
        <f t="shared" ca="1" si="13"/>
        <v/>
      </c>
      <c r="AC855" s="3">
        <f ca="1">IF(OR(AllocationUnits="Stories", AllocationUnits="Points"),'Work Indirect'!F855,F855/MAX('Work Indirect'!AB855,1))</f>
        <v>1</v>
      </c>
    </row>
    <row r="856" spans="1:29"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7" t="str">
        <f ca="1">IF(OFFSET('4. Work'!$A$1,ROW(D856)-1,COLUMN(D856)-1)="","",OFFSET('4. Work'!$A$1,ROW(D856)-1,COLUMN(D856)-1))</f>
        <v/>
      </c>
      <c r="E856" s="147"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I856" s="3" t="str">
        <f ca="1">IF(OFFSET('4. Work'!$A$1,ROW(I856)-1,COLUMN(I856)-1)="","",OFFSET('4. Work'!$A$1,ROW(I856)-1,COLUMN(I856)-1))</f>
        <v/>
      </c>
      <c r="T856" s="3" t="str">
        <f ca="1">IF(A856&lt;&gt;"",MAX('Initiative Indirect'!$T:$T)+(ROW(A856)-1),"")</f>
        <v/>
      </c>
      <c r="U856" s="3" t="str">
        <f ca="1">IF(B856&lt;&gt;"",INDEX('Initiative Indirect'!$T:$T,MATCH(B856,'Initiative Indirect'!$A:$A,0)),"")</f>
        <v/>
      </c>
      <c r="V856" s="3" t="str">
        <f ca="1">IF(C856&lt;&gt;"",INDEX('Team Indirect'!$T:$T,MATCH(C856,'Team Indirect'!$A:$A,0)),"")</f>
        <v/>
      </c>
      <c r="W856" s="3"/>
      <c r="X856" s="3"/>
      <c r="Y856" s="3" t="str">
        <f ca="1">IF($C856&lt;&gt;"",INDEX('Team Indirect'!$D:$D,MATCH($C856,'Team Indirect'!$A:$A,0)),"")</f>
        <v/>
      </c>
      <c r="Z856" s="3" t="str">
        <f ca="1">IF($C856&lt;&gt;"",INDEX('Team Indirect'!$E:$E,MATCH($C856,'Team Indirect'!$A:$A,0)),"")</f>
        <v/>
      </c>
      <c r="AA856" s="3" t="str">
        <f ca="1">IF($C856&lt;&gt;"",INDEX('Team Indirect'!$F:$F,MATCH($C856,'Team Indirect'!$A:$A,0)),"")</f>
        <v/>
      </c>
      <c r="AB856" s="3" t="str">
        <f t="shared" ca="1" si="13"/>
        <v/>
      </c>
      <c r="AC856" s="3">
        <f ca="1">IF(OR(AllocationUnits="Stories", AllocationUnits="Points"),'Work Indirect'!F856,F856/MAX('Work Indirect'!AB856,1))</f>
        <v>1</v>
      </c>
    </row>
    <row r="857" spans="1:29"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7" t="str">
        <f ca="1">IF(OFFSET('4. Work'!$A$1,ROW(D857)-1,COLUMN(D857)-1)="","",OFFSET('4. Work'!$A$1,ROW(D857)-1,COLUMN(D857)-1))</f>
        <v/>
      </c>
      <c r="E857" s="147"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I857" s="3" t="str">
        <f ca="1">IF(OFFSET('4. Work'!$A$1,ROW(I857)-1,COLUMN(I857)-1)="","",OFFSET('4. Work'!$A$1,ROW(I857)-1,COLUMN(I857)-1))</f>
        <v/>
      </c>
      <c r="T857" s="3" t="str">
        <f ca="1">IF(A857&lt;&gt;"",MAX('Initiative Indirect'!$T:$T)+(ROW(A857)-1),"")</f>
        <v/>
      </c>
      <c r="U857" s="3" t="str">
        <f ca="1">IF(B857&lt;&gt;"",INDEX('Initiative Indirect'!$T:$T,MATCH(B857,'Initiative Indirect'!$A:$A,0)),"")</f>
        <v/>
      </c>
      <c r="V857" s="3" t="str">
        <f ca="1">IF(C857&lt;&gt;"",INDEX('Team Indirect'!$T:$T,MATCH(C857,'Team Indirect'!$A:$A,0)),"")</f>
        <v/>
      </c>
      <c r="W857" s="3"/>
      <c r="X857" s="3"/>
      <c r="Y857" s="3" t="str">
        <f ca="1">IF($C857&lt;&gt;"",INDEX('Team Indirect'!$D:$D,MATCH($C857,'Team Indirect'!$A:$A,0)),"")</f>
        <v/>
      </c>
      <c r="Z857" s="3" t="str">
        <f ca="1">IF($C857&lt;&gt;"",INDEX('Team Indirect'!$E:$E,MATCH($C857,'Team Indirect'!$A:$A,0)),"")</f>
        <v/>
      </c>
      <c r="AA857" s="3" t="str">
        <f ca="1">IF($C857&lt;&gt;"",INDEX('Team Indirect'!$F:$F,MATCH($C857,'Team Indirect'!$A:$A,0)),"")</f>
        <v/>
      </c>
      <c r="AB857" s="3" t="str">
        <f t="shared" ca="1" si="13"/>
        <v/>
      </c>
      <c r="AC857" s="3">
        <f ca="1">IF(OR(AllocationUnits="Stories", AllocationUnits="Points"),'Work Indirect'!F857,F857/MAX('Work Indirect'!AB857,1))</f>
        <v>1</v>
      </c>
    </row>
    <row r="858" spans="1:29"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7" t="str">
        <f ca="1">IF(OFFSET('4. Work'!$A$1,ROW(D858)-1,COLUMN(D858)-1)="","",OFFSET('4. Work'!$A$1,ROW(D858)-1,COLUMN(D858)-1))</f>
        <v/>
      </c>
      <c r="E858" s="147"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I858" s="3" t="str">
        <f ca="1">IF(OFFSET('4. Work'!$A$1,ROW(I858)-1,COLUMN(I858)-1)="","",OFFSET('4. Work'!$A$1,ROW(I858)-1,COLUMN(I858)-1))</f>
        <v/>
      </c>
      <c r="T858" s="3" t="str">
        <f ca="1">IF(A858&lt;&gt;"",MAX('Initiative Indirect'!$T:$T)+(ROW(A858)-1),"")</f>
        <v/>
      </c>
      <c r="U858" s="3" t="str">
        <f ca="1">IF(B858&lt;&gt;"",INDEX('Initiative Indirect'!$T:$T,MATCH(B858,'Initiative Indirect'!$A:$A,0)),"")</f>
        <v/>
      </c>
      <c r="V858" s="3" t="str">
        <f ca="1">IF(C858&lt;&gt;"",INDEX('Team Indirect'!$T:$T,MATCH(C858,'Team Indirect'!$A:$A,0)),"")</f>
        <v/>
      </c>
      <c r="W858" s="3"/>
      <c r="X858" s="3"/>
      <c r="Y858" s="3" t="str">
        <f ca="1">IF($C858&lt;&gt;"",INDEX('Team Indirect'!$D:$D,MATCH($C858,'Team Indirect'!$A:$A,0)),"")</f>
        <v/>
      </c>
      <c r="Z858" s="3" t="str">
        <f ca="1">IF($C858&lt;&gt;"",INDEX('Team Indirect'!$E:$E,MATCH($C858,'Team Indirect'!$A:$A,0)),"")</f>
        <v/>
      </c>
      <c r="AA858" s="3" t="str">
        <f ca="1">IF($C858&lt;&gt;"",INDEX('Team Indirect'!$F:$F,MATCH($C858,'Team Indirect'!$A:$A,0)),"")</f>
        <v/>
      </c>
      <c r="AB858" s="3" t="str">
        <f t="shared" ca="1" si="13"/>
        <v/>
      </c>
      <c r="AC858" s="3">
        <f ca="1">IF(OR(AllocationUnits="Stories", AllocationUnits="Points"),'Work Indirect'!F858,F858/MAX('Work Indirect'!AB858,1))</f>
        <v>1</v>
      </c>
    </row>
    <row r="859" spans="1:29"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7" t="str">
        <f ca="1">IF(OFFSET('4. Work'!$A$1,ROW(D859)-1,COLUMN(D859)-1)="","",OFFSET('4. Work'!$A$1,ROW(D859)-1,COLUMN(D859)-1))</f>
        <v/>
      </c>
      <c r="E859" s="147"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I859" s="3" t="str">
        <f ca="1">IF(OFFSET('4. Work'!$A$1,ROW(I859)-1,COLUMN(I859)-1)="","",OFFSET('4. Work'!$A$1,ROW(I859)-1,COLUMN(I859)-1))</f>
        <v/>
      </c>
      <c r="T859" s="3" t="str">
        <f ca="1">IF(A859&lt;&gt;"",MAX('Initiative Indirect'!$T:$T)+(ROW(A859)-1),"")</f>
        <v/>
      </c>
      <c r="U859" s="3" t="str">
        <f ca="1">IF(B859&lt;&gt;"",INDEX('Initiative Indirect'!$T:$T,MATCH(B859,'Initiative Indirect'!$A:$A,0)),"")</f>
        <v/>
      </c>
      <c r="V859" s="3" t="str">
        <f ca="1">IF(C859&lt;&gt;"",INDEX('Team Indirect'!$T:$T,MATCH(C859,'Team Indirect'!$A:$A,0)),"")</f>
        <v/>
      </c>
      <c r="W859" s="3"/>
      <c r="X859" s="3"/>
      <c r="Y859" s="3" t="str">
        <f ca="1">IF($C859&lt;&gt;"",INDEX('Team Indirect'!$D:$D,MATCH($C859,'Team Indirect'!$A:$A,0)),"")</f>
        <v/>
      </c>
      <c r="Z859" s="3" t="str">
        <f ca="1">IF($C859&lt;&gt;"",INDEX('Team Indirect'!$E:$E,MATCH($C859,'Team Indirect'!$A:$A,0)),"")</f>
        <v/>
      </c>
      <c r="AA859" s="3" t="str">
        <f ca="1">IF($C859&lt;&gt;"",INDEX('Team Indirect'!$F:$F,MATCH($C859,'Team Indirect'!$A:$A,0)),"")</f>
        <v/>
      </c>
      <c r="AB859" s="3" t="str">
        <f t="shared" ca="1" si="13"/>
        <v/>
      </c>
      <c r="AC859" s="3">
        <f ca="1">IF(OR(AllocationUnits="Stories", AllocationUnits="Points"),'Work Indirect'!F859,F859/MAX('Work Indirect'!AB859,1))</f>
        <v>1</v>
      </c>
    </row>
    <row r="860" spans="1:29"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7" t="str">
        <f ca="1">IF(OFFSET('4. Work'!$A$1,ROW(D860)-1,COLUMN(D860)-1)="","",OFFSET('4. Work'!$A$1,ROW(D860)-1,COLUMN(D860)-1))</f>
        <v/>
      </c>
      <c r="E860" s="147"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I860" s="3" t="str">
        <f ca="1">IF(OFFSET('4. Work'!$A$1,ROW(I860)-1,COLUMN(I860)-1)="","",OFFSET('4. Work'!$A$1,ROW(I860)-1,COLUMN(I860)-1))</f>
        <v/>
      </c>
      <c r="T860" s="3" t="str">
        <f ca="1">IF(A860&lt;&gt;"",MAX('Initiative Indirect'!$T:$T)+(ROW(A860)-1),"")</f>
        <v/>
      </c>
      <c r="U860" s="3" t="str">
        <f ca="1">IF(B860&lt;&gt;"",INDEX('Initiative Indirect'!$T:$T,MATCH(B860,'Initiative Indirect'!$A:$A,0)),"")</f>
        <v/>
      </c>
      <c r="V860" s="3" t="str">
        <f ca="1">IF(C860&lt;&gt;"",INDEX('Team Indirect'!$T:$T,MATCH(C860,'Team Indirect'!$A:$A,0)),"")</f>
        <v/>
      </c>
      <c r="W860" s="3"/>
      <c r="X860" s="3"/>
      <c r="Y860" s="3" t="str">
        <f ca="1">IF($C860&lt;&gt;"",INDEX('Team Indirect'!$D:$D,MATCH($C860,'Team Indirect'!$A:$A,0)),"")</f>
        <v/>
      </c>
      <c r="Z860" s="3" t="str">
        <f ca="1">IF($C860&lt;&gt;"",INDEX('Team Indirect'!$E:$E,MATCH($C860,'Team Indirect'!$A:$A,0)),"")</f>
        <v/>
      </c>
      <c r="AA860" s="3" t="str">
        <f ca="1">IF($C860&lt;&gt;"",INDEX('Team Indirect'!$F:$F,MATCH($C860,'Team Indirect'!$A:$A,0)),"")</f>
        <v/>
      </c>
      <c r="AB860" s="3" t="str">
        <f t="shared" ca="1" si="13"/>
        <v/>
      </c>
      <c r="AC860" s="3">
        <f ca="1">IF(OR(AllocationUnits="Stories", AllocationUnits="Points"),'Work Indirect'!F860,F860/MAX('Work Indirect'!AB860,1))</f>
        <v>1</v>
      </c>
    </row>
    <row r="861" spans="1:29"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7" t="str">
        <f ca="1">IF(OFFSET('4. Work'!$A$1,ROW(D861)-1,COLUMN(D861)-1)="","",OFFSET('4. Work'!$A$1,ROW(D861)-1,COLUMN(D861)-1))</f>
        <v/>
      </c>
      <c r="E861" s="147"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I861" s="3" t="str">
        <f ca="1">IF(OFFSET('4. Work'!$A$1,ROW(I861)-1,COLUMN(I861)-1)="","",OFFSET('4. Work'!$A$1,ROW(I861)-1,COLUMN(I861)-1))</f>
        <v/>
      </c>
      <c r="T861" s="3" t="str">
        <f ca="1">IF(A861&lt;&gt;"",MAX('Initiative Indirect'!$T:$T)+(ROW(A861)-1),"")</f>
        <v/>
      </c>
      <c r="U861" s="3" t="str">
        <f ca="1">IF(B861&lt;&gt;"",INDEX('Initiative Indirect'!$T:$T,MATCH(B861,'Initiative Indirect'!$A:$A,0)),"")</f>
        <v/>
      </c>
      <c r="V861" s="3" t="str">
        <f ca="1">IF(C861&lt;&gt;"",INDEX('Team Indirect'!$T:$T,MATCH(C861,'Team Indirect'!$A:$A,0)),"")</f>
        <v/>
      </c>
      <c r="W861" s="3"/>
      <c r="X861" s="3"/>
      <c r="Y861" s="3" t="str">
        <f ca="1">IF($C861&lt;&gt;"",INDEX('Team Indirect'!$D:$D,MATCH($C861,'Team Indirect'!$A:$A,0)),"")</f>
        <v/>
      </c>
      <c r="Z861" s="3" t="str">
        <f ca="1">IF($C861&lt;&gt;"",INDEX('Team Indirect'!$E:$E,MATCH($C861,'Team Indirect'!$A:$A,0)),"")</f>
        <v/>
      </c>
      <c r="AA861" s="3" t="str">
        <f ca="1">IF($C861&lt;&gt;"",INDEX('Team Indirect'!$F:$F,MATCH($C861,'Team Indirect'!$A:$A,0)),"")</f>
        <v/>
      </c>
      <c r="AB861" s="3" t="str">
        <f t="shared" ca="1" si="13"/>
        <v/>
      </c>
      <c r="AC861" s="3">
        <f ca="1">IF(OR(AllocationUnits="Stories", AllocationUnits="Points"),'Work Indirect'!F861,F861/MAX('Work Indirect'!AB861,1))</f>
        <v>1</v>
      </c>
    </row>
    <row r="862" spans="1:29"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7" t="str">
        <f ca="1">IF(OFFSET('4. Work'!$A$1,ROW(D862)-1,COLUMN(D862)-1)="","",OFFSET('4. Work'!$A$1,ROW(D862)-1,COLUMN(D862)-1))</f>
        <v/>
      </c>
      <c r="E862" s="147"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I862" s="3" t="str">
        <f ca="1">IF(OFFSET('4. Work'!$A$1,ROW(I862)-1,COLUMN(I862)-1)="","",OFFSET('4. Work'!$A$1,ROW(I862)-1,COLUMN(I862)-1))</f>
        <v/>
      </c>
      <c r="T862" s="3" t="str">
        <f ca="1">IF(A862&lt;&gt;"",MAX('Initiative Indirect'!$T:$T)+(ROW(A862)-1),"")</f>
        <v/>
      </c>
      <c r="U862" s="3" t="str">
        <f ca="1">IF(B862&lt;&gt;"",INDEX('Initiative Indirect'!$T:$T,MATCH(B862,'Initiative Indirect'!$A:$A,0)),"")</f>
        <v/>
      </c>
      <c r="V862" s="3" t="str">
        <f ca="1">IF(C862&lt;&gt;"",INDEX('Team Indirect'!$T:$T,MATCH(C862,'Team Indirect'!$A:$A,0)),"")</f>
        <v/>
      </c>
      <c r="W862" s="3"/>
      <c r="X862" s="3"/>
      <c r="Y862" s="3" t="str">
        <f ca="1">IF($C862&lt;&gt;"",INDEX('Team Indirect'!$D:$D,MATCH($C862,'Team Indirect'!$A:$A,0)),"")</f>
        <v/>
      </c>
      <c r="Z862" s="3" t="str">
        <f ca="1">IF($C862&lt;&gt;"",INDEX('Team Indirect'!$E:$E,MATCH($C862,'Team Indirect'!$A:$A,0)),"")</f>
        <v/>
      </c>
      <c r="AA862" s="3" t="str">
        <f ca="1">IF($C862&lt;&gt;"",INDEX('Team Indirect'!$F:$F,MATCH($C862,'Team Indirect'!$A:$A,0)),"")</f>
        <v/>
      </c>
      <c r="AB862" s="3" t="str">
        <f t="shared" ca="1" si="13"/>
        <v/>
      </c>
      <c r="AC862" s="3">
        <f ca="1">IF(OR(AllocationUnits="Stories", AllocationUnits="Points"),'Work Indirect'!F862,F862/MAX('Work Indirect'!AB862,1))</f>
        <v>1</v>
      </c>
    </row>
    <row r="863" spans="1:29"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7" t="str">
        <f ca="1">IF(OFFSET('4. Work'!$A$1,ROW(D863)-1,COLUMN(D863)-1)="","",OFFSET('4. Work'!$A$1,ROW(D863)-1,COLUMN(D863)-1))</f>
        <v/>
      </c>
      <c r="E863" s="147"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I863" s="3" t="str">
        <f ca="1">IF(OFFSET('4. Work'!$A$1,ROW(I863)-1,COLUMN(I863)-1)="","",OFFSET('4. Work'!$A$1,ROW(I863)-1,COLUMN(I863)-1))</f>
        <v/>
      </c>
      <c r="T863" s="3" t="str">
        <f ca="1">IF(A863&lt;&gt;"",MAX('Initiative Indirect'!$T:$T)+(ROW(A863)-1),"")</f>
        <v/>
      </c>
      <c r="U863" s="3" t="str">
        <f ca="1">IF(B863&lt;&gt;"",INDEX('Initiative Indirect'!$T:$T,MATCH(B863,'Initiative Indirect'!$A:$A,0)),"")</f>
        <v/>
      </c>
      <c r="V863" s="3" t="str">
        <f ca="1">IF(C863&lt;&gt;"",INDEX('Team Indirect'!$T:$T,MATCH(C863,'Team Indirect'!$A:$A,0)),"")</f>
        <v/>
      </c>
      <c r="W863" s="3"/>
      <c r="X863" s="3"/>
      <c r="Y863" s="3" t="str">
        <f ca="1">IF($C863&lt;&gt;"",INDEX('Team Indirect'!$D:$D,MATCH($C863,'Team Indirect'!$A:$A,0)),"")</f>
        <v/>
      </c>
      <c r="Z863" s="3" t="str">
        <f ca="1">IF($C863&lt;&gt;"",INDEX('Team Indirect'!$E:$E,MATCH($C863,'Team Indirect'!$A:$A,0)),"")</f>
        <v/>
      </c>
      <c r="AA863" s="3" t="str">
        <f ca="1">IF($C863&lt;&gt;"",INDEX('Team Indirect'!$F:$F,MATCH($C863,'Team Indirect'!$A:$A,0)),"")</f>
        <v/>
      </c>
      <c r="AB863" s="3" t="str">
        <f t="shared" ca="1" si="13"/>
        <v/>
      </c>
      <c r="AC863" s="3">
        <f ca="1">IF(OR(AllocationUnits="Stories", AllocationUnits="Points"),'Work Indirect'!F863,F863/MAX('Work Indirect'!AB863,1))</f>
        <v>1</v>
      </c>
    </row>
    <row r="864" spans="1:29"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7" t="str">
        <f ca="1">IF(OFFSET('4. Work'!$A$1,ROW(D864)-1,COLUMN(D864)-1)="","",OFFSET('4. Work'!$A$1,ROW(D864)-1,COLUMN(D864)-1))</f>
        <v/>
      </c>
      <c r="E864" s="147"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I864" s="3" t="str">
        <f ca="1">IF(OFFSET('4. Work'!$A$1,ROW(I864)-1,COLUMN(I864)-1)="","",OFFSET('4. Work'!$A$1,ROW(I864)-1,COLUMN(I864)-1))</f>
        <v/>
      </c>
      <c r="T864" s="3" t="str">
        <f ca="1">IF(A864&lt;&gt;"",MAX('Initiative Indirect'!$T:$T)+(ROW(A864)-1),"")</f>
        <v/>
      </c>
      <c r="U864" s="3" t="str">
        <f ca="1">IF(B864&lt;&gt;"",INDEX('Initiative Indirect'!$T:$T,MATCH(B864,'Initiative Indirect'!$A:$A,0)),"")</f>
        <v/>
      </c>
      <c r="V864" s="3" t="str">
        <f ca="1">IF(C864&lt;&gt;"",INDEX('Team Indirect'!$T:$T,MATCH(C864,'Team Indirect'!$A:$A,0)),"")</f>
        <v/>
      </c>
      <c r="W864" s="3"/>
      <c r="X864" s="3"/>
      <c r="Y864" s="3" t="str">
        <f ca="1">IF($C864&lt;&gt;"",INDEX('Team Indirect'!$D:$D,MATCH($C864,'Team Indirect'!$A:$A,0)),"")</f>
        <v/>
      </c>
      <c r="Z864" s="3" t="str">
        <f ca="1">IF($C864&lt;&gt;"",INDEX('Team Indirect'!$E:$E,MATCH($C864,'Team Indirect'!$A:$A,0)),"")</f>
        <v/>
      </c>
      <c r="AA864" s="3" t="str">
        <f ca="1">IF($C864&lt;&gt;"",INDEX('Team Indirect'!$F:$F,MATCH($C864,'Team Indirect'!$A:$A,0)),"")</f>
        <v/>
      </c>
      <c r="AB864" s="3" t="str">
        <f t="shared" ca="1" si="13"/>
        <v/>
      </c>
      <c r="AC864" s="3">
        <f ca="1">IF(OR(AllocationUnits="Stories", AllocationUnits="Points"),'Work Indirect'!F864,F864/MAX('Work Indirect'!AB864,1))</f>
        <v>1</v>
      </c>
    </row>
    <row r="865" spans="1:29"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7" t="str">
        <f ca="1">IF(OFFSET('4. Work'!$A$1,ROW(D865)-1,COLUMN(D865)-1)="","",OFFSET('4. Work'!$A$1,ROW(D865)-1,COLUMN(D865)-1))</f>
        <v/>
      </c>
      <c r="E865" s="147"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I865" s="3" t="str">
        <f ca="1">IF(OFFSET('4. Work'!$A$1,ROW(I865)-1,COLUMN(I865)-1)="","",OFFSET('4. Work'!$A$1,ROW(I865)-1,COLUMN(I865)-1))</f>
        <v/>
      </c>
      <c r="T865" s="3" t="str">
        <f ca="1">IF(A865&lt;&gt;"",MAX('Initiative Indirect'!$T:$T)+(ROW(A865)-1),"")</f>
        <v/>
      </c>
      <c r="U865" s="3" t="str">
        <f ca="1">IF(B865&lt;&gt;"",INDEX('Initiative Indirect'!$T:$T,MATCH(B865,'Initiative Indirect'!$A:$A,0)),"")</f>
        <v/>
      </c>
      <c r="V865" s="3" t="str">
        <f ca="1">IF(C865&lt;&gt;"",INDEX('Team Indirect'!$T:$T,MATCH(C865,'Team Indirect'!$A:$A,0)),"")</f>
        <v/>
      </c>
      <c r="W865" s="3"/>
      <c r="X865" s="3"/>
      <c r="Y865" s="3" t="str">
        <f ca="1">IF($C865&lt;&gt;"",INDEX('Team Indirect'!$D:$D,MATCH($C865,'Team Indirect'!$A:$A,0)),"")</f>
        <v/>
      </c>
      <c r="Z865" s="3" t="str">
        <f ca="1">IF($C865&lt;&gt;"",INDEX('Team Indirect'!$E:$E,MATCH($C865,'Team Indirect'!$A:$A,0)),"")</f>
        <v/>
      </c>
      <c r="AA865" s="3" t="str">
        <f ca="1">IF($C865&lt;&gt;"",INDEX('Team Indirect'!$F:$F,MATCH($C865,'Team Indirect'!$A:$A,0)),"")</f>
        <v/>
      </c>
      <c r="AB865" s="3" t="str">
        <f t="shared" ca="1" si="13"/>
        <v/>
      </c>
      <c r="AC865" s="3">
        <f ca="1">IF(OR(AllocationUnits="Stories", AllocationUnits="Points"),'Work Indirect'!F865,F865/MAX('Work Indirect'!AB865,1))</f>
        <v>1</v>
      </c>
    </row>
    <row r="866" spans="1:29"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7" t="str">
        <f ca="1">IF(OFFSET('4. Work'!$A$1,ROW(D866)-1,COLUMN(D866)-1)="","",OFFSET('4. Work'!$A$1,ROW(D866)-1,COLUMN(D866)-1))</f>
        <v/>
      </c>
      <c r="E866" s="147"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I866" s="3" t="str">
        <f ca="1">IF(OFFSET('4. Work'!$A$1,ROW(I866)-1,COLUMN(I866)-1)="","",OFFSET('4. Work'!$A$1,ROW(I866)-1,COLUMN(I866)-1))</f>
        <v/>
      </c>
      <c r="T866" s="3" t="str">
        <f ca="1">IF(A866&lt;&gt;"",MAX('Initiative Indirect'!$T:$T)+(ROW(A866)-1),"")</f>
        <v/>
      </c>
      <c r="U866" s="3" t="str">
        <f ca="1">IF(B866&lt;&gt;"",INDEX('Initiative Indirect'!$T:$T,MATCH(B866,'Initiative Indirect'!$A:$A,0)),"")</f>
        <v/>
      </c>
      <c r="V866" s="3" t="str">
        <f ca="1">IF(C866&lt;&gt;"",INDEX('Team Indirect'!$T:$T,MATCH(C866,'Team Indirect'!$A:$A,0)),"")</f>
        <v/>
      </c>
      <c r="W866" s="3"/>
      <c r="X866" s="3"/>
      <c r="Y866" s="3" t="str">
        <f ca="1">IF($C866&lt;&gt;"",INDEX('Team Indirect'!$D:$D,MATCH($C866,'Team Indirect'!$A:$A,0)),"")</f>
        <v/>
      </c>
      <c r="Z866" s="3" t="str">
        <f ca="1">IF($C866&lt;&gt;"",INDEX('Team Indirect'!$E:$E,MATCH($C866,'Team Indirect'!$A:$A,0)),"")</f>
        <v/>
      </c>
      <c r="AA866" s="3" t="str">
        <f ca="1">IF($C866&lt;&gt;"",INDEX('Team Indirect'!$F:$F,MATCH($C866,'Team Indirect'!$A:$A,0)),"")</f>
        <v/>
      </c>
      <c r="AB866" s="3" t="str">
        <f t="shared" ca="1" si="13"/>
        <v/>
      </c>
      <c r="AC866" s="3">
        <f ca="1">IF(OR(AllocationUnits="Stories", AllocationUnits="Points"),'Work Indirect'!F866,F866/MAX('Work Indirect'!AB866,1))</f>
        <v>1</v>
      </c>
    </row>
    <row r="867" spans="1:29"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7" t="str">
        <f ca="1">IF(OFFSET('4. Work'!$A$1,ROW(D867)-1,COLUMN(D867)-1)="","",OFFSET('4. Work'!$A$1,ROW(D867)-1,COLUMN(D867)-1))</f>
        <v/>
      </c>
      <c r="E867" s="147"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I867" s="3" t="str">
        <f ca="1">IF(OFFSET('4. Work'!$A$1,ROW(I867)-1,COLUMN(I867)-1)="","",OFFSET('4. Work'!$A$1,ROW(I867)-1,COLUMN(I867)-1))</f>
        <v/>
      </c>
      <c r="T867" s="3" t="str">
        <f ca="1">IF(A867&lt;&gt;"",MAX('Initiative Indirect'!$T:$T)+(ROW(A867)-1),"")</f>
        <v/>
      </c>
      <c r="U867" s="3" t="str">
        <f ca="1">IF(B867&lt;&gt;"",INDEX('Initiative Indirect'!$T:$T,MATCH(B867,'Initiative Indirect'!$A:$A,0)),"")</f>
        <v/>
      </c>
      <c r="V867" s="3" t="str">
        <f ca="1">IF(C867&lt;&gt;"",INDEX('Team Indirect'!$T:$T,MATCH(C867,'Team Indirect'!$A:$A,0)),"")</f>
        <v/>
      </c>
      <c r="W867" s="3"/>
      <c r="X867" s="3"/>
      <c r="Y867" s="3" t="str">
        <f ca="1">IF($C867&lt;&gt;"",INDEX('Team Indirect'!$D:$D,MATCH($C867,'Team Indirect'!$A:$A,0)),"")</f>
        <v/>
      </c>
      <c r="Z867" s="3" t="str">
        <f ca="1">IF($C867&lt;&gt;"",INDEX('Team Indirect'!$E:$E,MATCH($C867,'Team Indirect'!$A:$A,0)),"")</f>
        <v/>
      </c>
      <c r="AA867" s="3" t="str">
        <f ca="1">IF($C867&lt;&gt;"",INDEX('Team Indirect'!$F:$F,MATCH($C867,'Team Indirect'!$A:$A,0)),"")</f>
        <v/>
      </c>
      <c r="AB867" s="3" t="str">
        <f t="shared" ca="1" si="13"/>
        <v/>
      </c>
      <c r="AC867" s="3">
        <f ca="1">IF(OR(AllocationUnits="Stories", AllocationUnits="Points"),'Work Indirect'!F867,F867/MAX('Work Indirect'!AB867,1))</f>
        <v>1</v>
      </c>
    </row>
    <row r="868" spans="1:29"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7" t="str">
        <f ca="1">IF(OFFSET('4. Work'!$A$1,ROW(D868)-1,COLUMN(D868)-1)="","",OFFSET('4. Work'!$A$1,ROW(D868)-1,COLUMN(D868)-1))</f>
        <v/>
      </c>
      <c r="E868" s="147"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I868" s="3" t="str">
        <f ca="1">IF(OFFSET('4. Work'!$A$1,ROW(I868)-1,COLUMN(I868)-1)="","",OFFSET('4. Work'!$A$1,ROW(I868)-1,COLUMN(I868)-1))</f>
        <v/>
      </c>
      <c r="T868" s="3" t="str">
        <f ca="1">IF(A868&lt;&gt;"",MAX('Initiative Indirect'!$T:$T)+(ROW(A868)-1),"")</f>
        <v/>
      </c>
      <c r="U868" s="3" t="str">
        <f ca="1">IF(B868&lt;&gt;"",INDEX('Initiative Indirect'!$T:$T,MATCH(B868,'Initiative Indirect'!$A:$A,0)),"")</f>
        <v/>
      </c>
      <c r="V868" s="3" t="str">
        <f ca="1">IF(C868&lt;&gt;"",INDEX('Team Indirect'!$T:$T,MATCH(C868,'Team Indirect'!$A:$A,0)),"")</f>
        <v/>
      </c>
      <c r="W868" s="3"/>
      <c r="X868" s="3"/>
      <c r="Y868" s="3" t="str">
        <f ca="1">IF($C868&lt;&gt;"",INDEX('Team Indirect'!$D:$D,MATCH($C868,'Team Indirect'!$A:$A,0)),"")</f>
        <v/>
      </c>
      <c r="Z868" s="3" t="str">
        <f ca="1">IF($C868&lt;&gt;"",INDEX('Team Indirect'!$E:$E,MATCH($C868,'Team Indirect'!$A:$A,0)),"")</f>
        <v/>
      </c>
      <c r="AA868" s="3" t="str">
        <f ca="1">IF($C868&lt;&gt;"",INDEX('Team Indirect'!$F:$F,MATCH($C868,'Team Indirect'!$A:$A,0)),"")</f>
        <v/>
      </c>
      <c r="AB868" s="3" t="str">
        <f t="shared" ca="1" si="13"/>
        <v/>
      </c>
      <c r="AC868" s="3">
        <f ca="1">IF(OR(AllocationUnits="Stories", AllocationUnits="Points"),'Work Indirect'!F868,F868/MAX('Work Indirect'!AB868,1))</f>
        <v>1</v>
      </c>
    </row>
    <row r="869" spans="1:29"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7" t="str">
        <f ca="1">IF(OFFSET('4. Work'!$A$1,ROW(D869)-1,COLUMN(D869)-1)="","",OFFSET('4. Work'!$A$1,ROW(D869)-1,COLUMN(D869)-1))</f>
        <v/>
      </c>
      <c r="E869" s="147"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I869" s="3" t="str">
        <f ca="1">IF(OFFSET('4. Work'!$A$1,ROW(I869)-1,COLUMN(I869)-1)="","",OFFSET('4. Work'!$A$1,ROW(I869)-1,COLUMN(I869)-1))</f>
        <v/>
      </c>
      <c r="T869" s="3" t="str">
        <f ca="1">IF(A869&lt;&gt;"",MAX('Initiative Indirect'!$T:$T)+(ROW(A869)-1),"")</f>
        <v/>
      </c>
      <c r="U869" s="3" t="str">
        <f ca="1">IF(B869&lt;&gt;"",INDEX('Initiative Indirect'!$T:$T,MATCH(B869,'Initiative Indirect'!$A:$A,0)),"")</f>
        <v/>
      </c>
      <c r="V869" s="3" t="str">
        <f ca="1">IF(C869&lt;&gt;"",INDEX('Team Indirect'!$T:$T,MATCH(C869,'Team Indirect'!$A:$A,0)),"")</f>
        <v/>
      </c>
      <c r="W869" s="3"/>
      <c r="X869" s="3"/>
      <c r="Y869" s="3" t="str">
        <f ca="1">IF($C869&lt;&gt;"",INDEX('Team Indirect'!$D:$D,MATCH($C869,'Team Indirect'!$A:$A,0)),"")</f>
        <v/>
      </c>
      <c r="Z869" s="3" t="str">
        <f ca="1">IF($C869&lt;&gt;"",INDEX('Team Indirect'!$E:$E,MATCH($C869,'Team Indirect'!$A:$A,0)),"")</f>
        <v/>
      </c>
      <c r="AA869" s="3" t="str">
        <f ca="1">IF($C869&lt;&gt;"",INDEX('Team Indirect'!$F:$F,MATCH($C869,'Team Indirect'!$A:$A,0)),"")</f>
        <v/>
      </c>
      <c r="AB869" s="3" t="str">
        <f t="shared" ca="1" si="13"/>
        <v/>
      </c>
      <c r="AC869" s="3">
        <f ca="1">IF(OR(AllocationUnits="Stories", AllocationUnits="Points"),'Work Indirect'!F869,F869/MAX('Work Indirect'!AB869,1))</f>
        <v>1</v>
      </c>
    </row>
    <row r="870" spans="1:29"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7" t="str">
        <f ca="1">IF(OFFSET('4. Work'!$A$1,ROW(D870)-1,COLUMN(D870)-1)="","",OFFSET('4. Work'!$A$1,ROW(D870)-1,COLUMN(D870)-1))</f>
        <v/>
      </c>
      <c r="E870" s="147"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I870" s="3" t="str">
        <f ca="1">IF(OFFSET('4. Work'!$A$1,ROW(I870)-1,COLUMN(I870)-1)="","",OFFSET('4. Work'!$A$1,ROW(I870)-1,COLUMN(I870)-1))</f>
        <v/>
      </c>
      <c r="T870" s="3" t="str">
        <f ca="1">IF(A870&lt;&gt;"",MAX('Initiative Indirect'!$T:$T)+(ROW(A870)-1),"")</f>
        <v/>
      </c>
      <c r="U870" s="3" t="str">
        <f ca="1">IF(B870&lt;&gt;"",INDEX('Initiative Indirect'!$T:$T,MATCH(B870,'Initiative Indirect'!$A:$A,0)),"")</f>
        <v/>
      </c>
      <c r="V870" s="3" t="str">
        <f ca="1">IF(C870&lt;&gt;"",INDEX('Team Indirect'!$T:$T,MATCH(C870,'Team Indirect'!$A:$A,0)),"")</f>
        <v/>
      </c>
      <c r="W870" s="3"/>
      <c r="X870" s="3"/>
      <c r="Y870" s="3" t="str">
        <f ca="1">IF($C870&lt;&gt;"",INDEX('Team Indirect'!$D:$D,MATCH($C870,'Team Indirect'!$A:$A,0)),"")</f>
        <v/>
      </c>
      <c r="Z870" s="3" t="str">
        <f ca="1">IF($C870&lt;&gt;"",INDEX('Team Indirect'!$E:$E,MATCH($C870,'Team Indirect'!$A:$A,0)),"")</f>
        <v/>
      </c>
      <c r="AA870" s="3" t="str">
        <f ca="1">IF($C870&lt;&gt;"",INDEX('Team Indirect'!$F:$F,MATCH($C870,'Team Indirect'!$A:$A,0)),"")</f>
        <v/>
      </c>
      <c r="AB870" s="3" t="str">
        <f t="shared" ca="1" si="13"/>
        <v/>
      </c>
      <c r="AC870" s="3">
        <f ca="1">IF(OR(AllocationUnits="Stories", AllocationUnits="Points"),'Work Indirect'!F870,F870/MAX('Work Indirect'!AB870,1))</f>
        <v>1</v>
      </c>
    </row>
    <row r="871" spans="1:29"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7" t="str">
        <f ca="1">IF(OFFSET('4. Work'!$A$1,ROW(D871)-1,COLUMN(D871)-1)="","",OFFSET('4. Work'!$A$1,ROW(D871)-1,COLUMN(D871)-1))</f>
        <v/>
      </c>
      <c r="E871" s="147"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I871" s="3" t="str">
        <f ca="1">IF(OFFSET('4. Work'!$A$1,ROW(I871)-1,COLUMN(I871)-1)="","",OFFSET('4. Work'!$A$1,ROW(I871)-1,COLUMN(I871)-1))</f>
        <v/>
      </c>
      <c r="T871" s="3" t="str">
        <f ca="1">IF(A871&lt;&gt;"",MAX('Initiative Indirect'!$T:$T)+(ROW(A871)-1),"")</f>
        <v/>
      </c>
      <c r="U871" s="3" t="str">
        <f ca="1">IF(B871&lt;&gt;"",INDEX('Initiative Indirect'!$T:$T,MATCH(B871,'Initiative Indirect'!$A:$A,0)),"")</f>
        <v/>
      </c>
      <c r="V871" s="3" t="str">
        <f ca="1">IF(C871&lt;&gt;"",INDEX('Team Indirect'!$T:$T,MATCH(C871,'Team Indirect'!$A:$A,0)),"")</f>
        <v/>
      </c>
      <c r="W871" s="3"/>
      <c r="X871" s="3"/>
      <c r="Y871" s="3" t="str">
        <f ca="1">IF($C871&lt;&gt;"",INDEX('Team Indirect'!$D:$D,MATCH($C871,'Team Indirect'!$A:$A,0)),"")</f>
        <v/>
      </c>
      <c r="Z871" s="3" t="str">
        <f ca="1">IF($C871&lt;&gt;"",INDEX('Team Indirect'!$E:$E,MATCH($C871,'Team Indirect'!$A:$A,0)),"")</f>
        <v/>
      </c>
      <c r="AA871" s="3" t="str">
        <f ca="1">IF($C871&lt;&gt;"",INDEX('Team Indirect'!$F:$F,MATCH($C871,'Team Indirect'!$A:$A,0)),"")</f>
        <v/>
      </c>
      <c r="AB871" s="3" t="str">
        <f t="shared" ca="1" si="13"/>
        <v/>
      </c>
      <c r="AC871" s="3">
        <f ca="1">IF(OR(AllocationUnits="Stories", AllocationUnits="Points"),'Work Indirect'!F871,F871/MAX('Work Indirect'!AB871,1))</f>
        <v>1</v>
      </c>
    </row>
    <row r="872" spans="1:29"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7" t="str">
        <f ca="1">IF(OFFSET('4. Work'!$A$1,ROW(D872)-1,COLUMN(D872)-1)="","",OFFSET('4. Work'!$A$1,ROW(D872)-1,COLUMN(D872)-1))</f>
        <v/>
      </c>
      <c r="E872" s="147"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I872" s="3" t="str">
        <f ca="1">IF(OFFSET('4. Work'!$A$1,ROW(I872)-1,COLUMN(I872)-1)="","",OFFSET('4. Work'!$A$1,ROW(I872)-1,COLUMN(I872)-1))</f>
        <v/>
      </c>
      <c r="T872" s="3" t="str">
        <f ca="1">IF(A872&lt;&gt;"",MAX('Initiative Indirect'!$T:$T)+(ROW(A872)-1),"")</f>
        <v/>
      </c>
      <c r="U872" s="3" t="str">
        <f ca="1">IF(B872&lt;&gt;"",INDEX('Initiative Indirect'!$T:$T,MATCH(B872,'Initiative Indirect'!$A:$A,0)),"")</f>
        <v/>
      </c>
      <c r="V872" s="3" t="str">
        <f ca="1">IF(C872&lt;&gt;"",INDEX('Team Indirect'!$T:$T,MATCH(C872,'Team Indirect'!$A:$A,0)),"")</f>
        <v/>
      </c>
      <c r="W872" s="3"/>
      <c r="X872" s="3"/>
      <c r="Y872" s="3" t="str">
        <f ca="1">IF($C872&lt;&gt;"",INDEX('Team Indirect'!$D:$D,MATCH($C872,'Team Indirect'!$A:$A,0)),"")</f>
        <v/>
      </c>
      <c r="Z872" s="3" t="str">
        <f ca="1">IF($C872&lt;&gt;"",INDEX('Team Indirect'!$E:$E,MATCH($C872,'Team Indirect'!$A:$A,0)),"")</f>
        <v/>
      </c>
      <c r="AA872" s="3" t="str">
        <f ca="1">IF($C872&lt;&gt;"",INDEX('Team Indirect'!$F:$F,MATCH($C872,'Team Indirect'!$A:$A,0)),"")</f>
        <v/>
      </c>
      <c r="AB872" s="3" t="str">
        <f t="shared" ca="1" si="13"/>
        <v/>
      </c>
      <c r="AC872" s="3">
        <f ca="1">IF(OR(AllocationUnits="Stories", AllocationUnits="Points"),'Work Indirect'!F872,F872/MAX('Work Indirect'!AB872,1))</f>
        <v>1</v>
      </c>
    </row>
    <row r="873" spans="1:29"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7" t="str">
        <f ca="1">IF(OFFSET('4. Work'!$A$1,ROW(D873)-1,COLUMN(D873)-1)="","",OFFSET('4. Work'!$A$1,ROW(D873)-1,COLUMN(D873)-1))</f>
        <v/>
      </c>
      <c r="E873" s="147"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I873" s="3" t="str">
        <f ca="1">IF(OFFSET('4. Work'!$A$1,ROW(I873)-1,COLUMN(I873)-1)="","",OFFSET('4. Work'!$A$1,ROW(I873)-1,COLUMN(I873)-1))</f>
        <v/>
      </c>
      <c r="T873" s="3" t="str">
        <f ca="1">IF(A873&lt;&gt;"",MAX('Initiative Indirect'!$T:$T)+(ROW(A873)-1),"")</f>
        <v/>
      </c>
      <c r="U873" s="3" t="str">
        <f ca="1">IF(B873&lt;&gt;"",INDEX('Initiative Indirect'!$T:$T,MATCH(B873,'Initiative Indirect'!$A:$A,0)),"")</f>
        <v/>
      </c>
      <c r="V873" s="3" t="str">
        <f ca="1">IF(C873&lt;&gt;"",INDEX('Team Indirect'!$T:$T,MATCH(C873,'Team Indirect'!$A:$A,0)),"")</f>
        <v/>
      </c>
      <c r="W873" s="3"/>
      <c r="X873" s="3"/>
      <c r="Y873" s="3" t="str">
        <f ca="1">IF($C873&lt;&gt;"",INDEX('Team Indirect'!$D:$D,MATCH($C873,'Team Indirect'!$A:$A,0)),"")</f>
        <v/>
      </c>
      <c r="Z873" s="3" t="str">
        <f ca="1">IF($C873&lt;&gt;"",INDEX('Team Indirect'!$E:$E,MATCH($C873,'Team Indirect'!$A:$A,0)),"")</f>
        <v/>
      </c>
      <c r="AA873" s="3" t="str">
        <f ca="1">IF($C873&lt;&gt;"",INDEX('Team Indirect'!$F:$F,MATCH($C873,'Team Indirect'!$A:$A,0)),"")</f>
        <v/>
      </c>
      <c r="AB873" s="3" t="str">
        <f t="shared" ca="1" si="13"/>
        <v/>
      </c>
      <c r="AC873" s="3">
        <f ca="1">IF(OR(AllocationUnits="Stories", AllocationUnits="Points"),'Work Indirect'!F873,F873/MAX('Work Indirect'!AB873,1))</f>
        <v>1</v>
      </c>
    </row>
    <row r="874" spans="1:29"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7" t="str">
        <f ca="1">IF(OFFSET('4. Work'!$A$1,ROW(D874)-1,COLUMN(D874)-1)="","",OFFSET('4. Work'!$A$1,ROW(D874)-1,COLUMN(D874)-1))</f>
        <v/>
      </c>
      <c r="E874" s="147"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I874" s="3" t="str">
        <f ca="1">IF(OFFSET('4. Work'!$A$1,ROW(I874)-1,COLUMN(I874)-1)="","",OFFSET('4. Work'!$A$1,ROW(I874)-1,COLUMN(I874)-1))</f>
        <v/>
      </c>
      <c r="T874" s="3" t="str">
        <f ca="1">IF(A874&lt;&gt;"",MAX('Initiative Indirect'!$T:$T)+(ROW(A874)-1),"")</f>
        <v/>
      </c>
      <c r="U874" s="3" t="str">
        <f ca="1">IF(B874&lt;&gt;"",INDEX('Initiative Indirect'!$T:$T,MATCH(B874,'Initiative Indirect'!$A:$A,0)),"")</f>
        <v/>
      </c>
      <c r="V874" s="3" t="str">
        <f ca="1">IF(C874&lt;&gt;"",INDEX('Team Indirect'!$T:$T,MATCH(C874,'Team Indirect'!$A:$A,0)),"")</f>
        <v/>
      </c>
      <c r="W874" s="3"/>
      <c r="X874" s="3"/>
      <c r="Y874" s="3" t="str">
        <f ca="1">IF($C874&lt;&gt;"",INDEX('Team Indirect'!$D:$D,MATCH($C874,'Team Indirect'!$A:$A,0)),"")</f>
        <v/>
      </c>
      <c r="Z874" s="3" t="str">
        <f ca="1">IF($C874&lt;&gt;"",INDEX('Team Indirect'!$E:$E,MATCH($C874,'Team Indirect'!$A:$A,0)),"")</f>
        <v/>
      </c>
      <c r="AA874" s="3" t="str">
        <f ca="1">IF($C874&lt;&gt;"",INDEX('Team Indirect'!$F:$F,MATCH($C874,'Team Indirect'!$A:$A,0)),"")</f>
        <v/>
      </c>
      <c r="AB874" s="3" t="str">
        <f t="shared" ca="1" si="13"/>
        <v/>
      </c>
      <c r="AC874" s="3">
        <f ca="1">IF(OR(AllocationUnits="Stories", AllocationUnits="Points"),'Work Indirect'!F874,F874/MAX('Work Indirect'!AB874,1))</f>
        <v>1</v>
      </c>
    </row>
    <row r="875" spans="1:29"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7" t="str">
        <f ca="1">IF(OFFSET('4. Work'!$A$1,ROW(D875)-1,COLUMN(D875)-1)="","",OFFSET('4. Work'!$A$1,ROW(D875)-1,COLUMN(D875)-1))</f>
        <v/>
      </c>
      <c r="E875" s="147"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I875" s="3" t="str">
        <f ca="1">IF(OFFSET('4. Work'!$A$1,ROW(I875)-1,COLUMN(I875)-1)="","",OFFSET('4. Work'!$A$1,ROW(I875)-1,COLUMN(I875)-1))</f>
        <v/>
      </c>
      <c r="T875" s="3" t="str">
        <f ca="1">IF(A875&lt;&gt;"",MAX('Initiative Indirect'!$T:$T)+(ROW(A875)-1),"")</f>
        <v/>
      </c>
      <c r="U875" s="3" t="str">
        <f ca="1">IF(B875&lt;&gt;"",INDEX('Initiative Indirect'!$T:$T,MATCH(B875,'Initiative Indirect'!$A:$A,0)),"")</f>
        <v/>
      </c>
      <c r="V875" s="3" t="str">
        <f ca="1">IF(C875&lt;&gt;"",INDEX('Team Indirect'!$T:$T,MATCH(C875,'Team Indirect'!$A:$A,0)),"")</f>
        <v/>
      </c>
      <c r="W875" s="3"/>
      <c r="X875" s="3"/>
      <c r="Y875" s="3" t="str">
        <f ca="1">IF($C875&lt;&gt;"",INDEX('Team Indirect'!$D:$D,MATCH($C875,'Team Indirect'!$A:$A,0)),"")</f>
        <v/>
      </c>
      <c r="Z875" s="3" t="str">
        <f ca="1">IF($C875&lt;&gt;"",INDEX('Team Indirect'!$E:$E,MATCH($C875,'Team Indirect'!$A:$A,0)),"")</f>
        <v/>
      </c>
      <c r="AA875" s="3" t="str">
        <f ca="1">IF($C875&lt;&gt;"",INDEX('Team Indirect'!$F:$F,MATCH($C875,'Team Indirect'!$A:$A,0)),"")</f>
        <v/>
      </c>
      <c r="AB875" s="3" t="str">
        <f t="shared" ca="1" si="13"/>
        <v/>
      </c>
      <c r="AC875" s="3">
        <f ca="1">IF(OR(AllocationUnits="Stories", AllocationUnits="Points"),'Work Indirect'!F875,F875/MAX('Work Indirect'!AB875,1))</f>
        <v>1</v>
      </c>
    </row>
    <row r="876" spans="1:29"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7" t="str">
        <f ca="1">IF(OFFSET('4. Work'!$A$1,ROW(D876)-1,COLUMN(D876)-1)="","",OFFSET('4. Work'!$A$1,ROW(D876)-1,COLUMN(D876)-1))</f>
        <v/>
      </c>
      <c r="E876" s="147"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I876" s="3" t="str">
        <f ca="1">IF(OFFSET('4. Work'!$A$1,ROW(I876)-1,COLUMN(I876)-1)="","",OFFSET('4. Work'!$A$1,ROW(I876)-1,COLUMN(I876)-1))</f>
        <v/>
      </c>
      <c r="T876" s="3" t="str">
        <f ca="1">IF(A876&lt;&gt;"",MAX('Initiative Indirect'!$T:$T)+(ROW(A876)-1),"")</f>
        <v/>
      </c>
      <c r="U876" s="3" t="str">
        <f ca="1">IF(B876&lt;&gt;"",INDEX('Initiative Indirect'!$T:$T,MATCH(B876,'Initiative Indirect'!$A:$A,0)),"")</f>
        <v/>
      </c>
      <c r="V876" s="3" t="str">
        <f ca="1">IF(C876&lt;&gt;"",INDEX('Team Indirect'!$T:$T,MATCH(C876,'Team Indirect'!$A:$A,0)),"")</f>
        <v/>
      </c>
      <c r="W876" s="3"/>
      <c r="X876" s="3"/>
      <c r="Y876" s="3" t="str">
        <f ca="1">IF($C876&lt;&gt;"",INDEX('Team Indirect'!$D:$D,MATCH($C876,'Team Indirect'!$A:$A,0)),"")</f>
        <v/>
      </c>
      <c r="Z876" s="3" t="str">
        <f ca="1">IF($C876&lt;&gt;"",INDEX('Team Indirect'!$E:$E,MATCH($C876,'Team Indirect'!$A:$A,0)),"")</f>
        <v/>
      </c>
      <c r="AA876" s="3" t="str">
        <f ca="1">IF($C876&lt;&gt;"",INDEX('Team Indirect'!$F:$F,MATCH($C876,'Team Indirect'!$A:$A,0)),"")</f>
        <v/>
      </c>
      <c r="AB876" s="3" t="str">
        <f t="shared" ca="1" si="13"/>
        <v/>
      </c>
      <c r="AC876" s="3">
        <f ca="1">IF(OR(AllocationUnits="Stories", AllocationUnits="Points"),'Work Indirect'!F876,F876/MAX('Work Indirect'!AB876,1))</f>
        <v>1</v>
      </c>
    </row>
    <row r="877" spans="1:29"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7" t="str">
        <f ca="1">IF(OFFSET('4. Work'!$A$1,ROW(D877)-1,COLUMN(D877)-1)="","",OFFSET('4. Work'!$A$1,ROW(D877)-1,COLUMN(D877)-1))</f>
        <v/>
      </c>
      <c r="E877" s="147"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I877" s="3" t="str">
        <f ca="1">IF(OFFSET('4. Work'!$A$1,ROW(I877)-1,COLUMN(I877)-1)="","",OFFSET('4. Work'!$A$1,ROW(I877)-1,COLUMN(I877)-1))</f>
        <v/>
      </c>
      <c r="T877" s="3" t="str">
        <f ca="1">IF(A877&lt;&gt;"",MAX('Initiative Indirect'!$T:$T)+(ROW(A877)-1),"")</f>
        <v/>
      </c>
      <c r="U877" s="3" t="str">
        <f ca="1">IF(B877&lt;&gt;"",INDEX('Initiative Indirect'!$T:$T,MATCH(B877,'Initiative Indirect'!$A:$A,0)),"")</f>
        <v/>
      </c>
      <c r="V877" s="3" t="str">
        <f ca="1">IF(C877&lt;&gt;"",INDEX('Team Indirect'!$T:$T,MATCH(C877,'Team Indirect'!$A:$A,0)),"")</f>
        <v/>
      </c>
      <c r="W877" s="3"/>
      <c r="X877" s="3"/>
      <c r="Y877" s="3" t="str">
        <f ca="1">IF($C877&lt;&gt;"",INDEX('Team Indirect'!$D:$D,MATCH($C877,'Team Indirect'!$A:$A,0)),"")</f>
        <v/>
      </c>
      <c r="Z877" s="3" t="str">
        <f ca="1">IF($C877&lt;&gt;"",INDEX('Team Indirect'!$E:$E,MATCH($C877,'Team Indirect'!$A:$A,0)),"")</f>
        <v/>
      </c>
      <c r="AA877" s="3" t="str">
        <f ca="1">IF($C877&lt;&gt;"",INDEX('Team Indirect'!$F:$F,MATCH($C877,'Team Indirect'!$A:$A,0)),"")</f>
        <v/>
      </c>
      <c r="AB877" s="3" t="str">
        <f t="shared" ca="1" si="13"/>
        <v/>
      </c>
      <c r="AC877" s="3">
        <f ca="1">IF(OR(AllocationUnits="Stories", AllocationUnits="Points"),'Work Indirect'!F877,F877/MAX('Work Indirect'!AB877,1))</f>
        <v>1</v>
      </c>
    </row>
    <row r="878" spans="1:29"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7" t="str">
        <f ca="1">IF(OFFSET('4. Work'!$A$1,ROW(D878)-1,COLUMN(D878)-1)="","",OFFSET('4. Work'!$A$1,ROW(D878)-1,COLUMN(D878)-1))</f>
        <v/>
      </c>
      <c r="E878" s="147"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I878" s="3" t="str">
        <f ca="1">IF(OFFSET('4. Work'!$A$1,ROW(I878)-1,COLUMN(I878)-1)="","",OFFSET('4. Work'!$A$1,ROW(I878)-1,COLUMN(I878)-1))</f>
        <v/>
      </c>
      <c r="T878" s="3" t="str">
        <f ca="1">IF(A878&lt;&gt;"",MAX('Initiative Indirect'!$T:$T)+(ROW(A878)-1),"")</f>
        <v/>
      </c>
      <c r="U878" s="3" t="str">
        <f ca="1">IF(B878&lt;&gt;"",INDEX('Initiative Indirect'!$T:$T,MATCH(B878,'Initiative Indirect'!$A:$A,0)),"")</f>
        <v/>
      </c>
      <c r="V878" s="3" t="str">
        <f ca="1">IF(C878&lt;&gt;"",INDEX('Team Indirect'!$T:$T,MATCH(C878,'Team Indirect'!$A:$A,0)),"")</f>
        <v/>
      </c>
      <c r="W878" s="3"/>
      <c r="X878" s="3"/>
      <c r="Y878" s="3" t="str">
        <f ca="1">IF($C878&lt;&gt;"",INDEX('Team Indirect'!$D:$D,MATCH($C878,'Team Indirect'!$A:$A,0)),"")</f>
        <v/>
      </c>
      <c r="Z878" s="3" t="str">
        <f ca="1">IF($C878&lt;&gt;"",INDEX('Team Indirect'!$E:$E,MATCH($C878,'Team Indirect'!$A:$A,0)),"")</f>
        <v/>
      </c>
      <c r="AA878" s="3" t="str">
        <f ca="1">IF($C878&lt;&gt;"",INDEX('Team Indirect'!$F:$F,MATCH($C878,'Team Indirect'!$A:$A,0)),"")</f>
        <v/>
      </c>
      <c r="AB878" s="3" t="str">
        <f t="shared" ca="1" si="13"/>
        <v/>
      </c>
      <c r="AC878" s="3">
        <f ca="1">IF(OR(AllocationUnits="Stories", AllocationUnits="Points"),'Work Indirect'!F878,F878/MAX('Work Indirect'!AB878,1))</f>
        <v>1</v>
      </c>
    </row>
    <row r="879" spans="1:29"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7" t="str">
        <f ca="1">IF(OFFSET('4. Work'!$A$1,ROW(D879)-1,COLUMN(D879)-1)="","",OFFSET('4. Work'!$A$1,ROW(D879)-1,COLUMN(D879)-1))</f>
        <v/>
      </c>
      <c r="E879" s="147"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I879" s="3" t="str">
        <f ca="1">IF(OFFSET('4. Work'!$A$1,ROW(I879)-1,COLUMN(I879)-1)="","",OFFSET('4. Work'!$A$1,ROW(I879)-1,COLUMN(I879)-1))</f>
        <v/>
      </c>
      <c r="T879" s="3" t="str">
        <f ca="1">IF(A879&lt;&gt;"",MAX('Initiative Indirect'!$T:$T)+(ROW(A879)-1),"")</f>
        <v/>
      </c>
      <c r="U879" s="3" t="str">
        <f ca="1">IF(B879&lt;&gt;"",INDEX('Initiative Indirect'!$T:$T,MATCH(B879,'Initiative Indirect'!$A:$A,0)),"")</f>
        <v/>
      </c>
      <c r="V879" s="3" t="str">
        <f ca="1">IF(C879&lt;&gt;"",INDEX('Team Indirect'!$T:$T,MATCH(C879,'Team Indirect'!$A:$A,0)),"")</f>
        <v/>
      </c>
      <c r="W879" s="3"/>
      <c r="X879" s="3"/>
      <c r="Y879" s="3" t="str">
        <f ca="1">IF($C879&lt;&gt;"",INDEX('Team Indirect'!$D:$D,MATCH($C879,'Team Indirect'!$A:$A,0)),"")</f>
        <v/>
      </c>
      <c r="Z879" s="3" t="str">
        <f ca="1">IF($C879&lt;&gt;"",INDEX('Team Indirect'!$E:$E,MATCH($C879,'Team Indirect'!$A:$A,0)),"")</f>
        <v/>
      </c>
      <c r="AA879" s="3" t="str">
        <f ca="1">IF($C879&lt;&gt;"",INDEX('Team Indirect'!$F:$F,MATCH($C879,'Team Indirect'!$A:$A,0)),"")</f>
        <v/>
      </c>
      <c r="AB879" s="3" t="str">
        <f t="shared" ca="1" si="13"/>
        <v/>
      </c>
      <c r="AC879" s="3">
        <f ca="1">IF(OR(AllocationUnits="Stories", AllocationUnits="Points"),'Work Indirect'!F879,F879/MAX('Work Indirect'!AB879,1))</f>
        <v>1</v>
      </c>
    </row>
    <row r="880" spans="1:29"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7" t="str">
        <f ca="1">IF(OFFSET('4. Work'!$A$1,ROW(D880)-1,COLUMN(D880)-1)="","",OFFSET('4. Work'!$A$1,ROW(D880)-1,COLUMN(D880)-1))</f>
        <v/>
      </c>
      <c r="E880" s="147"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I880" s="3" t="str">
        <f ca="1">IF(OFFSET('4. Work'!$A$1,ROW(I880)-1,COLUMN(I880)-1)="","",OFFSET('4. Work'!$A$1,ROW(I880)-1,COLUMN(I880)-1))</f>
        <v/>
      </c>
      <c r="T880" s="3" t="str">
        <f ca="1">IF(A880&lt;&gt;"",MAX('Initiative Indirect'!$T:$T)+(ROW(A880)-1),"")</f>
        <v/>
      </c>
      <c r="U880" s="3" t="str">
        <f ca="1">IF(B880&lt;&gt;"",INDEX('Initiative Indirect'!$T:$T,MATCH(B880,'Initiative Indirect'!$A:$A,0)),"")</f>
        <v/>
      </c>
      <c r="V880" s="3" t="str">
        <f ca="1">IF(C880&lt;&gt;"",INDEX('Team Indirect'!$T:$T,MATCH(C880,'Team Indirect'!$A:$A,0)),"")</f>
        <v/>
      </c>
      <c r="W880" s="3"/>
      <c r="X880" s="3"/>
      <c r="Y880" s="3" t="str">
        <f ca="1">IF($C880&lt;&gt;"",INDEX('Team Indirect'!$D:$D,MATCH($C880,'Team Indirect'!$A:$A,0)),"")</f>
        <v/>
      </c>
      <c r="Z880" s="3" t="str">
        <f ca="1">IF($C880&lt;&gt;"",INDEX('Team Indirect'!$E:$E,MATCH($C880,'Team Indirect'!$A:$A,0)),"")</f>
        <v/>
      </c>
      <c r="AA880" s="3" t="str">
        <f ca="1">IF($C880&lt;&gt;"",INDEX('Team Indirect'!$F:$F,MATCH($C880,'Team Indirect'!$A:$A,0)),"")</f>
        <v/>
      </c>
      <c r="AB880" s="3" t="str">
        <f t="shared" ca="1" si="13"/>
        <v/>
      </c>
      <c r="AC880" s="3">
        <f ca="1">IF(OR(AllocationUnits="Stories", AllocationUnits="Points"),'Work Indirect'!F880,F880/MAX('Work Indirect'!AB880,1))</f>
        <v>1</v>
      </c>
    </row>
    <row r="881" spans="1:29"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7" t="str">
        <f ca="1">IF(OFFSET('4. Work'!$A$1,ROW(D881)-1,COLUMN(D881)-1)="","",OFFSET('4. Work'!$A$1,ROW(D881)-1,COLUMN(D881)-1))</f>
        <v/>
      </c>
      <c r="E881" s="147"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I881" s="3" t="str">
        <f ca="1">IF(OFFSET('4. Work'!$A$1,ROW(I881)-1,COLUMN(I881)-1)="","",OFFSET('4. Work'!$A$1,ROW(I881)-1,COLUMN(I881)-1))</f>
        <v/>
      </c>
      <c r="T881" s="3" t="str">
        <f ca="1">IF(A881&lt;&gt;"",MAX('Initiative Indirect'!$T:$T)+(ROW(A881)-1),"")</f>
        <v/>
      </c>
      <c r="U881" s="3" t="str">
        <f ca="1">IF(B881&lt;&gt;"",INDEX('Initiative Indirect'!$T:$T,MATCH(B881,'Initiative Indirect'!$A:$A,0)),"")</f>
        <v/>
      </c>
      <c r="V881" s="3" t="str">
        <f ca="1">IF(C881&lt;&gt;"",INDEX('Team Indirect'!$T:$T,MATCH(C881,'Team Indirect'!$A:$A,0)),"")</f>
        <v/>
      </c>
      <c r="W881" s="3"/>
      <c r="X881" s="3"/>
      <c r="Y881" s="3" t="str">
        <f ca="1">IF($C881&lt;&gt;"",INDEX('Team Indirect'!$D:$D,MATCH($C881,'Team Indirect'!$A:$A,0)),"")</f>
        <v/>
      </c>
      <c r="Z881" s="3" t="str">
        <f ca="1">IF($C881&lt;&gt;"",INDEX('Team Indirect'!$E:$E,MATCH($C881,'Team Indirect'!$A:$A,0)),"")</f>
        <v/>
      </c>
      <c r="AA881" s="3" t="str">
        <f ca="1">IF($C881&lt;&gt;"",INDEX('Team Indirect'!$F:$F,MATCH($C881,'Team Indirect'!$A:$A,0)),"")</f>
        <v/>
      </c>
      <c r="AB881" s="3" t="str">
        <f t="shared" ca="1" si="13"/>
        <v/>
      </c>
      <c r="AC881" s="3">
        <f ca="1">IF(OR(AllocationUnits="Stories", AllocationUnits="Points"),'Work Indirect'!F881,F881/MAX('Work Indirect'!AB881,1))</f>
        <v>1</v>
      </c>
    </row>
    <row r="882" spans="1:29"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7" t="str">
        <f ca="1">IF(OFFSET('4. Work'!$A$1,ROW(D882)-1,COLUMN(D882)-1)="","",OFFSET('4. Work'!$A$1,ROW(D882)-1,COLUMN(D882)-1))</f>
        <v/>
      </c>
      <c r="E882" s="147"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I882" s="3" t="str">
        <f ca="1">IF(OFFSET('4. Work'!$A$1,ROW(I882)-1,COLUMN(I882)-1)="","",OFFSET('4. Work'!$A$1,ROW(I882)-1,COLUMN(I882)-1))</f>
        <v/>
      </c>
      <c r="T882" s="3" t="str">
        <f ca="1">IF(A882&lt;&gt;"",MAX('Initiative Indirect'!$T:$T)+(ROW(A882)-1),"")</f>
        <v/>
      </c>
      <c r="U882" s="3" t="str">
        <f ca="1">IF(B882&lt;&gt;"",INDEX('Initiative Indirect'!$T:$T,MATCH(B882,'Initiative Indirect'!$A:$A,0)),"")</f>
        <v/>
      </c>
      <c r="V882" s="3" t="str">
        <f ca="1">IF(C882&lt;&gt;"",INDEX('Team Indirect'!$T:$T,MATCH(C882,'Team Indirect'!$A:$A,0)),"")</f>
        <v/>
      </c>
      <c r="W882" s="3"/>
      <c r="X882" s="3"/>
      <c r="Y882" s="3" t="str">
        <f ca="1">IF($C882&lt;&gt;"",INDEX('Team Indirect'!$D:$D,MATCH($C882,'Team Indirect'!$A:$A,0)),"")</f>
        <v/>
      </c>
      <c r="Z882" s="3" t="str">
        <f ca="1">IF($C882&lt;&gt;"",INDEX('Team Indirect'!$E:$E,MATCH($C882,'Team Indirect'!$A:$A,0)),"")</f>
        <v/>
      </c>
      <c r="AA882" s="3" t="str">
        <f ca="1">IF($C882&lt;&gt;"",INDEX('Team Indirect'!$F:$F,MATCH($C882,'Team Indirect'!$A:$A,0)),"")</f>
        <v/>
      </c>
      <c r="AB882" s="3" t="str">
        <f t="shared" ca="1" si="13"/>
        <v/>
      </c>
      <c r="AC882" s="3">
        <f ca="1">IF(OR(AllocationUnits="Stories", AllocationUnits="Points"),'Work Indirect'!F882,F882/MAX('Work Indirect'!AB882,1))</f>
        <v>1</v>
      </c>
    </row>
    <row r="883" spans="1:29"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7" t="str">
        <f ca="1">IF(OFFSET('4. Work'!$A$1,ROW(D883)-1,COLUMN(D883)-1)="","",OFFSET('4. Work'!$A$1,ROW(D883)-1,COLUMN(D883)-1))</f>
        <v/>
      </c>
      <c r="E883" s="147"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I883" s="3" t="str">
        <f ca="1">IF(OFFSET('4. Work'!$A$1,ROW(I883)-1,COLUMN(I883)-1)="","",OFFSET('4. Work'!$A$1,ROW(I883)-1,COLUMN(I883)-1))</f>
        <v/>
      </c>
      <c r="T883" s="3" t="str">
        <f ca="1">IF(A883&lt;&gt;"",MAX('Initiative Indirect'!$T:$T)+(ROW(A883)-1),"")</f>
        <v/>
      </c>
      <c r="U883" s="3" t="str">
        <f ca="1">IF(B883&lt;&gt;"",INDEX('Initiative Indirect'!$T:$T,MATCH(B883,'Initiative Indirect'!$A:$A,0)),"")</f>
        <v/>
      </c>
      <c r="V883" s="3" t="str">
        <f ca="1">IF(C883&lt;&gt;"",INDEX('Team Indirect'!$T:$T,MATCH(C883,'Team Indirect'!$A:$A,0)),"")</f>
        <v/>
      </c>
      <c r="W883" s="3"/>
      <c r="X883" s="3"/>
      <c r="Y883" s="3" t="str">
        <f ca="1">IF($C883&lt;&gt;"",INDEX('Team Indirect'!$D:$D,MATCH($C883,'Team Indirect'!$A:$A,0)),"")</f>
        <v/>
      </c>
      <c r="Z883" s="3" t="str">
        <f ca="1">IF($C883&lt;&gt;"",INDEX('Team Indirect'!$E:$E,MATCH($C883,'Team Indirect'!$A:$A,0)),"")</f>
        <v/>
      </c>
      <c r="AA883" s="3" t="str">
        <f ca="1">IF($C883&lt;&gt;"",INDEX('Team Indirect'!$F:$F,MATCH($C883,'Team Indirect'!$A:$A,0)),"")</f>
        <v/>
      </c>
      <c r="AB883" s="3" t="str">
        <f t="shared" ca="1" si="13"/>
        <v/>
      </c>
      <c r="AC883" s="3">
        <f ca="1">IF(OR(AllocationUnits="Stories", AllocationUnits="Points"),'Work Indirect'!F883,F883/MAX('Work Indirect'!AB883,1))</f>
        <v>1</v>
      </c>
    </row>
    <row r="884" spans="1:29"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7" t="str">
        <f ca="1">IF(OFFSET('4. Work'!$A$1,ROW(D884)-1,COLUMN(D884)-1)="","",OFFSET('4. Work'!$A$1,ROW(D884)-1,COLUMN(D884)-1))</f>
        <v/>
      </c>
      <c r="E884" s="147"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I884" s="3" t="str">
        <f ca="1">IF(OFFSET('4. Work'!$A$1,ROW(I884)-1,COLUMN(I884)-1)="","",OFFSET('4. Work'!$A$1,ROW(I884)-1,COLUMN(I884)-1))</f>
        <v/>
      </c>
      <c r="T884" s="3" t="str">
        <f ca="1">IF(A884&lt;&gt;"",MAX('Initiative Indirect'!$T:$T)+(ROW(A884)-1),"")</f>
        <v/>
      </c>
      <c r="U884" s="3" t="str">
        <f ca="1">IF(B884&lt;&gt;"",INDEX('Initiative Indirect'!$T:$T,MATCH(B884,'Initiative Indirect'!$A:$A,0)),"")</f>
        <v/>
      </c>
      <c r="V884" s="3" t="str">
        <f ca="1">IF(C884&lt;&gt;"",INDEX('Team Indirect'!$T:$T,MATCH(C884,'Team Indirect'!$A:$A,0)),"")</f>
        <v/>
      </c>
      <c r="W884" s="3"/>
      <c r="X884" s="3"/>
      <c r="Y884" s="3" t="str">
        <f ca="1">IF($C884&lt;&gt;"",INDEX('Team Indirect'!$D:$D,MATCH($C884,'Team Indirect'!$A:$A,0)),"")</f>
        <v/>
      </c>
      <c r="Z884" s="3" t="str">
        <f ca="1">IF($C884&lt;&gt;"",INDEX('Team Indirect'!$E:$E,MATCH($C884,'Team Indirect'!$A:$A,0)),"")</f>
        <v/>
      </c>
      <c r="AA884" s="3" t="str">
        <f ca="1">IF($C884&lt;&gt;"",INDEX('Team Indirect'!$F:$F,MATCH($C884,'Team Indirect'!$A:$A,0)),"")</f>
        <v/>
      </c>
      <c r="AB884" s="3" t="str">
        <f t="shared" ca="1" si="13"/>
        <v/>
      </c>
      <c r="AC884" s="3">
        <f ca="1">IF(OR(AllocationUnits="Stories", AllocationUnits="Points"),'Work Indirect'!F884,F884/MAX('Work Indirect'!AB884,1))</f>
        <v>1</v>
      </c>
    </row>
    <row r="885" spans="1:29"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7" t="str">
        <f ca="1">IF(OFFSET('4. Work'!$A$1,ROW(D885)-1,COLUMN(D885)-1)="","",OFFSET('4. Work'!$A$1,ROW(D885)-1,COLUMN(D885)-1))</f>
        <v/>
      </c>
      <c r="E885" s="147"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I885" s="3" t="str">
        <f ca="1">IF(OFFSET('4. Work'!$A$1,ROW(I885)-1,COLUMN(I885)-1)="","",OFFSET('4. Work'!$A$1,ROW(I885)-1,COLUMN(I885)-1))</f>
        <v/>
      </c>
      <c r="T885" s="3" t="str">
        <f ca="1">IF(A885&lt;&gt;"",MAX('Initiative Indirect'!$T:$T)+(ROW(A885)-1),"")</f>
        <v/>
      </c>
      <c r="U885" s="3" t="str">
        <f ca="1">IF(B885&lt;&gt;"",INDEX('Initiative Indirect'!$T:$T,MATCH(B885,'Initiative Indirect'!$A:$A,0)),"")</f>
        <v/>
      </c>
      <c r="V885" s="3" t="str">
        <f ca="1">IF(C885&lt;&gt;"",INDEX('Team Indirect'!$T:$T,MATCH(C885,'Team Indirect'!$A:$A,0)),"")</f>
        <v/>
      </c>
      <c r="W885" s="3"/>
      <c r="X885" s="3"/>
      <c r="Y885" s="3" t="str">
        <f ca="1">IF($C885&lt;&gt;"",INDEX('Team Indirect'!$D:$D,MATCH($C885,'Team Indirect'!$A:$A,0)),"")</f>
        <v/>
      </c>
      <c r="Z885" s="3" t="str">
        <f ca="1">IF($C885&lt;&gt;"",INDEX('Team Indirect'!$E:$E,MATCH($C885,'Team Indirect'!$A:$A,0)),"")</f>
        <v/>
      </c>
      <c r="AA885" s="3" t="str">
        <f ca="1">IF($C885&lt;&gt;"",INDEX('Team Indirect'!$F:$F,MATCH($C885,'Team Indirect'!$A:$A,0)),"")</f>
        <v/>
      </c>
      <c r="AB885" s="3" t="str">
        <f t="shared" ca="1" si="13"/>
        <v/>
      </c>
      <c r="AC885" s="3">
        <f ca="1">IF(OR(AllocationUnits="Stories", AllocationUnits="Points"),'Work Indirect'!F885,F885/MAX('Work Indirect'!AB885,1))</f>
        <v>1</v>
      </c>
    </row>
    <row r="886" spans="1:29"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7" t="str">
        <f ca="1">IF(OFFSET('4. Work'!$A$1,ROW(D886)-1,COLUMN(D886)-1)="","",OFFSET('4. Work'!$A$1,ROW(D886)-1,COLUMN(D886)-1))</f>
        <v/>
      </c>
      <c r="E886" s="147"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I886" s="3" t="str">
        <f ca="1">IF(OFFSET('4. Work'!$A$1,ROW(I886)-1,COLUMN(I886)-1)="","",OFFSET('4. Work'!$A$1,ROW(I886)-1,COLUMN(I886)-1))</f>
        <v/>
      </c>
      <c r="T886" s="3" t="str">
        <f ca="1">IF(A886&lt;&gt;"",MAX('Initiative Indirect'!$T:$T)+(ROW(A886)-1),"")</f>
        <v/>
      </c>
      <c r="U886" s="3" t="str">
        <f ca="1">IF(B886&lt;&gt;"",INDEX('Initiative Indirect'!$T:$T,MATCH(B886,'Initiative Indirect'!$A:$A,0)),"")</f>
        <v/>
      </c>
      <c r="V886" s="3" t="str">
        <f ca="1">IF(C886&lt;&gt;"",INDEX('Team Indirect'!$T:$T,MATCH(C886,'Team Indirect'!$A:$A,0)),"")</f>
        <v/>
      </c>
      <c r="W886" s="3"/>
      <c r="X886" s="3"/>
      <c r="Y886" s="3" t="str">
        <f ca="1">IF($C886&lt;&gt;"",INDEX('Team Indirect'!$D:$D,MATCH($C886,'Team Indirect'!$A:$A,0)),"")</f>
        <v/>
      </c>
      <c r="Z886" s="3" t="str">
        <f ca="1">IF($C886&lt;&gt;"",INDEX('Team Indirect'!$E:$E,MATCH($C886,'Team Indirect'!$A:$A,0)),"")</f>
        <v/>
      </c>
      <c r="AA886" s="3" t="str">
        <f ca="1">IF($C886&lt;&gt;"",INDEX('Team Indirect'!$F:$F,MATCH($C886,'Team Indirect'!$A:$A,0)),"")</f>
        <v/>
      </c>
      <c r="AB886" s="3" t="str">
        <f t="shared" ca="1" si="13"/>
        <v/>
      </c>
      <c r="AC886" s="3">
        <f ca="1">IF(OR(AllocationUnits="Stories", AllocationUnits="Points"),'Work Indirect'!F886,F886/MAX('Work Indirect'!AB886,1))</f>
        <v>1</v>
      </c>
    </row>
    <row r="887" spans="1:29"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7" t="str">
        <f ca="1">IF(OFFSET('4. Work'!$A$1,ROW(D887)-1,COLUMN(D887)-1)="","",OFFSET('4. Work'!$A$1,ROW(D887)-1,COLUMN(D887)-1))</f>
        <v/>
      </c>
      <c r="E887" s="147"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I887" s="3" t="str">
        <f ca="1">IF(OFFSET('4. Work'!$A$1,ROW(I887)-1,COLUMN(I887)-1)="","",OFFSET('4. Work'!$A$1,ROW(I887)-1,COLUMN(I887)-1))</f>
        <v/>
      </c>
      <c r="T887" s="3" t="str">
        <f ca="1">IF(A887&lt;&gt;"",MAX('Initiative Indirect'!$T:$T)+(ROW(A887)-1),"")</f>
        <v/>
      </c>
      <c r="U887" s="3" t="str">
        <f ca="1">IF(B887&lt;&gt;"",INDEX('Initiative Indirect'!$T:$T,MATCH(B887,'Initiative Indirect'!$A:$A,0)),"")</f>
        <v/>
      </c>
      <c r="V887" s="3" t="str">
        <f ca="1">IF(C887&lt;&gt;"",INDEX('Team Indirect'!$T:$T,MATCH(C887,'Team Indirect'!$A:$A,0)),"")</f>
        <v/>
      </c>
      <c r="W887" s="3"/>
      <c r="X887" s="3"/>
      <c r="Y887" s="3" t="str">
        <f ca="1">IF($C887&lt;&gt;"",INDEX('Team Indirect'!$D:$D,MATCH($C887,'Team Indirect'!$A:$A,0)),"")</f>
        <v/>
      </c>
      <c r="Z887" s="3" t="str">
        <f ca="1">IF($C887&lt;&gt;"",INDEX('Team Indirect'!$E:$E,MATCH($C887,'Team Indirect'!$A:$A,0)),"")</f>
        <v/>
      </c>
      <c r="AA887" s="3" t="str">
        <f ca="1">IF($C887&lt;&gt;"",INDEX('Team Indirect'!$F:$F,MATCH($C887,'Team Indirect'!$A:$A,0)),"")</f>
        <v/>
      </c>
      <c r="AB887" s="3" t="str">
        <f t="shared" ca="1" si="13"/>
        <v/>
      </c>
      <c r="AC887" s="3">
        <f ca="1">IF(OR(AllocationUnits="Stories", AllocationUnits="Points"),'Work Indirect'!F887,F887/MAX('Work Indirect'!AB887,1))</f>
        <v>1</v>
      </c>
    </row>
    <row r="888" spans="1:29"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7" t="str">
        <f ca="1">IF(OFFSET('4. Work'!$A$1,ROW(D888)-1,COLUMN(D888)-1)="","",OFFSET('4. Work'!$A$1,ROW(D888)-1,COLUMN(D888)-1))</f>
        <v/>
      </c>
      <c r="E888" s="147"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I888" s="3" t="str">
        <f ca="1">IF(OFFSET('4. Work'!$A$1,ROW(I888)-1,COLUMN(I888)-1)="","",OFFSET('4. Work'!$A$1,ROW(I888)-1,COLUMN(I888)-1))</f>
        <v/>
      </c>
      <c r="T888" s="3" t="str">
        <f ca="1">IF(A888&lt;&gt;"",MAX('Initiative Indirect'!$T:$T)+(ROW(A888)-1),"")</f>
        <v/>
      </c>
      <c r="U888" s="3" t="str">
        <f ca="1">IF(B888&lt;&gt;"",INDEX('Initiative Indirect'!$T:$T,MATCH(B888,'Initiative Indirect'!$A:$A,0)),"")</f>
        <v/>
      </c>
      <c r="V888" s="3" t="str">
        <f ca="1">IF(C888&lt;&gt;"",INDEX('Team Indirect'!$T:$T,MATCH(C888,'Team Indirect'!$A:$A,0)),"")</f>
        <v/>
      </c>
      <c r="W888" s="3"/>
      <c r="X888" s="3"/>
      <c r="Y888" s="3" t="str">
        <f ca="1">IF($C888&lt;&gt;"",INDEX('Team Indirect'!$D:$D,MATCH($C888,'Team Indirect'!$A:$A,0)),"")</f>
        <v/>
      </c>
      <c r="Z888" s="3" t="str">
        <f ca="1">IF($C888&lt;&gt;"",INDEX('Team Indirect'!$E:$E,MATCH($C888,'Team Indirect'!$A:$A,0)),"")</f>
        <v/>
      </c>
      <c r="AA888" s="3" t="str">
        <f ca="1">IF($C888&lt;&gt;"",INDEX('Team Indirect'!$F:$F,MATCH($C888,'Team Indirect'!$A:$A,0)),"")</f>
        <v/>
      </c>
      <c r="AB888" s="3" t="str">
        <f t="shared" ca="1" si="13"/>
        <v/>
      </c>
      <c r="AC888" s="3">
        <f ca="1">IF(OR(AllocationUnits="Stories", AllocationUnits="Points"),'Work Indirect'!F888,F888/MAX('Work Indirect'!AB888,1))</f>
        <v>1</v>
      </c>
    </row>
    <row r="889" spans="1:29"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7" t="str">
        <f ca="1">IF(OFFSET('4. Work'!$A$1,ROW(D889)-1,COLUMN(D889)-1)="","",OFFSET('4. Work'!$A$1,ROW(D889)-1,COLUMN(D889)-1))</f>
        <v/>
      </c>
      <c r="E889" s="147"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I889" s="3" t="str">
        <f ca="1">IF(OFFSET('4. Work'!$A$1,ROW(I889)-1,COLUMN(I889)-1)="","",OFFSET('4. Work'!$A$1,ROW(I889)-1,COLUMN(I889)-1))</f>
        <v/>
      </c>
      <c r="T889" s="3" t="str">
        <f ca="1">IF(A889&lt;&gt;"",MAX('Initiative Indirect'!$T:$T)+(ROW(A889)-1),"")</f>
        <v/>
      </c>
      <c r="U889" s="3" t="str">
        <f ca="1">IF(B889&lt;&gt;"",INDEX('Initiative Indirect'!$T:$T,MATCH(B889,'Initiative Indirect'!$A:$A,0)),"")</f>
        <v/>
      </c>
      <c r="V889" s="3" t="str">
        <f ca="1">IF(C889&lt;&gt;"",INDEX('Team Indirect'!$T:$T,MATCH(C889,'Team Indirect'!$A:$A,0)),"")</f>
        <v/>
      </c>
      <c r="W889" s="3"/>
      <c r="X889" s="3"/>
      <c r="Y889" s="3" t="str">
        <f ca="1">IF($C889&lt;&gt;"",INDEX('Team Indirect'!$D:$D,MATCH($C889,'Team Indirect'!$A:$A,0)),"")</f>
        <v/>
      </c>
      <c r="Z889" s="3" t="str">
        <f ca="1">IF($C889&lt;&gt;"",INDEX('Team Indirect'!$E:$E,MATCH($C889,'Team Indirect'!$A:$A,0)),"")</f>
        <v/>
      </c>
      <c r="AA889" s="3" t="str">
        <f ca="1">IF($C889&lt;&gt;"",INDEX('Team Indirect'!$F:$F,MATCH($C889,'Team Indirect'!$A:$A,0)),"")</f>
        <v/>
      </c>
      <c r="AB889" s="3" t="str">
        <f t="shared" ca="1" si="13"/>
        <v/>
      </c>
      <c r="AC889" s="3">
        <f ca="1">IF(OR(AllocationUnits="Stories", AllocationUnits="Points"),'Work Indirect'!F889,F889/MAX('Work Indirect'!AB889,1))</f>
        <v>1</v>
      </c>
    </row>
    <row r="890" spans="1:29"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7" t="str">
        <f ca="1">IF(OFFSET('4. Work'!$A$1,ROW(D890)-1,COLUMN(D890)-1)="","",OFFSET('4. Work'!$A$1,ROW(D890)-1,COLUMN(D890)-1))</f>
        <v/>
      </c>
      <c r="E890" s="147"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I890" s="3" t="str">
        <f ca="1">IF(OFFSET('4. Work'!$A$1,ROW(I890)-1,COLUMN(I890)-1)="","",OFFSET('4. Work'!$A$1,ROW(I890)-1,COLUMN(I890)-1))</f>
        <v/>
      </c>
      <c r="T890" s="3" t="str">
        <f ca="1">IF(A890&lt;&gt;"",MAX('Initiative Indirect'!$T:$T)+(ROW(A890)-1),"")</f>
        <v/>
      </c>
      <c r="U890" s="3" t="str">
        <f ca="1">IF(B890&lt;&gt;"",INDEX('Initiative Indirect'!$T:$T,MATCH(B890,'Initiative Indirect'!$A:$A,0)),"")</f>
        <v/>
      </c>
      <c r="V890" s="3" t="str">
        <f ca="1">IF(C890&lt;&gt;"",INDEX('Team Indirect'!$T:$T,MATCH(C890,'Team Indirect'!$A:$A,0)),"")</f>
        <v/>
      </c>
      <c r="W890" s="3"/>
      <c r="X890" s="3"/>
      <c r="Y890" s="3" t="str">
        <f ca="1">IF($C890&lt;&gt;"",INDEX('Team Indirect'!$D:$D,MATCH($C890,'Team Indirect'!$A:$A,0)),"")</f>
        <v/>
      </c>
      <c r="Z890" s="3" t="str">
        <f ca="1">IF($C890&lt;&gt;"",INDEX('Team Indirect'!$E:$E,MATCH($C890,'Team Indirect'!$A:$A,0)),"")</f>
        <v/>
      </c>
      <c r="AA890" s="3" t="str">
        <f ca="1">IF($C890&lt;&gt;"",INDEX('Team Indirect'!$F:$F,MATCH($C890,'Team Indirect'!$A:$A,0)),"")</f>
        <v/>
      </c>
      <c r="AB890" s="3" t="str">
        <f t="shared" ca="1" si="13"/>
        <v/>
      </c>
      <c r="AC890" s="3">
        <f ca="1">IF(OR(AllocationUnits="Stories", AllocationUnits="Points"),'Work Indirect'!F890,F890/MAX('Work Indirect'!AB890,1))</f>
        <v>1</v>
      </c>
    </row>
    <row r="891" spans="1:29"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7" t="str">
        <f ca="1">IF(OFFSET('4. Work'!$A$1,ROW(D891)-1,COLUMN(D891)-1)="","",OFFSET('4. Work'!$A$1,ROW(D891)-1,COLUMN(D891)-1))</f>
        <v/>
      </c>
      <c r="E891" s="147"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I891" s="3" t="str">
        <f ca="1">IF(OFFSET('4. Work'!$A$1,ROW(I891)-1,COLUMN(I891)-1)="","",OFFSET('4. Work'!$A$1,ROW(I891)-1,COLUMN(I891)-1))</f>
        <v/>
      </c>
      <c r="T891" s="3" t="str">
        <f ca="1">IF(A891&lt;&gt;"",MAX('Initiative Indirect'!$T:$T)+(ROW(A891)-1),"")</f>
        <v/>
      </c>
      <c r="U891" s="3" t="str">
        <f ca="1">IF(B891&lt;&gt;"",INDEX('Initiative Indirect'!$T:$T,MATCH(B891,'Initiative Indirect'!$A:$A,0)),"")</f>
        <v/>
      </c>
      <c r="V891" s="3" t="str">
        <f ca="1">IF(C891&lt;&gt;"",INDEX('Team Indirect'!$T:$T,MATCH(C891,'Team Indirect'!$A:$A,0)),"")</f>
        <v/>
      </c>
      <c r="W891" s="3"/>
      <c r="X891" s="3"/>
      <c r="Y891" s="3" t="str">
        <f ca="1">IF($C891&lt;&gt;"",INDEX('Team Indirect'!$D:$D,MATCH($C891,'Team Indirect'!$A:$A,0)),"")</f>
        <v/>
      </c>
      <c r="Z891" s="3" t="str">
        <f ca="1">IF($C891&lt;&gt;"",INDEX('Team Indirect'!$E:$E,MATCH($C891,'Team Indirect'!$A:$A,0)),"")</f>
        <v/>
      </c>
      <c r="AA891" s="3" t="str">
        <f ca="1">IF($C891&lt;&gt;"",INDEX('Team Indirect'!$F:$F,MATCH($C891,'Team Indirect'!$A:$A,0)),"")</f>
        <v/>
      </c>
      <c r="AB891" s="3" t="str">
        <f t="shared" ca="1" si="13"/>
        <v/>
      </c>
      <c r="AC891" s="3">
        <f ca="1">IF(OR(AllocationUnits="Stories", AllocationUnits="Points"),'Work Indirect'!F891,F891/MAX('Work Indirect'!AB891,1))</f>
        <v>1</v>
      </c>
    </row>
    <row r="892" spans="1:29"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7" t="str">
        <f ca="1">IF(OFFSET('4. Work'!$A$1,ROW(D892)-1,COLUMN(D892)-1)="","",OFFSET('4. Work'!$A$1,ROW(D892)-1,COLUMN(D892)-1))</f>
        <v/>
      </c>
      <c r="E892" s="147"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I892" s="3" t="str">
        <f ca="1">IF(OFFSET('4. Work'!$A$1,ROW(I892)-1,COLUMN(I892)-1)="","",OFFSET('4. Work'!$A$1,ROW(I892)-1,COLUMN(I892)-1))</f>
        <v/>
      </c>
      <c r="T892" s="3" t="str">
        <f ca="1">IF(A892&lt;&gt;"",MAX('Initiative Indirect'!$T:$T)+(ROW(A892)-1),"")</f>
        <v/>
      </c>
      <c r="U892" s="3" t="str">
        <f ca="1">IF(B892&lt;&gt;"",INDEX('Initiative Indirect'!$T:$T,MATCH(B892,'Initiative Indirect'!$A:$A,0)),"")</f>
        <v/>
      </c>
      <c r="V892" s="3" t="str">
        <f ca="1">IF(C892&lt;&gt;"",INDEX('Team Indirect'!$T:$T,MATCH(C892,'Team Indirect'!$A:$A,0)),"")</f>
        <v/>
      </c>
      <c r="W892" s="3"/>
      <c r="X892" s="3"/>
      <c r="Y892" s="3" t="str">
        <f ca="1">IF($C892&lt;&gt;"",INDEX('Team Indirect'!$D:$D,MATCH($C892,'Team Indirect'!$A:$A,0)),"")</f>
        <v/>
      </c>
      <c r="Z892" s="3" t="str">
        <f ca="1">IF($C892&lt;&gt;"",INDEX('Team Indirect'!$E:$E,MATCH($C892,'Team Indirect'!$A:$A,0)),"")</f>
        <v/>
      </c>
      <c r="AA892" s="3" t="str">
        <f ca="1">IF($C892&lt;&gt;"",INDEX('Team Indirect'!$F:$F,MATCH($C892,'Team Indirect'!$A:$A,0)),"")</f>
        <v/>
      </c>
      <c r="AB892" s="3" t="str">
        <f t="shared" ca="1" si="13"/>
        <v/>
      </c>
      <c r="AC892" s="3">
        <f ca="1">IF(OR(AllocationUnits="Stories", AllocationUnits="Points"),'Work Indirect'!F892,F892/MAX('Work Indirect'!AB892,1))</f>
        <v>1</v>
      </c>
    </row>
    <row r="893" spans="1:29"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7" t="str">
        <f ca="1">IF(OFFSET('4. Work'!$A$1,ROW(D893)-1,COLUMN(D893)-1)="","",OFFSET('4. Work'!$A$1,ROW(D893)-1,COLUMN(D893)-1))</f>
        <v/>
      </c>
      <c r="E893" s="147"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I893" s="3" t="str">
        <f ca="1">IF(OFFSET('4. Work'!$A$1,ROW(I893)-1,COLUMN(I893)-1)="","",OFFSET('4. Work'!$A$1,ROW(I893)-1,COLUMN(I893)-1))</f>
        <v/>
      </c>
      <c r="T893" s="3" t="str">
        <f ca="1">IF(A893&lt;&gt;"",MAX('Initiative Indirect'!$T:$T)+(ROW(A893)-1),"")</f>
        <v/>
      </c>
      <c r="U893" s="3" t="str">
        <f ca="1">IF(B893&lt;&gt;"",INDEX('Initiative Indirect'!$T:$T,MATCH(B893,'Initiative Indirect'!$A:$A,0)),"")</f>
        <v/>
      </c>
      <c r="V893" s="3" t="str">
        <f ca="1">IF(C893&lt;&gt;"",INDEX('Team Indirect'!$T:$T,MATCH(C893,'Team Indirect'!$A:$A,0)),"")</f>
        <v/>
      </c>
      <c r="W893" s="3"/>
      <c r="X893" s="3"/>
      <c r="Y893" s="3" t="str">
        <f ca="1">IF($C893&lt;&gt;"",INDEX('Team Indirect'!$D:$D,MATCH($C893,'Team Indirect'!$A:$A,0)),"")</f>
        <v/>
      </c>
      <c r="Z893" s="3" t="str">
        <f ca="1">IF($C893&lt;&gt;"",INDEX('Team Indirect'!$E:$E,MATCH($C893,'Team Indirect'!$A:$A,0)),"")</f>
        <v/>
      </c>
      <c r="AA893" s="3" t="str">
        <f ca="1">IF($C893&lt;&gt;"",INDEX('Team Indirect'!$F:$F,MATCH($C893,'Team Indirect'!$A:$A,0)),"")</f>
        <v/>
      </c>
      <c r="AB893" s="3" t="str">
        <f t="shared" ca="1" si="13"/>
        <v/>
      </c>
      <c r="AC893" s="3">
        <f ca="1">IF(OR(AllocationUnits="Stories", AllocationUnits="Points"),'Work Indirect'!F893,F893/MAX('Work Indirect'!AB893,1))</f>
        <v>1</v>
      </c>
    </row>
    <row r="894" spans="1:29"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7" t="str">
        <f ca="1">IF(OFFSET('4. Work'!$A$1,ROW(D894)-1,COLUMN(D894)-1)="","",OFFSET('4. Work'!$A$1,ROW(D894)-1,COLUMN(D894)-1))</f>
        <v/>
      </c>
      <c r="E894" s="147"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I894" s="3" t="str">
        <f ca="1">IF(OFFSET('4. Work'!$A$1,ROW(I894)-1,COLUMN(I894)-1)="","",OFFSET('4. Work'!$A$1,ROW(I894)-1,COLUMN(I894)-1))</f>
        <v/>
      </c>
      <c r="T894" s="3" t="str">
        <f ca="1">IF(A894&lt;&gt;"",MAX('Initiative Indirect'!$T:$T)+(ROW(A894)-1),"")</f>
        <v/>
      </c>
      <c r="U894" s="3" t="str">
        <f ca="1">IF(B894&lt;&gt;"",INDEX('Initiative Indirect'!$T:$T,MATCH(B894,'Initiative Indirect'!$A:$A,0)),"")</f>
        <v/>
      </c>
      <c r="V894" s="3" t="str">
        <f ca="1">IF(C894&lt;&gt;"",INDEX('Team Indirect'!$T:$T,MATCH(C894,'Team Indirect'!$A:$A,0)),"")</f>
        <v/>
      </c>
      <c r="W894" s="3"/>
      <c r="X894" s="3"/>
      <c r="Y894" s="3" t="str">
        <f ca="1">IF($C894&lt;&gt;"",INDEX('Team Indirect'!$D:$D,MATCH($C894,'Team Indirect'!$A:$A,0)),"")</f>
        <v/>
      </c>
      <c r="Z894" s="3" t="str">
        <f ca="1">IF($C894&lt;&gt;"",INDEX('Team Indirect'!$E:$E,MATCH($C894,'Team Indirect'!$A:$A,0)),"")</f>
        <v/>
      </c>
      <c r="AA894" s="3" t="str">
        <f ca="1">IF($C894&lt;&gt;"",INDEX('Team Indirect'!$F:$F,MATCH($C894,'Team Indirect'!$A:$A,0)),"")</f>
        <v/>
      </c>
      <c r="AB894" s="3" t="str">
        <f t="shared" ca="1" si="13"/>
        <v/>
      </c>
      <c r="AC894" s="3">
        <f ca="1">IF(OR(AllocationUnits="Stories", AllocationUnits="Points"),'Work Indirect'!F894,F894/MAX('Work Indirect'!AB894,1))</f>
        <v>1</v>
      </c>
    </row>
    <row r="895" spans="1:29"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7" t="str">
        <f ca="1">IF(OFFSET('4. Work'!$A$1,ROW(D895)-1,COLUMN(D895)-1)="","",OFFSET('4. Work'!$A$1,ROW(D895)-1,COLUMN(D895)-1))</f>
        <v/>
      </c>
      <c r="E895" s="147"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I895" s="3" t="str">
        <f ca="1">IF(OFFSET('4. Work'!$A$1,ROW(I895)-1,COLUMN(I895)-1)="","",OFFSET('4. Work'!$A$1,ROW(I895)-1,COLUMN(I895)-1))</f>
        <v/>
      </c>
      <c r="T895" s="3" t="str">
        <f ca="1">IF(A895&lt;&gt;"",MAX('Initiative Indirect'!$T:$T)+(ROW(A895)-1),"")</f>
        <v/>
      </c>
      <c r="U895" s="3" t="str">
        <f ca="1">IF(B895&lt;&gt;"",INDEX('Initiative Indirect'!$T:$T,MATCH(B895,'Initiative Indirect'!$A:$A,0)),"")</f>
        <v/>
      </c>
      <c r="V895" s="3" t="str">
        <f ca="1">IF(C895&lt;&gt;"",INDEX('Team Indirect'!$T:$T,MATCH(C895,'Team Indirect'!$A:$A,0)),"")</f>
        <v/>
      </c>
      <c r="W895" s="3"/>
      <c r="X895" s="3"/>
      <c r="Y895" s="3" t="str">
        <f ca="1">IF($C895&lt;&gt;"",INDEX('Team Indirect'!$D:$D,MATCH($C895,'Team Indirect'!$A:$A,0)),"")</f>
        <v/>
      </c>
      <c r="Z895" s="3" t="str">
        <f ca="1">IF($C895&lt;&gt;"",INDEX('Team Indirect'!$E:$E,MATCH($C895,'Team Indirect'!$A:$A,0)),"")</f>
        <v/>
      </c>
      <c r="AA895" s="3" t="str">
        <f ca="1">IF($C895&lt;&gt;"",INDEX('Team Indirect'!$F:$F,MATCH($C895,'Team Indirect'!$A:$A,0)),"")</f>
        <v/>
      </c>
      <c r="AB895" s="3" t="str">
        <f t="shared" ca="1" si="13"/>
        <v/>
      </c>
      <c r="AC895" s="3">
        <f ca="1">IF(OR(AllocationUnits="Stories", AllocationUnits="Points"),'Work Indirect'!F895,F895/MAX('Work Indirect'!AB895,1))</f>
        <v>1</v>
      </c>
    </row>
    <row r="896" spans="1:29"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7" t="str">
        <f ca="1">IF(OFFSET('4. Work'!$A$1,ROW(D896)-1,COLUMN(D896)-1)="","",OFFSET('4. Work'!$A$1,ROW(D896)-1,COLUMN(D896)-1))</f>
        <v/>
      </c>
      <c r="E896" s="147"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I896" s="3" t="str">
        <f ca="1">IF(OFFSET('4. Work'!$A$1,ROW(I896)-1,COLUMN(I896)-1)="","",OFFSET('4. Work'!$A$1,ROW(I896)-1,COLUMN(I896)-1))</f>
        <v/>
      </c>
      <c r="T896" s="3" t="str">
        <f ca="1">IF(A896&lt;&gt;"",MAX('Initiative Indirect'!$T:$T)+(ROW(A896)-1),"")</f>
        <v/>
      </c>
      <c r="U896" s="3" t="str">
        <f ca="1">IF(B896&lt;&gt;"",INDEX('Initiative Indirect'!$T:$T,MATCH(B896,'Initiative Indirect'!$A:$A,0)),"")</f>
        <v/>
      </c>
      <c r="V896" s="3" t="str">
        <f ca="1">IF(C896&lt;&gt;"",INDEX('Team Indirect'!$T:$T,MATCH(C896,'Team Indirect'!$A:$A,0)),"")</f>
        <v/>
      </c>
      <c r="W896" s="3"/>
      <c r="X896" s="3"/>
      <c r="Y896" s="3" t="str">
        <f ca="1">IF($C896&lt;&gt;"",INDEX('Team Indirect'!$D:$D,MATCH($C896,'Team Indirect'!$A:$A,0)),"")</f>
        <v/>
      </c>
      <c r="Z896" s="3" t="str">
        <f ca="1">IF($C896&lt;&gt;"",INDEX('Team Indirect'!$E:$E,MATCH($C896,'Team Indirect'!$A:$A,0)),"")</f>
        <v/>
      </c>
      <c r="AA896" s="3" t="str">
        <f ca="1">IF($C896&lt;&gt;"",INDEX('Team Indirect'!$F:$F,MATCH($C896,'Team Indirect'!$A:$A,0)),"")</f>
        <v/>
      </c>
      <c r="AB896" s="3" t="str">
        <f t="shared" ca="1" si="13"/>
        <v/>
      </c>
      <c r="AC896" s="3">
        <f ca="1">IF(OR(AllocationUnits="Stories", AllocationUnits="Points"),'Work Indirect'!F896,F896/MAX('Work Indirect'!AB896,1))</f>
        <v>1</v>
      </c>
    </row>
    <row r="897" spans="1:29"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7" t="str">
        <f ca="1">IF(OFFSET('4. Work'!$A$1,ROW(D897)-1,COLUMN(D897)-1)="","",OFFSET('4. Work'!$A$1,ROW(D897)-1,COLUMN(D897)-1))</f>
        <v/>
      </c>
      <c r="E897" s="147"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I897" s="3" t="str">
        <f ca="1">IF(OFFSET('4. Work'!$A$1,ROW(I897)-1,COLUMN(I897)-1)="","",OFFSET('4. Work'!$A$1,ROW(I897)-1,COLUMN(I897)-1))</f>
        <v/>
      </c>
      <c r="T897" s="3" t="str">
        <f ca="1">IF(A897&lt;&gt;"",MAX('Initiative Indirect'!$T:$T)+(ROW(A897)-1),"")</f>
        <v/>
      </c>
      <c r="U897" s="3" t="str">
        <f ca="1">IF(B897&lt;&gt;"",INDEX('Initiative Indirect'!$T:$T,MATCH(B897,'Initiative Indirect'!$A:$A,0)),"")</f>
        <v/>
      </c>
      <c r="V897" s="3" t="str">
        <f ca="1">IF(C897&lt;&gt;"",INDEX('Team Indirect'!$T:$T,MATCH(C897,'Team Indirect'!$A:$A,0)),"")</f>
        <v/>
      </c>
      <c r="W897" s="3"/>
      <c r="X897" s="3"/>
      <c r="Y897" s="3" t="str">
        <f ca="1">IF($C897&lt;&gt;"",INDEX('Team Indirect'!$D:$D,MATCH($C897,'Team Indirect'!$A:$A,0)),"")</f>
        <v/>
      </c>
      <c r="Z897" s="3" t="str">
        <f ca="1">IF($C897&lt;&gt;"",INDEX('Team Indirect'!$E:$E,MATCH($C897,'Team Indirect'!$A:$A,0)),"")</f>
        <v/>
      </c>
      <c r="AA897" s="3" t="str">
        <f ca="1">IF($C897&lt;&gt;"",INDEX('Team Indirect'!$F:$F,MATCH($C897,'Team Indirect'!$A:$A,0)),"")</f>
        <v/>
      </c>
      <c r="AB897" s="3" t="str">
        <f t="shared" ca="1" si="13"/>
        <v/>
      </c>
      <c r="AC897" s="3">
        <f ca="1">IF(OR(AllocationUnits="Stories", AllocationUnits="Points"),'Work Indirect'!F897,F897/MAX('Work Indirect'!AB897,1))</f>
        <v>1</v>
      </c>
    </row>
    <row r="898" spans="1:29"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7" t="str">
        <f ca="1">IF(OFFSET('4. Work'!$A$1,ROW(D898)-1,COLUMN(D898)-1)="","",OFFSET('4. Work'!$A$1,ROW(D898)-1,COLUMN(D898)-1))</f>
        <v/>
      </c>
      <c r="E898" s="147"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I898" s="3" t="str">
        <f ca="1">IF(OFFSET('4. Work'!$A$1,ROW(I898)-1,COLUMN(I898)-1)="","",OFFSET('4. Work'!$A$1,ROW(I898)-1,COLUMN(I898)-1))</f>
        <v/>
      </c>
      <c r="T898" s="3" t="str">
        <f ca="1">IF(A898&lt;&gt;"",MAX('Initiative Indirect'!$T:$T)+(ROW(A898)-1),"")</f>
        <v/>
      </c>
      <c r="U898" s="3" t="str">
        <f ca="1">IF(B898&lt;&gt;"",INDEX('Initiative Indirect'!$T:$T,MATCH(B898,'Initiative Indirect'!$A:$A,0)),"")</f>
        <v/>
      </c>
      <c r="V898" s="3" t="str">
        <f ca="1">IF(C898&lt;&gt;"",INDEX('Team Indirect'!$T:$T,MATCH(C898,'Team Indirect'!$A:$A,0)),"")</f>
        <v/>
      </c>
      <c r="W898" s="3"/>
      <c r="X898" s="3"/>
      <c r="Y898" s="3" t="str">
        <f ca="1">IF($C898&lt;&gt;"",INDEX('Team Indirect'!$D:$D,MATCH($C898,'Team Indirect'!$A:$A,0)),"")</f>
        <v/>
      </c>
      <c r="Z898" s="3" t="str">
        <f ca="1">IF($C898&lt;&gt;"",INDEX('Team Indirect'!$E:$E,MATCH($C898,'Team Indirect'!$A:$A,0)),"")</f>
        <v/>
      </c>
      <c r="AA898" s="3" t="str">
        <f ca="1">IF($C898&lt;&gt;"",INDEX('Team Indirect'!$F:$F,MATCH($C898,'Team Indirect'!$A:$A,0)),"")</f>
        <v/>
      </c>
      <c r="AB898" s="3" t="str">
        <f t="shared" ref="AB898:AB961" ca="1" si="14">IF(AND(Y898&lt;&gt;"",Z898&lt;&gt;""),Y898+((Z898-Y898)*(1-MAX(0,AA898))*(1-Probability)),"")</f>
        <v/>
      </c>
      <c r="AC898" s="3">
        <f ca="1">IF(OR(AllocationUnits="Stories", AllocationUnits="Points"),'Work Indirect'!F898,F898/MAX('Work Indirect'!AB898,1))</f>
        <v>1</v>
      </c>
    </row>
    <row r="899" spans="1:29"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7" t="str">
        <f ca="1">IF(OFFSET('4. Work'!$A$1,ROW(D899)-1,COLUMN(D899)-1)="","",OFFSET('4. Work'!$A$1,ROW(D899)-1,COLUMN(D899)-1))</f>
        <v/>
      </c>
      <c r="E899" s="147"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I899" s="3" t="str">
        <f ca="1">IF(OFFSET('4. Work'!$A$1,ROW(I899)-1,COLUMN(I899)-1)="","",OFFSET('4. Work'!$A$1,ROW(I899)-1,COLUMN(I899)-1))</f>
        <v/>
      </c>
      <c r="T899" s="3" t="str">
        <f ca="1">IF(A899&lt;&gt;"",MAX('Initiative Indirect'!$T:$T)+(ROW(A899)-1),"")</f>
        <v/>
      </c>
      <c r="U899" s="3" t="str">
        <f ca="1">IF(B899&lt;&gt;"",INDEX('Initiative Indirect'!$T:$T,MATCH(B899,'Initiative Indirect'!$A:$A,0)),"")</f>
        <v/>
      </c>
      <c r="V899" s="3" t="str">
        <f ca="1">IF(C899&lt;&gt;"",INDEX('Team Indirect'!$T:$T,MATCH(C899,'Team Indirect'!$A:$A,0)),"")</f>
        <v/>
      </c>
      <c r="W899" s="3"/>
      <c r="X899" s="3"/>
      <c r="Y899" s="3" t="str">
        <f ca="1">IF($C899&lt;&gt;"",INDEX('Team Indirect'!$D:$D,MATCH($C899,'Team Indirect'!$A:$A,0)),"")</f>
        <v/>
      </c>
      <c r="Z899" s="3" t="str">
        <f ca="1">IF($C899&lt;&gt;"",INDEX('Team Indirect'!$E:$E,MATCH($C899,'Team Indirect'!$A:$A,0)),"")</f>
        <v/>
      </c>
      <c r="AA899" s="3" t="str">
        <f ca="1">IF($C899&lt;&gt;"",INDEX('Team Indirect'!$F:$F,MATCH($C899,'Team Indirect'!$A:$A,0)),"")</f>
        <v/>
      </c>
      <c r="AB899" s="3" t="str">
        <f t="shared" ca="1" si="14"/>
        <v/>
      </c>
      <c r="AC899" s="3">
        <f ca="1">IF(OR(AllocationUnits="Stories", AllocationUnits="Points"),'Work Indirect'!F899,F899/MAX('Work Indirect'!AB899,1))</f>
        <v>1</v>
      </c>
    </row>
    <row r="900" spans="1:29"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7" t="str">
        <f ca="1">IF(OFFSET('4. Work'!$A$1,ROW(D900)-1,COLUMN(D900)-1)="","",OFFSET('4. Work'!$A$1,ROW(D900)-1,COLUMN(D900)-1))</f>
        <v/>
      </c>
      <c r="E900" s="147"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I900" s="3" t="str">
        <f ca="1">IF(OFFSET('4. Work'!$A$1,ROW(I900)-1,COLUMN(I900)-1)="","",OFFSET('4. Work'!$A$1,ROW(I900)-1,COLUMN(I900)-1))</f>
        <v/>
      </c>
      <c r="T900" s="3" t="str">
        <f ca="1">IF(A900&lt;&gt;"",MAX('Initiative Indirect'!$T:$T)+(ROW(A900)-1),"")</f>
        <v/>
      </c>
      <c r="U900" s="3" t="str">
        <f ca="1">IF(B900&lt;&gt;"",INDEX('Initiative Indirect'!$T:$T,MATCH(B900,'Initiative Indirect'!$A:$A,0)),"")</f>
        <v/>
      </c>
      <c r="V900" s="3" t="str">
        <f ca="1">IF(C900&lt;&gt;"",INDEX('Team Indirect'!$T:$T,MATCH(C900,'Team Indirect'!$A:$A,0)),"")</f>
        <v/>
      </c>
      <c r="W900" s="3"/>
      <c r="X900" s="3"/>
      <c r="Y900" s="3" t="str">
        <f ca="1">IF($C900&lt;&gt;"",INDEX('Team Indirect'!$D:$D,MATCH($C900,'Team Indirect'!$A:$A,0)),"")</f>
        <v/>
      </c>
      <c r="Z900" s="3" t="str">
        <f ca="1">IF($C900&lt;&gt;"",INDEX('Team Indirect'!$E:$E,MATCH($C900,'Team Indirect'!$A:$A,0)),"")</f>
        <v/>
      </c>
      <c r="AA900" s="3" t="str">
        <f ca="1">IF($C900&lt;&gt;"",INDEX('Team Indirect'!$F:$F,MATCH($C900,'Team Indirect'!$A:$A,0)),"")</f>
        <v/>
      </c>
      <c r="AB900" s="3" t="str">
        <f t="shared" ca="1" si="14"/>
        <v/>
      </c>
      <c r="AC900" s="3">
        <f ca="1">IF(OR(AllocationUnits="Stories", AllocationUnits="Points"),'Work Indirect'!F900,F900/MAX('Work Indirect'!AB900,1))</f>
        <v>1</v>
      </c>
    </row>
    <row r="901" spans="1:29"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7" t="str">
        <f ca="1">IF(OFFSET('4. Work'!$A$1,ROW(D901)-1,COLUMN(D901)-1)="","",OFFSET('4. Work'!$A$1,ROW(D901)-1,COLUMN(D901)-1))</f>
        <v/>
      </c>
      <c r="E901" s="147"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I901" s="3" t="str">
        <f ca="1">IF(OFFSET('4. Work'!$A$1,ROW(I901)-1,COLUMN(I901)-1)="","",OFFSET('4. Work'!$A$1,ROW(I901)-1,COLUMN(I901)-1))</f>
        <v/>
      </c>
      <c r="T901" s="3" t="str">
        <f ca="1">IF(A901&lt;&gt;"",MAX('Initiative Indirect'!$T:$T)+(ROW(A901)-1),"")</f>
        <v/>
      </c>
      <c r="U901" s="3" t="str">
        <f ca="1">IF(B901&lt;&gt;"",INDEX('Initiative Indirect'!$T:$T,MATCH(B901,'Initiative Indirect'!$A:$A,0)),"")</f>
        <v/>
      </c>
      <c r="V901" s="3" t="str">
        <f ca="1">IF(C901&lt;&gt;"",INDEX('Team Indirect'!$T:$T,MATCH(C901,'Team Indirect'!$A:$A,0)),"")</f>
        <v/>
      </c>
      <c r="W901" s="3"/>
      <c r="X901" s="3"/>
      <c r="Y901" s="3" t="str">
        <f ca="1">IF($C901&lt;&gt;"",INDEX('Team Indirect'!$D:$D,MATCH($C901,'Team Indirect'!$A:$A,0)),"")</f>
        <v/>
      </c>
      <c r="Z901" s="3" t="str">
        <f ca="1">IF($C901&lt;&gt;"",INDEX('Team Indirect'!$E:$E,MATCH($C901,'Team Indirect'!$A:$A,0)),"")</f>
        <v/>
      </c>
      <c r="AA901" s="3" t="str">
        <f ca="1">IF($C901&lt;&gt;"",INDEX('Team Indirect'!$F:$F,MATCH($C901,'Team Indirect'!$A:$A,0)),"")</f>
        <v/>
      </c>
      <c r="AB901" s="3" t="str">
        <f t="shared" ca="1" si="14"/>
        <v/>
      </c>
      <c r="AC901" s="3">
        <f ca="1">IF(OR(AllocationUnits="Stories", AllocationUnits="Points"),'Work Indirect'!F901,F901/MAX('Work Indirect'!AB901,1))</f>
        <v>1</v>
      </c>
    </row>
    <row r="902" spans="1:29"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7" t="str">
        <f ca="1">IF(OFFSET('4. Work'!$A$1,ROW(D902)-1,COLUMN(D902)-1)="","",OFFSET('4. Work'!$A$1,ROW(D902)-1,COLUMN(D902)-1))</f>
        <v/>
      </c>
      <c r="E902" s="147"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I902" s="3" t="str">
        <f ca="1">IF(OFFSET('4. Work'!$A$1,ROW(I902)-1,COLUMN(I902)-1)="","",OFFSET('4. Work'!$A$1,ROW(I902)-1,COLUMN(I902)-1))</f>
        <v/>
      </c>
      <c r="T902" s="3" t="str">
        <f ca="1">IF(A902&lt;&gt;"",MAX('Initiative Indirect'!$T:$T)+(ROW(A902)-1),"")</f>
        <v/>
      </c>
      <c r="U902" s="3" t="str">
        <f ca="1">IF(B902&lt;&gt;"",INDEX('Initiative Indirect'!$T:$T,MATCH(B902,'Initiative Indirect'!$A:$A,0)),"")</f>
        <v/>
      </c>
      <c r="V902" s="3" t="str">
        <f ca="1">IF(C902&lt;&gt;"",INDEX('Team Indirect'!$T:$T,MATCH(C902,'Team Indirect'!$A:$A,0)),"")</f>
        <v/>
      </c>
      <c r="W902" s="3"/>
      <c r="X902" s="3"/>
      <c r="Y902" s="3" t="str">
        <f ca="1">IF($C902&lt;&gt;"",INDEX('Team Indirect'!$D:$D,MATCH($C902,'Team Indirect'!$A:$A,0)),"")</f>
        <v/>
      </c>
      <c r="Z902" s="3" t="str">
        <f ca="1">IF($C902&lt;&gt;"",INDEX('Team Indirect'!$E:$E,MATCH($C902,'Team Indirect'!$A:$A,0)),"")</f>
        <v/>
      </c>
      <c r="AA902" s="3" t="str">
        <f ca="1">IF($C902&lt;&gt;"",INDEX('Team Indirect'!$F:$F,MATCH($C902,'Team Indirect'!$A:$A,0)),"")</f>
        <v/>
      </c>
      <c r="AB902" s="3" t="str">
        <f t="shared" ca="1" si="14"/>
        <v/>
      </c>
      <c r="AC902" s="3">
        <f ca="1">IF(OR(AllocationUnits="Stories", AllocationUnits="Points"),'Work Indirect'!F902,F902/MAX('Work Indirect'!AB902,1))</f>
        <v>1</v>
      </c>
    </row>
    <row r="903" spans="1:29"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7" t="str">
        <f ca="1">IF(OFFSET('4. Work'!$A$1,ROW(D903)-1,COLUMN(D903)-1)="","",OFFSET('4. Work'!$A$1,ROW(D903)-1,COLUMN(D903)-1))</f>
        <v/>
      </c>
      <c r="E903" s="147"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I903" s="3" t="str">
        <f ca="1">IF(OFFSET('4. Work'!$A$1,ROW(I903)-1,COLUMN(I903)-1)="","",OFFSET('4. Work'!$A$1,ROW(I903)-1,COLUMN(I903)-1))</f>
        <v/>
      </c>
      <c r="T903" s="3" t="str">
        <f ca="1">IF(A903&lt;&gt;"",MAX('Initiative Indirect'!$T:$T)+(ROW(A903)-1),"")</f>
        <v/>
      </c>
      <c r="U903" s="3" t="str">
        <f ca="1">IF(B903&lt;&gt;"",INDEX('Initiative Indirect'!$T:$T,MATCH(B903,'Initiative Indirect'!$A:$A,0)),"")</f>
        <v/>
      </c>
      <c r="V903" s="3" t="str">
        <f ca="1">IF(C903&lt;&gt;"",INDEX('Team Indirect'!$T:$T,MATCH(C903,'Team Indirect'!$A:$A,0)),"")</f>
        <v/>
      </c>
      <c r="W903" s="3"/>
      <c r="X903" s="3"/>
      <c r="Y903" s="3" t="str">
        <f ca="1">IF($C903&lt;&gt;"",INDEX('Team Indirect'!$D:$D,MATCH($C903,'Team Indirect'!$A:$A,0)),"")</f>
        <v/>
      </c>
      <c r="Z903" s="3" t="str">
        <f ca="1">IF($C903&lt;&gt;"",INDEX('Team Indirect'!$E:$E,MATCH($C903,'Team Indirect'!$A:$A,0)),"")</f>
        <v/>
      </c>
      <c r="AA903" s="3" t="str">
        <f ca="1">IF($C903&lt;&gt;"",INDEX('Team Indirect'!$F:$F,MATCH($C903,'Team Indirect'!$A:$A,0)),"")</f>
        <v/>
      </c>
      <c r="AB903" s="3" t="str">
        <f t="shared" ca="1" si="14"/>
        <v/>
      </c>
      <c r="AC903" s="3">
        <f ca="1">IF(OR(AllocationUnits="Stories", AllocationUnits="Points"),'Work Indirect'!F903,F903/MAX('Work Indirect'!AB903,1))</f>
        <v>1</v>
      </c>
    </row>
    <row r="904" spans="1:29"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7" t="str">
        <f ca="1">IF(OFFSET('4. Work'!$A$1,ROW(D904)-1,COLUMN(D904)-1)="","",OFFSET('4. Work'!$A$1,ROW(D904)-1,COLUMN(D904)-1))</f>
        <v/>
      </c>
      <c r="E904" s="147"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I904" s="3" t="str">
        <f ca="1">IF(OFFSET('4. Work'!$A$1,ROW(I904)-1,COLUMN(I904)-1)="","",OFFSET('4. Work'!$A$1,ROW(I904)-1,COLUMN(I904)-1))</f>
        <v/>
      </c>
      <c r="T904" s="3" t="str">
        <f ca="1">IF(A904&lt;&gt;"",MAX('Initiative Indirect'!$T:$T)+(ROW(A904)-1),"")</f>
        <v/>
      </c>
      <c r="U904" s="3" t="str">
        <f ca="1">IF(B904&lt;&gt;"",INDEX('Initiative Indirect'!$T:$T,MATCH(B904,'Initiative Indirect'!$A:$A,0)),"")</f>
        <v/>
      </c>
      <c r="V904" s="3" t="str">
        <f ca="1">IF(C904&lt;&gt;"",INDEX('Team Indirect'!$T:$T,MATCH(C904,'Team Indirect'!$A:$A,0)),"")</f>
        <v/>
      </c>
      <c r="W904" s="3"/>
      <c r="X904" s="3"/>
      <c r="Y904" s="3" t="str">
        <f ca="1">IF($C904&lt;&gt;"",INDEX('Team Indirect'!$D:$D,MATCH($C904,'Team Indirect'!$A:$A,0)),"")</f>
        <v/>
      </c>
      <c r="Z904" s="3" t="str">
        <f ca="1">IF($C904&lt;&gt;"",INDEX('Team Indirect'!$E:$E,MATCH($C904,'Team Indirect'!$A:$A,0)),"")</f>
        <v/>
      </c>
      <c r="AA904" s="3" t="str">
        <f ca="1">IF($C904&lt;&gt;"",INDEX('Team Indirect'!$F:$F,MATCH($C904,'Team Indirect'!$A:$A,0)),"")</f>
        <v/>
      </c>
      <c r="AB904" s="3" t="str">
        <f t="shared" ca="1" si="14"/>
        <v/>
      </c>
      <c r="AC904" s="3">
        <f ca="1">IF(OR(AllocationUnits="Stories", AllocationUnits="Points"),'Work Indirect'!F904,F904/MAX('Work Indirect'!AB904,1))</f>
        <v>1</v>
      </c>
    </row>
    <row r="905" spans="1:29"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7" t="str">
        <f ca="1">IF(OFFSET('4. Work'!$A$1,ROW(D905)-1,COLUMN(D905)-1)="","",OFFSET('4. Work'!$A$1,ROW(D905)-1,COLUMN(D905)-1))</f>
        <v/>
      </c>
      <c r="E905" s="147"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I905" s="3" t="str">
        <f ca="1">IF(OFFSET('4. Work'!$A$1,ROW(I905)-1,COLUMN(I905)-1)="","",OFFSET('4. Work'!$A$1,ROW(I905)-1,COLUMN(I905)-1))</f>
        <v/>
      </c>
      <c r="T905" s="3" t="str">
        <f ca="1">IF(A905&lt;&gt;"",MAX('Initiative Indirect'!$T:$T)+(ROW(A905)-1),"")</f>
        <v/>
      </c>
      <c r="U905" s="3" t="str">
        <f ca="1">IF(B905&lt;&gt;"",INDEX('Initiative Indirect'!$T:$T,MATCH(B905,'Initiative Indirect'!$A:$A,0)),"")</f>
        <v/>
      </c>
      <c r="V905" s="3" t="str">
        <f ca="1">IF(C905&lt;&gt;"",INDEX('Team Indirect'!$T:$T,MATCH(C905,'Team Indirect'!$A:$A,0)),"")</f>
        <v/>
      </c>
      <c r="W905" s="3"/>
      <c r="X905" s="3"/>
      <c r="Y905" s="3" t="str">
        <f ca="1">IF($C905&lt;&gt;"",INDEX('Team Indirect'!$D:$D,MATCH($C905,'Team Indirect'!$A:$A,0)),"")</f>
        <v/>
      </c>
      <c r="Z905" s="3" t="str">
        <f ca="1">IF($C905&lt;&gt;"",INDEX('Team Indirect'!$E:$E,MATCH($C905,'Team Indirect'!$A:$A,0)),"")</f>
        <v/>
      </c>
      <c r="AA905" s="3" t="str">
        <f ca="1">IF($C905&lt;&gt;"",INDEX('Team Indirect'!$F:$F,MATCH($C905,'Team Indirect'!$A:$A,0)),"")</f>
        <v/>
      </c>
      <c r="AB905" s="3" t="str">
        <f t="shared" ca="1" si="14"/>
        <v/>
      </c>
      <c r="AC905" s="3">
        <f ca="1">IF(OR(AllocationUnits="Stories", AllocationUnits="Points"),'Work Indirect'!F905,F905/MAX('Work Indirect'!AB905,1))</f>
        <v>1</v>
      </c>
    </row>
    <row r="906" spans="1:29"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7" t="str">
        <f ca="1">IF(OFFSET('4. Work'!$A$1,ROW(D906)-1,COLUMN(D906)-1)="","",OFFSET('4. Work'!$A$1,ROW(D906)-1,COLUMN(D906)-1))</f>
        <v/>
      </c>
      <c r="E906" s="147"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I906" s="3" t="str">
        <f ca="1">IF(OFFSET('4. Work'!$A$1,ROW(I906)-1,COLUMN(I906)-1)="","",OFFSET('4. Work'!$A$1,ROW(I906)-1,COLUMN(I906)-1))</f>
        <v/>
      </c>
      <c r="T906" s="3" t="str">
        <f ca="1">IF(A906&lt;&gt;"",MAX('Initiative Indirect'!$T:$T)+(ROW(A906)-1),"")</f>
        <v/>
      </c>
      <c r="U906" s="3" t="str">
        <f ca="1">IF(B906&lt;&gt;"",INDEX('Initiative Indirect'!$T:$T,MATCH(B906,'Initiative Indirect'!$A:$A,0)),"")</f>
        <v/>
      </c>
      <c r="V906" s="3" t="str">
        <f ca="1">IF(C906&lt;&gt;"",INDEX('Team Indirect'!$T:$T,MATCH(C906,'Team Indirect'!$A:$A,0)),"")</f>
        <v/>
      </c>
      <c r="W906" s="3"/>
      <c r="X906" s="3"/>
      <c r="Y906" s="3" t="str">
        <f ca="1">IF($C906&lt;&gt;"",INDEX('Team Indirect'!$D:$D,MATCH($C906,'Team Indirect'!$A:$A,0)),"")</f>
        <v/>
      </c>
      <c r="Z906" s="3" t="str">
        <f ca="1">IF($C906&lt;&gt;"",INDEX('Team Indirect'!$E:$E,MATCH($C906,'Team Indirect'!$A:$A,0)),"")</f>
        <v/>
      </c>
      <c r="AA906" s="3" t="str">
        <f ca="1">IF($C906&lt;&gt;"",INDEX('Team Indirect'!$F:$F,MATCH($C906,'Team Indirect'!$A:$A,0)),"")</f>
        <v/>
      </c>
      <c r="AB906" s="3" t="str">
        <f t="shared" ca="1" si="14"/>
        <v/>
      </c>
      <c r="AC906" s="3">
        <f ca="1">IF(OR(AllocationUnits="Stories", AllocationUnits="Points"),'Work Indirect'!F906,F906/MAX('Work Indirect'!AB906,1))</f>
        <v>1</v>
      </c>
    </row>
    <row r="907" spans="1:29"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7" t="str">
        <f ca="1">IF(OFFSET('4. Work'!$A$1,ROW(D907)-1,COLUMN(D907)-1)="","",OFFSET('4. Work'!$A$1,ROW(D907)-1,COLUMN(D907)-1))</f>
        <v/>
      </c>
      <c r="E907" s="147"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I907" s="3" t="str">
        <f ca="1">IF(OFFSET('4. Work'!$A$1,ROW(I907)-1,COLUMN(I907)-1)="","",OFFSET('4. Work'!$A$1,ROW(I907)-1,COLUMN(I907)-1))</f>
        <v/>
      </c>
      <c r="T907" s="3" t="str">
        <f ca="1">IF(A907&lt;&gt;"",MAX('Initiative Indirect'!$T:$T)+(ROW(A907)-1),"")</f>
        <v/>
      </c>
      <c r="U907" s="3" t="str">
        <f ca="1">IF(B907&lt;&gt;"",INDEX('Initiative Indirect'!$T:$T,MATCH(B907,'Initiative Indirect'!$A:$A,0)),"")</f>
        <v/>
      </c>
      <c r="V907" s="3" t="str">
        <f ca="1">IF(C907&lt;&gt;"",INDEX('Team Indirect'!$T:$T,MATCH(C907,'Team Indirect'!$A:$A,0)),"")</f>
        <v/>
      </c>
      <c r="W907" s="3"/>
      <c r="X907" s="3"/>
      <c r="Y907" s="3" t="str">
        <f ca="1">IF($C907&lt;&gt;"",INDEX('Team Indirect'!$D:$D,MATCH($C907,'Team Indirect'!$A:$A,0)),"")</f>
        <v/>
      </c>
      <c r="Z907" s="3" t="str">
        <f ca="1">IF($C907&lt;&gt;"",INDEX('Team Indirect'!$E:$E,MATCH($C907,'Team Indirect'!$A:$A,0)),"")</f>
        <v/>
      </c>
      <c r="AA907" s="3" t="str">
        <f ca="1">IF($C907&lt;&gt;"",INDEX('Team Indirect'!$F:$F,MATCH($C907,'Team Indirect'!$A:$A,0)),"")</f>
        <v/>
      </c>
      <c r="AB907" s="3" t="str">
        <f t="shared" ca="1" si="14"/>
        <v/>
      </c>
      <c r="AC907" s="3">
        <f ca="1">IF(OR(AllocationUnits="Stories", AllocationUnits="Points"),'Work Indirect'!F907,F907/MAX('Work Indirect'!AB907,1))</f>
        <v>1</v>
      </c>
    </row>
    <row r="908" spans="1:29"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7" t="str">
        <f ca="1">IF(OFFSET('4. Work'!$A$1,ROW(D908)-1,COLUMN(D908)-1)="","",OFFSET('4. Work'!$A$1,ROW(D908)-1,COLUMN(D908)-1))</f>
        <v/>
      </c>
      <c r="E908" s="147"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I908" s="3" t="str">
        <f ca="1">IF(OFFSET('4. Work'!$A$1,ROW(I908)-1,COLUMN(I908)-1)="","",OFFSET('4. Work'!$A$1,ROW(I908)-1,COLUMN(I908)-1))</f>
        <v/>
      </c>
      <c r="T908" s="3" t="str">
        <f ca="1">IF(A908&lt;&gt;"",MAX('Initiative Indirect'!$T:$T)+(ROW(A908)-1),"")</f>
        <v/>
      </c>
      <c r="U908" s="3" t="str">
        <f ca="1">IF(B908&lt;&gt;"",INDEX('Initiative Indirect'!$T:$T,MATCH(B908,'Initiative Indirect'!$A:$A,0)),"")</f>
        <v/>
      </c>
      <c r="V908" s="3" t="str">
        <f ca="1">IF(C908&lt;&gt;"",INDEX('Team Indirect'!$T:$T,MATCH(C908,'Team Indirect'!$A:$A,0)),"")</f>
        <v/>
      </c>
      <c r="W908" s="3"/>
      <c r="X908" s="3"/>
      <c r="Y908" s="3" t="str">
        <f ca="1">IF($C908&lt;&gt;"",INDEX('Team Indirect'!$D:$D,MATCH($C908,'Team Indirect'!$A:$A,0)),"")</f>
        <v/>
      </c>
      <c r="Z908" s="3" t="str">
        <f ca="1">IF($C908&lt;&gt;"",INDEX('Team Indirect'!$E:$E,MATCH($C908,'Team Indirect'!$A:$A,0)),"")</f>
        <v/>
      </c>
      <c r="AA908" s="3" t="str">
        <f ca="1">IF($C908&lt;&gt;"",INDEX('Team Indirect'!$F:$F,MATCH($C908,'Team Indirect'!$A:$A,0)),"")</f>
        <v/>
      </c>
      <c r="AB908" s="3" t="str">
        <f t="shared" ca="1" si="14"/>
        <v/>
      </c>
      <c r="AC908" s="3">
        <f ca="1">IF(OR(AllocationUnits="Stories", AllocationUnits="Points"),'Work Indirect'!F908,F908/MAX('Work Indirect'!AB908,1))</f>
        <v>1</v>
      </c>
    </row>
    <row r="909" spans="1:29"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7" t="str">
        <f ca="1">IF(OFFSET('4. Work'!$A$1,ROW(D909)-1,COLUMN(D909)-1)="","",OFFSET('4. Work'!$A$1,ROW(D909)-1,COLUMN(D909)-1))</f>
        <v/>
      </c>
      <c r="E909" s="147"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I909" s="3" t="str">
        <f ca="1">IF(OFFSET('4. Work'!$A$1,ROW(I909)-1,COLUMN(I909)-1)="","",OFFSET('4. Work'!$A$1,ROW(I909)-1,COLUMN(I909)-1))</f>
        <v/>
      </c>
      <c r="T909" s="3" t="str">
        <f ca="1">IF(A909&lt;&gt;"",MAX('Initiative Indirect'!$T:$T)+(ROW(A909)-1),"")</f>
        <v/>
      </c>
      <c r="U909" s="3" t="str">
        <f ca="1">IF(B909&lt;&gt;"",INDEX('Initiative Indirect'!$T:$T,MATCH(B909,'Initiative Indirect'!$A:$A,0)),"")</f>
        <v/>
      </c>
      <c r="V909" s="3" t="str">
        <f ca="1">IF(C909&lt;&gt;"",INDEX('Team Indirect'!$T:$T,MATCH(C909,'Team Indirect'!$A:$A,0)),"")</f>
        <v/>
      </c>
      <c r="W909" s="3"/>
      <c r="X909" s="3"/>
      <c r="Y909" s="3" t="str">
        <f ca="1">IF($C909&lt;&gt;"",INDEX('Team Indirect'!$D:$D,MATCH($C909,'Team Indirect'!$A:$A,0)),"")</f>
        <v/>
      </c>
      <c r="Z909" s="3" t="str">
        <f ca="1">IF($C909&lt;&gt;"",INDEX('Team Indirect'!$E:$E,MATCH($C909,'Team Indirect'!$A:$A,0)),"")</f>
        <v/>
      </c>
      <c r="AA909" s="3" t="str">
        <f ca="1">IF($C909&lt;&gt;"",INDEX('Team Indirect'!$F:$F,MATCH($C909,'Team Indirect'!$A:$A,0)),"")</f>
        <v/>
      </c>
      <c r="AB909" s="3" t="str">
        <f t="shared" ca="1" si="14"/>
        <v/>
      </c>
      <c r="AC909" s="3">
        <f ca="1">IF(OR(AllocationUnits="Stories", AllocationUnits="Points"),'Work Indirect'!F909,F909/MAX('Work Indirect'!AB909,1))</f>
        <v>1</v>
      </c>
    </row>
    <row r="910" spans="1:29"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7" t="str">
        <f ca="1">IF(OFFSET('4. Work'!$A$1,ROW(D910)-1,COLUMN(D910)-1)="","",OFFSET('4. Work'!$A$1,ROW(D910)-1,COLUMN(D910)-1))</f>
        <v/>
      </c>
      <c r="E910" s="147"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I910" s="3" t="str">
        <f ca="1">IF(OFFSET('4. Work'!$A$1,ROW(I910)-1,COLUMN(I910)-1)="","",OFFSET('4. Work'!$A$1,ROW(I910)-1,COLUMN(I910)-1))</f>
        <v/>
      </c>
      <c r="T910" s="3" t="str">
        <f ca="1">IF(A910&lt;&gt;"",MAX('Initiative Indirect'!$T:$T)+(ROW(A910)-1),"")</f>
        <v/>
      </c>
      <c r="U910" s="3" t="str">
        <f ca="1">IF(B910&lt;&gt;"",INDEX('Initiative Indirect'!$T:$T,MATCH(B910,'Initiative Indirect'!$A:$A,0)),"")</f>
        <v/>
      </c>
      <c r="V910" s="3" t="str">
        <f ca="1">IF(C910&lt;&gt;"",INDEX('Team Indirect'!$T:$T,MATCH(C910,'Team Indirect'!$A:$A,0)),"")</f>
        <v/>
      </c>
      <c r="W910" s="3"/>
      <c r="X910" s="3"/>
      <c r="Y910" s="3" t="str">
        <f ca="1">IF($C910&lt;&gt;"",INDEX('Team Indirect'!$D:$D,MATCH($C910,'Team Indirect'!$A:$A,0)),"")</f>
        <v/>
      </c>
      <c r="Z910" s="3" t="str">
        <f ca="1">IF($C910&lt;&gt;"",INDEX('Team Indirect'!$E:$E,MATCH($C910,'Team Indirect'!$A:$A,0)),"")</f>
        <v/>
      </c>
      <c r="AA910" s="3" t="str">
        <f ca="1">IF($C910&lt;&gt;"",INDEX('Team Indirect'!$F:$F,MATCH($C910,'Team Indirect'!$A:$A,0)),"")</f>
        <v/>
      </c>
      <c r="AB910" s="3" t="str">
        <f t="shared" ca="1" si="14"/>
        <v/>
      </c>
      <c r="AC910" s="3">
        <f ca="1">IF(OR(AllocationUnits="Stories", AllocationUnits="Points"),'Work Indirect'!F910,F910/MAX('Work Indirect'!AB910,1))</f>
        <v>1</v>
      </c>
    </row>
    <row r="911" spans="1:29"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7" t="str">
        <f ca="1">IF(OFFSET('4. Work'!$A$1,ROW(D911)-1,COLUMN(D911)-1)="","",OFFSET('4. Work'!$A$1,ROW(D911)-1,COLUMN(D911)-1))</f>
        <v/>
      </c>
      <c r="E911" s="147"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I911" s="3" t="str">
        <f ca="1">IF(OFFSET('4. Work'!$A$1,ROW(I911)-1,COLUMN(I911)-1)="","",OFFSET('4. Work'!$A$1,ROW(I911)-1,COLUMN(I911)-1))</f>
        <v/>
      </c>
      <c r="T911" s="3" t="str">
        <f ca="1">IF(A911&lt;&gt;"",MAX('Initiative Indirect'!$T:$T)+(ROW(A911)-1),"")</f>
        <v/>
      </c>
      <c r="U911" s="3" t="str">
        <f ca="1">IF(B911&lt;&gt;"",INDEX('Initiative Indirect'!$T:$T,MATCH(B911,'Initiative Indirect'!$A:$A,0)),"")</f>
        <v/>
      </c>
      <c r="V911" s="3" t="str">
        <f ca="1">IF(C911&lt;&gt;"",INDEX('Team Indirect'!$T:$T,MATCH(C911,'Team Indirect'!$A:$A,0)),"")</f>
        <v/>
      </c>
      <c r="W911" s="3"/>
      <c r="X911" s="3"/>
      <c r="Y911" s="3" t="str">
        <f ca="1">IF($C911&lt;&gt;"",INDEX('Team Indirect'!$D:$D,MATCH($C911,'Team Indirect'!$A:$A,0)),"")</f>
        <v/>
      </c>
      <c r="Z911" s="3" t="str">
        <f ca="1">IF($C911&lt;&gt;"",INDEX('Team Indirect'!$E:$E,MATCH($C911,'Team Indirect'!$A:$A,0)),"")</f>
        <v/>
      </c>
      <c r="AA911" s="3" t="str">
        <f ca="1">IF($C911&lt;&gt;"",INDEX('Team Indirect'!$F:$F,MATCH($C911,'Team Indirect'!$A:$A,0)),"")</f>
        <v/>
      </c>
      <c r="AB911" s="3" t="str">
        <f t="shared" ca="1" si="14"/>
        <v/>
      </c>
      <c r="AC911" s="3">
        <f ca="1">IF(OR(AllocationUnits="Stories", AllocationUnits="Points"),'Work Indirect'!F911,F911/MAX('Work Indirect'!AB911,1))</f>
        <v>1</v>
      </c>
    </row>
    <row r="912" spans="1:29"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7" t="str">
        <f ca="1">IF(OFFSET('4. Work'!$A$1,ROW(D912)-1,COLUMN(D912)-1)="","",OFFSET('4. Work'!$A$1,ROW(D912)-1,COLUMN(D912)-1))</f>
        <v/>
      </c>
      <c r="E912" s="147"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I912" s="3" t="str">
        <f ca="1">IF(OFFSET('4. Work'!$A$1,ROW(I912)-1,COLUMN(I912)-1)="","",OFFSET('4. Work'!$A$1,ROW(I912)-1,COLUMN(I912)-1))</f>
        <v/>
      </c>
      <c r="T912" s="3" t="str">
        <f ca="1">IF(A912&lt;&gt;"",MAX('Initiative Indirect'!$T:$T)+(ROW(A912)-1),"")</f>
        <v/>
      </c>
      <c r="U912" s="3" t="str">
        <f ca="1">IF(B912&lt;&gt;"",INDEX('Initiative Indirect'!$T:$T,MATCH(B912,'Initiative Indirect'!$A:$A,0)),"")</f>
        <v/>
      </c>
      <c r="V912" s="3" t="str">
        <f ca="1">IF(C912&lt;&gt;"",INDEX('Team Indirect'!$T:$T,MATCH(C912,'Team Indirect'!$A:$A,0)),"")</f>
        <v/>
      </c>
      <c r="W912" s="3"/>
      <c r="X912" s="3"/>
      <c r="Y912" s="3" t="str">
        <f ca="1">IF($C912&lt;&gt;"",INDEX('Team Indirect'!$D:$D,MATCH($C912,'Team Indirect'!$A:$A,0)),"")</f>
        <v/>
      </c>
      <c r="Z912" s="3" t="str">
        <f ca="1">IF($C912&lt;&gt;"",INDEX('Team Indirect'!$E:$E,MATCH($C912,'Team Indirect'!$A:$A,0)),"")</f>
        <v/>
      </c>
      <c r="AA912" s="3" t="str">
        <f ca="1">IF($C912&lt;&gt;"",INDEX('Team Indirect'!$F:$F,MATCH($C912,'Team Indirect'!$A:$A,0)),"")</f>
        <v/>
      </c>
      <c r="AB912" s="3" t="str">
        <f t="shared" ca="1" si="14"/>
        <v/>
      </c>
      <c r="AC912" s="3">
        <f ca="1">IF(OR(AllocationUnits="Stories", AllocationUnits="Points"),'Work Indirect'!F912,F912/MAX('Work Indirect'!AB912,1))</f>
        <v>1</v>
      </c>
    </row>
    <row r="913" spans="1:29"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7" t="str">
        <f ca="1">IF(OFFSET('4. Work'!$A$1,ROW(D913)-1,COLUMN(D913)-1)="","",OFFSET('4. Work'!$A$1,ROW(D913)-1,COLUMN(D913)-1))</f>
        <v/>
      </c>
      <c r="E913" s="147"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I913" s="3" t="str">
        <f ca="1">IF(OFFSET('4. Work'!$A$1,ROW(I913)-1,COLUMN(I913)-1)="","",OFFSET('4. Work'!$A$1,ROW(I913)-1,COLUMN(I913)-1))</f>
        <v/>
      </c>
      <c r="T913" s="3" t="str">
        <f ca="1">IF(A913&lt;&gt;"",MAX('Initiative Indirect'!$T:$T)+(ROW(A913)-1),"")</f>
        <v/>
      </c>
      <c r="U913" s="3" t="str">
        <f ca="1">IF(B913&lt;&gt;"",INDEX('Initiative Indirect'!$T:$T,MATCH(B913,'Initiative Indirect'!$A:$A,0)),"")</f>
        <v/>
      </c>
      <c r="V913" s="3" t="str">
        <f ca="1">IF(C913&lt;&gt;"",INDEX('Team Indirect'!$T:$T,MATCH(C913,'Team Indirect'!$A:$A,0)),"")</f>
        <v/>
      </c>
      <c r="W913" s="3"/>
      <c r="X913" s="3"/>
      <c r="Y913" s="3" t="str">
        <f ca="1">IF($C913&lt;&gt;"",INDEX('Team Indirect'!$D:$D,MATCH($C913,'Team Indirect'!$A:$A,0)),"")</f>
        <v/>
      </c>
      <c r="Z913" s="3" t="str">
        <f ca="1">IF($C913&lt;&gt;"",INDEX('Team Indirect'!$E:$E,MATCH($C913,'Team Indirect'!$A:$A,0)),"")</f>
        <v/>
      </c>
      <c r="AA913" s="3" t="str">
        <f ca="1">IF($C913&lt;&gt;"",INDEX('Team Indirect'!$F:$F,MATCH($C913,'Team Indirect'!$A:$A,0)),"")</f>
        <v/>
      </c>
      <c r="AB913" s="3" t="str">
        <f t="shared" ca="1" si="14"/>
        <v/>
      </c>
      <c r="AC913" s="3">
        <f ca="1">IF(OR(AllocationUnits="Stories", AllocationUnits="Points"),'Work Indirect'!F913,F913/MAX('Work Indirect'!AB913,1))</f>
        <v>1</v>
      </c>
    </row>
    <row r="914" spans="1:29"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7" t="str">
        <f ca="1">IF(OFFSET('4. Work'!$A$1,ROW(D914)-1,COLUMN(D914)-1)="","",OFFSET('4. Work'!$A$1,ROW(D914)-1,COLUMN(D914)-1))</f>
        <v/>
      </c>
      <c r="E914" s="147"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I914" s="3" t="str">
        <f ca="1">IF(OFFSET('4. Work'!$A$1,ROW(I914)-1,COLUMN(I914)-1)="","",OFFSET('4. Work'!$A$1,ROW(I914)-1,COLUMN(I914)-1))</f>
        <v/>
      </c>
      <c r="T914" s="3" t="str">
        <f ca="1">IF(A914&lt;&gt;"",MAX('Initiative Indirect'!$T:$T)+(ROW(A914)-1),"")</f>
        <v/>
      </c>
      <c r="U914" s="3" t="str">
        <f ca="1">IF(B914&lt;&gt;"",INDEX('Initiative Indirect'!$T:$T,MATCH(B914,'Initiative Indirect'!$A:$A,0)),"")</f>
        <v/>
      </c>
      <c r="V914" s="3" t="str">
        <f ca="1">IF(C914&lt;&gt;"",INDEX('Team Indirect'!$T:$T,MATCH(C914,'Team Indirect'!$A:$A,0)),"")</f>
        <v/>
      </c>
      <c r="W914" s="3"/>
      <c r="X914" s="3"/>
      <c r="Y914" s="3" t="str">
        <f ca="1">IF($C914&lt;&gt;"",INDEX('Team Indirect'!$D:$D,MATCH($C914,'Team Indirect'!$A:$A,0)),"")</f>
        <v/>
      </c>
      <c r="Z914" s="3" t="str">
        <f ca="1">IF($C914&lt;&gt;"",INDEX('Team Indirect'!$E:$E,MATCH($C914,'Team Indirect'!$A:$A,0)),"")</f>
        <v/>
      </c>
      <c r="AA914" s="3" t="str">
        <f ca="1">IF($C914&lt;&gt;"",INDEX('Team Indirect'!$F:$F,MATCH($C914,'Team Indirect'!$A:$A,0)),"")</f>
        <v/>
      </c>
      <c r="AB914" s="3" t="str">
        <f t="shared" ca="1" si="14"/>
        <v/>
      </c>
      <c r="AC914" s="3">
        <f ca="1">IF(OR(AllocationUnits="Stories", AllocationUnits="Points"),'Work Indirect'!F914,F914/MAX('Work Indirect'!AB914,1))</f>
        <v>1</v>
      </c>
    </row>
    <row r="915" spans="1:29"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7" t="str">
        <f ca="1">IF(OFFSET('4. Work'!$A$1,ROW(D915)-1,COLUMN(D915)-1)="","",OFFSET('4. Work'!$A$1,ROW(D915)-1,COLUMN(D915)-1))</f>
        <v/>
      </c>
      <c r="E915" s="147"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I915" s="3" t="str">
        <f ca="1">IF(OFFSET('4. Work'!$A$1,ROW(I915)-1,COLUMN(I915)-1)="","",OFFSET('4. Work'!$A$1,ROW(I915)-1,COLUMN(I915)-1))</f>
        <v/>
      </c>
      <c r="T915" s="3" t="str">
        <f ca="1">IF(A915&lt;&gt;"",MAX('Initiative Indirect'!$T:$T)+(ROW(A915)-1),"")</f>
        <v/>
      </c>
      <c r="U915" s="3" t="str">
        <f ca="1">IF(B915&lt;&gt;"",INDEX('Initiative Indirect'!$T:$T,MATCH(B915,'Initiative Indirect'!$A:$A,0)),"")</f>
        <v/>
      </c>
      <c r="V915" s="3" t="str">
        <f ca="1">IF(C915&lt;&gt;"",INDEX('Team Indirect'!$T:$T,MATCH(C915,'Team Indirect'!$A:$A,0)),"")</f>
        <v/>
      </c>
      <c r="W915" s="3"/>
      <c r="X915" s="3"/>
      <c r="Y915" s="3" t="str">
        <f ca="1">IF($C915&lt;&gt;"",INDEX('Team Indirect'!$D:$D,MATCH($C915,'Team Indirect'!$A:$A,0)),"")</f>
        <v/>
      </c>
      <c r="Z915" s="3" t="str">
        <f ca="1">IF($C915&lt;&gt;"",INDEX('Team Indirect'!$E:$E,MATCH($C915,'Team Indirect'!$A:$A,0)),"")</f>
        <v/>
      </c>
      <c r="AA915" s="3" t="str">
        <f ca="1">IF($C915&lt;&gt;"",INDEX('Team Indirect'!$F:$F,MATCH($C915,'Team Indirect'!$A:$A,0)),"")</f>
        <v/>
      </c>
      <c r="AB915" s="3" t="str">
        <f t="shared" ca="1" si="14"/>
        <v/>
      </c>
      <c r="AC915" s="3">
        <f ca="1">IF(OR(AllocationUnits="Stories", AllocationUnits="Points"),'Work Indirect'!F915,F915/MAX('Work Indirect'!AB915,1))</f>
        <v>1</v>
      </c>
    </row>
    <row r="916" spans="1:29"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7" t="str">
        <f ca="1">IF(OFFSET('4. Work'!$A$1,ROW(D916)-1,COLUMN(D916)-1)="","",OFFSET('4. Work'!$A$1,ROW(D916)-1,COLUMN(D916)-1))</f>
        <v/>
      </c>
      <c r="E916" s="147"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I916" s="3" t="str">
        <f ca="1">IF(OFFSET('4. Work'!$A$1,ROW(I916)-1,COLUMN(I916)-1)="","",OFFSET('4. Work'!$A$1,ROW(I916)-1,COLUMN(I916)-1))</f>
        <v/>
      </c>
      <c r="T916" s="3" t="str">
        <f ca="1">IF(A916&lt;&gt;"",MAX('Initiative Indirect'!$T:$T)+(ROW(A916)-1),"")</f>
        <v/>
      </c>
      <c r="U916" s="3" t="str">
        <f ca="1">IF(B916&lt;&gt;"",INDEX('Initiative Indirect'!$T:$T,MATCH(B916,'Initiative Indirect'!$A:$A,0)),"")</f>
        <v/>
      </c>
      <c r="V916" s="3" t="str">
        <f ca="1">IF(C916&lt;&gt;"",INDEX('Team Indirect'!$T:$T,MATCH(C916,'Team Indirect'!$A:$A,0)),"")</f>
        <v/>
      </c>
      <c r="W916" s="3"/>
      <c r="X916" s="3"/>
      <c r="Y916" s="3" t="str">
        <f ca="1">IF($C916&lt;&gt;"",INDEX('Team Indirect'!$D:$D,MATCH($C916,'Team Indirect'!$A:$A,0)),"")</f>
        <v/>
      </c>
      <c r="Z916" s="3" t="str">
        <f ca="1">IF($C916&lt;&gt;"",INDEX('Team Indirect'!$E:$E,MATCH($C916,'Team Indirect'!$A:$A,0)),"")</f>
        <v/>
      </c>
      <c r="AA916" s="3" t="str">
        <f ca="1">IF($C916&lt;&gt;"",INDEX('Team Indirect'!$F:$F,MATCH($C916,'Team Indirect'!$A:$A,0)),"")</f>
        <v/>
      </c>
      <c r="AB916" s="3" t="str">
        <f t="shared" ca="1" si="14"/>
        <v/>
      </c>
      <c r="AC916" s="3">
        <f ca="1">IF(OR(AllocationUnits="Stories", AllocationUnits="Points"),'Work Indirect'!F916,F916/MAX('Work Indirect'!AB916,1))</f>
        <v>1</v>
      </c>
    </row>
    <row r="917" spans="1:29"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7" t="str">
        <f ca="1">IF(OFFSET('4. Work'!$A$1,ROW(D917)-1,COLUMN(D917)-1)="","",OFFSET('4. Work'!$A$1,ROW(D917)-1,COLUMN(D917)-1))</f>
        <v/>
      </c>
      <c r="E917" s="147"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I917" s="3" t="str">
        <f ca="1">IF(OFFSET('4. Work'!$A$1,ROW(I917)-1,COLUMN(I917)-1)="","",OFFSET('4. Work'!$A$1,ROW(I917)-1,COLUMN(I917)-1))</f>
        <v/>
      </c>
      <c r="T917" s="3" t="str">
        <f ca="1">IF(A917&lt;&gt;"",MAX('Initiative Indirect'!$T:$T)+(ROW(A917)-1),"")</f>
        <v/>
      </c>
      <c r="U917" s="3" t="str">
        <f ca="1">IF(B917&lt;&gt;"",INDEX('Initiative Indirect'!$T:$T,MATCH(B917,'Initiative Indirect'!$A:$A,0)),"")</f>
        <v/>
      </c>
      <c r="V917" s="3" t="str">
        <f ca="1">IF(C917&lt;&gt;"",INDEX('Team Indirect'!$T:$T,MATCH(C917,'Team Indirect'!$A:$A,0)),"")</f>
        <v/>
      </c>
      <c r="W917" s="3"/>
      <c r="X917" s="3"/>
      <c r="Y917" s="3" t="str">
        <f ca="1">IF($C917&lt;&gt;"",INDEX('Team Indirect'!$D:$D,MATCH($C917,'Team Indirect'!$A:$A,0)),"")</f>
        <v/>
      </c>
      <c r="Z917" s="3" t="str">
        <f ca="1">IF($C917&lt;&gt;"",INDEX('Team Indirect'!$E:$E,MATCH($C917,'Team Indirect'!$A:$A,0)),"")</f>
        <v/>
      </c>
      <c r="AA917" s="3" t="str">
        <f ca="1">IF($C917&lt;&gt;"",INDEX('Team Indirect'!$F:$F,MATCH($C917,'Team Indirect'!$A:$A,0)),"")</f>
        <v/>
      </c>
      <c r="AB917" s="3" t="str">
        <f t="shared" ca="1" si="14"/>
        <v/>
      </c>
      <c r="AC917" s="3">
        <f ca="1">IF(OR(AllocationUnits="Stories", AllocationUnits="Points"),'Work Indirect'!F917,F917/MAX('Work Indirect'!AB917,1))</f>
        <v>1</v>
      </c>
    </row>
    <row r="918" spans="1:29"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7" t="str">
        <f ca="1">IF(OFFSET('4. Work'!$A$1,ROW(D918)-1,COLUMN(D918)-1)="","",OFFSET('4. Work'!$A$1,ROW(D918)-1,COLUMN(D918)-1))</f>
        <v/>
      </c>
      <c r="E918" s="147"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I918" s="3" t="str">
        <f ca="1">IF(OFFSET('4. Work'!$A$1,ROW(I918)-1,COLUMN(I918)-1)="","",OFFSET('4. Work'!$A$1,ROW(I918)-1,COLUMN(I918)-1))</f>
        <v/>
      </c>
      <c r="T918" s="3" t="str">
        <f ca="1">IF(A918&lt;&gt;"",MAX('Initiative Indirect'!$T:$T)+(ROW(A918)-1),"")</f>
        <v/>
      </c>
      <c r="U918" s="3" t="str">
        <f ca="1">IF(B918&lt;&gt;"",INDEX('Initiative Indirect'!$T:$T,MATCH(B918,'Initiative Indirect'!$A:$A,0)),"")</f>
        <v/>
      </c>
      <c r="V918" s="3" t="str">
        <f ca="1">IF(C918&lt;&gt;"",INDEX('Team Indirect'!$T:$T,MATCH(C918,'Team Indirect'!$A:$A,0)),"")</f>
        <v/>
      </c>
      <c r="W918" s="3"/>
      <c r="X918" s="3"/>
      <c r="Y918" s="3" t="str">
        <f ca="1">IF($C918&lt;&gt;"",INDEX('Team Indirect'!$D:$D,MATCH($C918,'Team Indirect'!$A:$A,0)),"")</f>
        <v/>
      </c>
      <c r="Z918" s="3" t="str">
        <f ca="1">IF($C918&lt;&gt;"",INDEX('Team Indirect'!$E:$E,MATCH($C918,'Team Indirect'!$A:$A,0)),"")</f>
        <v/>
      </c>
      <c r="AA918" s="3" t="str">
        <f ca="1">IF($C918&lt;&gt;"",INDEX('Team Indirect'!$F:$F,MATCH($C918,'Team Indirect'!$A:$A,0)),"")</f>
        <v/>
      </c>
      <c r="AB918" s="3" t="str">
        <f t="shared" ca="1" si="14"/>
        <v/>
      </c>
      <c r="AC918" s="3">
        <f ca="1">IF(OR(AllocationUnits="Stories", AllocationUnits="Points"),'Work Indirect'!F918,F918/MAX('Work Indirect'!AB918,1))</f>
        <v>1</v>
      </c>
    </row>
    <row r="919" spans="1:29"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7" t="str">
        <f ca="1">IF(OFFSET('4. Work'!$A$1,ROW(D919)-1,COLUMN(D919)-1)="","",OFFSET('4. Work'!$A$1,ROW(D919)-1,COLUMN(D919)-1))</f>
        <v/>
      </c>
      <c r="E919" s="147"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I919" s="3" t="str">
        <f ca="1">IF(OFFSET('4. Work'!$A$1,ROW(I919)-1,COLUMN(I919)-1)="","",OFFSET('4. Work'!$A$1,ROW(I919)-1,COLUMN(I919)-1))</f>
        <v/>
      </c>
      <c r="T919" s="3" t="str">
        <f ca="1">IF(A919&lt;&gt;"",MAX('Initiative Indirect'!$T:$T)+(ROW(A919)-1),"")</f>
        <v/>
      </c>
      <c r="U919" s="3" t="str">
        <f ca="1">IF(B919&lt;&gt;"",INDEX('Initiative Indirect'!$T:$T,MATCH(B919,'Initiative Indirect'!$A:$A,0)),"")</f>
        <v/>
      </c>
      <c r="V919" s="3" t="str">
        <f ca="1">IF(C919&lt;&gt;"",INDEX('Team Indirect'!$T:$T,MATCH(C919,'Team Indirect'!$A:$A,0)),"")</f>
        <v/>
      </c>
      <c r="W919" s="3"/>
      <c r="X919" s="3"/>
      <c r="Y919" s="3" t="str">
        <f ca="1">IF($C919&lt;&gt;"",INDEX('Team Indirect'!$D:$D,MATCH($C919,'Team Indirect'!$A:$A,0)),"")</f>
        <v/>
      </c>
      <c r="Z919" s="3" t="str">
        <f ca="1">IF($C919&lt;&gt;"",INDEX('Team Indirect'!$E:$E,MATCH($C919,'Team Indirect'!$A:$A,0)),"")</f>
        <v/>
      </c>
      <c r="AA919" s="3" t="str">
        <f ca="1">IF($C919&lt;&gt;"",INDEX('Team Indirect'!$F:$F,MATCH($C919,'Team Indirect'!$A:$A,0)),"")</f>
        <v/>
      </c>
      <c r="AB919" s="3" t="str">
        <f t="shared" ca="1" si="14"/>
        <v/>
      </c>
      <c r="AC919" s="3">
        <f ca="1">IF(OR(AllocationUnits="Stories", AllocationUnits="Points"),'Work Indirect'!F919,F919/MAX('Work Indirect'!AB919,1))</f>
        <v>1</v>
      </c>
    </row>
    <row r="920" spans="1:29"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7" t="str">
        <f ca="1">IF(OFFSET('4. Work'!$A$1,ROW(D920)-1,COLUMN(D920)-1)="","",OFFSET('4. Work'!$A$1,ROW(D920)-1,COLUMN(D920)-1))</f>
        <v/>
      </c>
      <c r="E920" s="147"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I920" s="3" t="str">
        <f ca="1">IF(OFFSET('4. Work'!$A$1,ROW(I920)-1,COLUMN(I920)-1)="","",OFFSET('4. Work'!$A$1,ROW(I920)-1,COLUMN(I920)-1))</f>
        <v/>
      </c>
      <c r="T920" s="3" t="str">
        <f ca="1">IF(A920&lt;&gt;"",MAX('Initiative Indirect'!$T:$T)+(ROW(A920)-1),"")</f>
        <v/>
      </c>
      <c r="U920" s="3" t="str">
        <f ca="1">IF(B920&lt;&gt;"",INDEX('Initiative Indirect'!$T:$T,MATCH(B920,'Initiative Indirect'!$A:$A,0)),"")</f>
        <v/>
      </c>
      <c r="V920" s="3" t="str">
        <f ca="1">IF(C920&lt;&gt;"",INDEX('Team Indirect'!$T:$T,MATCH(C920,'Team Indirect'!$A:$A,0)),"")</f>
        <v/>
      </c>
      <c r="W920" s="3"/>
      <c r="X920" s="3"/>
      <c r="Y920" s="3" t="str">
        <f ca="1">IF($C920&lt;&gt;"",INDEX('Team Indirect'!$D:$D,MATCH($C920,'Team Indirect'!$A:$A,0)),"")</f>
        <v/>
      </c>
      <c r="Z920" s="3" t="str">
        <f ca="1">IF($C920&lt;&gt;"",INDEX('Team Indirect'!$E:$E,MATCH($C920,'Team Indirect'!$A:$A,0)),"")</f>
        <v/>
      </c>
      <c r="AA920" s="3" t="str">
        <f ca="1">IF($C920&lt;&gt;"",INDEX('Team Indirect'!$F:$F,MATCH($C920,'Team Indirect'!$A:$A,0)),"")</f>
        <v/>
      </c>
      <c r="AB920" s="3" t="str">
        <f t="shared" ca="1" si="14"/>
        <v/>
      </c>
      <c r="AC920" s="3">
        <f ca="1">IF(OR(AllocationUnits="Stories", AllocationUnits="Points"),'Work Indirect'!F920,F920/MAX('Work Indirect'!AB920,1))</f>
        <v>1</v>
      </c>
    </row>
    <row r="921" spans="1:29"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7" t="str">
        <f ca="1">IF(OFFSET('4. Work'!$A$1,ROW(D921)-1,COLUMN(D921)-1)="","",OFFSET('4. Work'!$A$1,ROW(D921)-1,COLUMN(D921)-1))</f>
        <v/>
      </c>
      <c r="E921" s="147"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I921" s="3" t="str">
        <f ca="1">IF(OFFSET('4. Work'!$A$1,ROW(I921)-1,COLUMN(I921)-1)="","",OFFSET('4. Work'!$A$1,ROW(I921)-1,COLUMN(I921)-1))</f>
        <v/>
      </c>
      <c r="T921" s="3" t="str">
        <f ca="1">IF(A921&lt;&gt;"",MAX('Initiative Indirect'!$T:$T)+(ROW(A921)-1),"")</f>
        <v/>
      </c>
      <c r="U921" s="3" t="str">
        <f ca="1">IF(B921&lt;&gt;"",INDEX('Initiative Indirect'!$T:$T,MATCH(B921,'Initiative Indirect'!$A:$A,0)),"")</f>
        <v/>
      </c>
      <c r="V921" s="3" t="str">
        <f ca="1">IF(C921&lt;&gt;"",INDEX('Team Indirect'!$T:$T,MATCH(C921,'Team Indirect'!$A:$A,0)),"")</f>
        <v/>
      </c>
      <c r="W921" s="3"/>
      <c r="X921" s="3"/>
      <c r="Y921" s="3" t="str">
        <f ca="1">IF($C921&lt;&gt;"",INDEX('Team Indirect'!$D:$D,MATCH($C921,'Team Indirect'!$A:$A,0)),"")</f>
        <v/>
      </c>
      <c r="Z921" s="3" t="str">
        <f ca="1">IF($C921&lt;&gt;"",INDEX('Team Indirect'!$E:$E,MATCH($C921,'Team Indirect'!$A:$A,0)),"")</f>
        <v/>
      </c>
      <c r="AA921" s="3" t="str">
        <f ca="1">IF($C921&lt;&gt;"",INDEX('Team Indirect'!$F:$F,MATCH($C921,'Team Indirect'!$A:$A,0)),"")</f>
        <v/>
      </c>
      <c r="AB921" s="3" t="str">
        <f t="shared" ca="1" si="14"/>
        <v/>
      </c>
      <c r="AC921" s="3">
        <f ca="1">IF(OR(AllocationUnits="Stories", AllocationUnits="Points"),'Work Indirect'!F921,F921/MAX('Work Indirect'!AB921,1))</f>
        <v>1</v>
      </c>
    </row>
    <row r="922" spans="1:29"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7" t="str">
        <f ca="1">IF(OFFSET('4. Work'!$A$1,ROW(D922)-1,COLUMN(D922)-1)="","",OFFSET('4. Work'!$A$1,ROW(D922)-1,COLUMN(D922)-1))</f>
        <v/>
      </c>
      <c r="E922" s="147"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I922" s="3" t="str">
        <f ca="1">IF(OFFSET('4. Work'!$A$1,ROW(I922)-1,COLUMN(I922)-1)="","",OFFSET('4. Work'!$A$1,ROW(I922)-1,COLUMN(I922)-1))</f>
        <v/>
      </c>
      <c r="T922" s="3" t="str">
        <f ca="1">IF(A922&lt;&gt;"",MAX('Initiative Indirect'!$T:$T)+(ROW(A922)-1),"")</f>
        <v/>
      </c>
      <c r="U922" s="3" t="str">
        <f ca="1">IF(B922&lt;&gt;"",INDEX('Initiative Indirect'!$T:$T,MATCH(B922,'Initiative Indirect'!$A:$A,0)),"")</f>
        <v/>
      </c>
      <c r="V922" s="3" t="str">
        <f ca="1">IF(C922&lt;&gt;"",INDEX('Team Indirect'!$T:$T,MATCH(C922,'Team Indirect'!$A:$A,0)),"")</f>
        <v/>
      </c>
      <c r="W922" s="3"/>
      <c r="X922" s="3"/>
      <c r="Y922" s="3" t="str">
        <f ca="1">IF($C922&lt;&gt;"",INDEX('Team Indirect'!$D:$D,MATCH($C922,'Team Indirect'!$A:$A,0)),"")</f>
        <v/>
      </c>
      <c r="Z922" s="3" t="str">
        <f ca="1">IF($C922&lt;&gt;"",INDEX('Team Indirect'!$E:$E,MATCH($C922,'Team Indirect'!$A:$A,0)),"")</f>
        <v/>
      </c>
      <c r="AA922" s="3" t="str">
        <f ca="1">IF($C922&lt;&gt;"",INDEX('Team Indirect'!$F:$F,MATCH($C922,'Team Indirect'!$A:$A,0)),"")</f>
        <v/>
      </c>
      <c r="AB922" s="3" t="str">
        <f t="shared" ca="1" si="14"/>
        <v/>
      </c>
      <c r="AC922" s="3">
        <f ca="1">IF(OR(AllocationUnits="Stories", AllocationUnits="Points"),'Work Indirect'!F922,F922/MAX('Work Indirect'!AB922,1))</f>
        <v>1</v>
      </c>
    </row>
    <row r="923" spans="1:29"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7" t="str">
        <f ca="1">IF(OFFSET('4. Work'!$A$1,ROW(D923)-1,COLUMN(D923)-1)="","",OFFSET('4. Work'!$A$1,ROW(D923)-1,COLUMN(D923)-1))</f>
        <v/>
      </c>
      <c r="E923" s="147"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I923" s="3" t="str">
        <f ca="1">IF(OFFSET('4. Work'!$A$1,ROW(I923)-1,COLUMN(I923)-1)="","",OFFSET('4. Work'!$A$1,ROW(I923)-1,COLUMN(I923)-1))</f>
        <v/>
      </c>
      <c r="T923" s="3" t="str">
        <f ca="1">IF(A923&lt;&gt;"",MAX('Initiative Indirect'!$T:$T)+(ROW(A923)-1),"")</f>
        <v/>
      </c>
      <c r="U923" s="3" t="str">
        <f ca="1">IF(B923&lt;&gt;"",INDEX('Initiative Indirect'!$T:$T,MATCH(B923,'Initiative Indirect'!$A:$A,0)),"")</f>
        <v/>
      </c>
      <c r="V923" s="3" t="str">
        <f ca="1">IF(C923&lt;&gt;"",INDEX('Team Indirect'!$T:$T,MATCH(C923,'Team Indirect'!$A:$A,0)),"")</f>
        <v/>
      </c>
      <c r="W923" s="3"/>
      <c r="X923" s="3"/>
      <c r="Y923" s="3" t="str">
        <f ca="1">IF($C923&lt;&gt;"",INDEX('Team Indirect'!$D:$D,MATCH($C923,'Team Indirect'!$A:$A,0)),"")</f>
        <v/>
      </c>
      <c r="Z923" s="3" t="str">
        <f ca="1">IF($C923&lt;&gt;"",INDEX('Team Indirect'!$E:$E,MATCH($C923,'Team Indirect'!$A:$A,0)),"")</f>
        <v/>
      </c>
      <c r="AA923" s="3" t="str">
        <f ca="1">IF($C923&lt;&gt;"",INDEX('Team Indirect'!$F:$F,MATCH($C923,'Team Indirect'!$A:$A,0)),"")</f>
        <v/>
      </c>
      <c r="AB923" s="3" t="str">
        <f t="shared" ca="1" si="14"/>
        <v/>
      </c>
      <c r="AC923" s="3">
        <f ca="1">IF(OR(AllocationUnits="Stories", AllocationUnits="Points"),'Work Indirect'!F923,F923/MAX('Work Indirect'!AB923,1))</f>
        <v>1</v>
      </c>
    </row>
    <row r="924" spans="1:29"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7" t="str">
        <f ca="1">IF(OFFSET('4. Work'!$A$1,ROW(D924)-1,COLUMN(D924)-1)="","",OFFSET('4. Work'!$A$1,ROW(D924)-1,COLUMN(D924)-1))</f>
        <v/>
      </c>
      <c r="E924" s="147"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I924" s="3" t="str">
        <f ca="1">IF(OFFSET('4. Work'!$A$1,ROW(I924)-1,COLUMN(I924)-1)="","",OFFSET('4. Work'!$A$1,ROW(I924)-1,COLUMN(I924)-1))</f>
        <v/>
      </c>
      <c r="T924" s="3" t="str">
        <f ca="1">IF(A924&lt;&gt;"",MAX('Initiative Indirect'!$T:$T)+(ROW(A924)-1),"")</f>
        <v/>
      </c>
      <c r="U924" s="3" t="str">
        <f ca="1">IF(B924&lt;&gt;"",INDEX('Initiative Indirect'!$T:$T,MATCH(B924,'Initiative Indirect'!$A:$A,0)),"")</f>
        <v/>
      </c>
      <c r="V924" s="3" t="str">
        <f ca="1">IF(C924&lt;&gt;"",INDEX('Team Indirect'!$T:$T,MATCH(C924,'Team Indirect'!$A:$A,0)),"")</f>
        <v/>
      </c>
      <c r="W924" s="3"/>
      <c r="X924" s="3"/>
      <c r="Y924" s="3" t="str">
        <f ca="1">IF($C924&lt;&gt;"",INDEX('Team Indirect'!$D:$D,MATCH($C924,'Team Indirect'!$A:$A,0)),"")</f>
        <v/>
      </c>
      <c r="Z924" s="3" t="str">
        <f ca="1">IF($C924&lt;&gt;"",INDEX('Team Indirect'!$E:$E,MATCH($C924,'Team Indirect'!$A:$A,0)),"")</f>
        <v/>
      </c>
      <c r="AA924" s="3" t="str">
        <f ca="1">IF($C924&lt;&gt;"",INDEX('Team Indirect'!$F:$F,MATCH($C924,'Team Indirect'!$A:$A,0)),"")</f>
        <v/>
      </c>
      <c r="AB924" s="3" t="str">
        <f t="shared" ca="1" si="14"/>
        <v/>
      </c>
      <c r="AC924" s="3">
        <f ca="1">IF(OR(AllocationUnits="Stories", AllocationUnits="Points"),'Work Indirect'!F924,F924/MAX('Work Indirect'!AB924,1))</f>
        <v>1</v>
      </c>
    </row>
    <row r="925" spans="1:29"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7" t="str">
        <f ca="1">IF(OFFSET('4. Work'!$A$1,ROW(D925)-1,COLUMN(D925)-1)="","",OFFSET('4. Work'!$A$1,ROW(D925)-1,COLUMN(D925)-1))</f>
        <v/>
      </c>
      <c r="E925" s="147"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I925" s="3" t="str">
        <f ca="1">IF(OFFSET('4. Work'!$A$1,ROW(I925)-1,COLUMN(I925)-1)="","",OFFSET('4. Work'!$A$1,ROW(I925)-1,COLUMN(I925)-1))</f>
        <v/>
      </c>
      <c r="T925" s="3" t="str">
        <f ca="1">IF(A925&lt;&gt;"",MAX('Initiative Indirect'!$T:$T)+(ROW(A925)-1),"")</f>
        <v/>
      </c>
      <c r="U925" s="3" t="str">
        <f ca="1">IF(B925&lt;&gt;"",INDEX('Initiative Indirect'!$T:$T,MATCH(B925,'Initiative Indirect'!$A:$A,0)),"")</f>
        <v/>
      </c>
      <c r="V925" s="3" t="str">
        <f ca="1">IF(C925&lt;&gt;"",INDEX('Team Indirect'!$T:$T,MATCH(C925,'Team Indirect'!$A:$A,0)),"")</f>
        <v/>
      </c>
      <c r="W925" s="3"/>
      <c r="X925" s="3"/>
      <c r="Y925" s="3" t="str">
        <f ca="1">IF($C925&lt;&gt;"",INDEX('Team Indirect'!$D:$D,MATCH($C925,'Team Indirect'!$A:$A,0)),"")</f>
        <v/>
      </c>
      <c r="Z925" s="3" t="str">
        <f ca="1">IF($C925&lt;&gt;"",INDEX('Team Indirect'!$E:$E,MATCH($C925,'Team Indirect'!$A:$A,0)),"")</f>
        <v/>
      </c>
      <c r="AA925" s="3" t="str">
        <f ca="1">IF($C925&lt;&gt;"",INDEX('Team Indirect'!$F:$F,MATCH($C925,'Team Indirect'!$A:$A,0)),"")</f>
        <v/>
      </c>
      <c r="AB925" s="3" t="str">
        <f t="shared" ca="1" si="14"/>
        <v/>
      </c>
      <c r="AC925" s="3">
        <f ca="1">IF(OR(AllocationUnits="Stories", AllocationUnits="Points"),'Work Indirect'!F925,F925/MAX('Work Indirect'!AB925,1))</f>
        <v>1</v>
      </c>
    </row>
    <row r="926" spans="1:29"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7" t="str">
        <f ca="1">IF(OFFSET('4. Work'!$A$1,ROW(D926)-1,COLUMN(D926)-1)="","",OFFSET('4. Work'!$A$1,ROW(D926)-1,COLUMN(D926)-1))</f>
        <v/>
      </c>
      <c r="E926" s="147"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I926" s="3" t="str">
        <f ca="1">IF(OFFSET('4. Work'!$A$1,ROW(I926)-1,COLUMN(I926)-1)="","",OFFSET('4. Work'!$A$1,ROW(I926)-1,COLUMN(I926)-1))</f>
        <v/>
      </c>
      <c r="T926" s="3" t="str">
        <f ca="1">IF(A926&lt;&gt;"",MAX('Initiative Indirect'!$T:$T)+(ROW(A926)-1),"")</f>
        <v/>
      </c>
      <c r="U926" s="3" t="str">
        <f ca="1">IF(B926&lt;&gt;"",INDEX('Initiative Indirect'!$T:$T,MATCH(B926,'Initiative Indirect'!$A:$A,0)),"")</f>
        <v/>
      </c>
      <c r="V926" s="3" t="str">
        <f ca="1">IF(C926&lt;&gt;"",INDEX('Team Indirect'!$T:$T,MATCH(C926,'Team Indirect'!$A:$A,0)),"")</f>
        <v/>
      </c>
      <c r="W926" s="3"/>
      <c r="X926" s="3"/>
      <c r="Y926" s="3" t="str">
        <f ca="1">IF($C926&lt;&gt;"",INDEX('Team Indirect'!$D:$D,MATCH($C926,'Team Indirect'!$A:$A,0)),"")</f>
        <v/>
      </c>
      <c r="Z926" s="3" t="str">
        <f ca="1">IF($C926&lt;&gt;"",INDEX('Team Indirect'!$E:$E,MATCH($C926,'Team Indirect'!$A:$A,0)),"")</f>
        <v/>
      </c>
      <c r="AA926" s="3" t="str">
        <f ca="1">IF($C926&lt;&gt;"",INDEX('Team Indirect'!$F:$F,MATCH($C926,'Team Indirect'!$A:$A,0)),"")</f>
        <v/>
      </c>
      <c r="AB926" s="3" t="str">
        <f t="shared" ca="1" si="14"/>
        <v/>
      </c>
      <c r="AC926" s="3">
        <f ca="1">IF(OR(AllocationUnits="Stories", AllocationUnits="Points"),'Work Indirect'!F926,F926/MAX('Work Indirect'!AB926,1))</f>
        <v>1</v>
      </c>
    </row>
    <row r="927" spans="1:29"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7" t="str">
        <f ca="1">IF(OFFSET('4. Work'!$A$1,ROW(D927)-1,COLUMN(D927)-1)="","",OFFSET('4. Work'!$A$1,ROW(D927)-1,COLUMN(D927)-1))</f>
        <v/>
      </c>
      <c r="E927" s="147"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I927" s="3" t="str">
        <f ca="1">IF(OFFSET('4. Work'!$A$1,ROW(I927)-1,COLUMN(I927)-1)="","",OFFSET('4. Work'!$A$1,ROW(I927)-1,COLUMN(I927)-1))</f>
        <v/>
      </c>
      <c r="T927" s="3" t="str">
        <f ca="1">IF(A927&lt;&gt;"",MAX('Initiative Indirect'!$T:$T)+(ROW(A927)-1),"")</f>
        <v/>
      </c>
      <c r="U927" s="3" t="str">
        <f ca="1">IF(B927&lt;&gt;"",INDEX('Initiative Indirect'!$T:$T,MATCH(B927,'Initiative Indirect'!$A:$A,0)),"")</f>
        <v/>
      </c>
      <c r="V927" s="3" t="str">
        <f ca="1">IF(C927&lt;&gt;"",INDEX('Team Indirect'!$T:$T,MATCH(C927,'Team Indirect'!$A:$A,0)),"")</f>
        <v/>
      </c>
      <c r="W927" s="3"/>
      <c r="X927" s="3"/>
      <c r="Y927" s="3" t="str">
        <f ca="1">IF($C927&lt;&gt;"",INDEX('Team Indirect'!$D:$D,MATCH($C927,'Team Indirect'!$A:$A,0)),"")</f>
        <v/>
      </c>
      <c r="Z927" s="3" t="str">
        <f ca="1">IF($C927&lt;&gt;"",INDEX('Team Indirect'!$E:$E,MATCH($C927,'Team Indirect'!$A:$A,0)),"")</f>
        <v/>
      </c>
      <c r="AA927" s="3" t="str">
        <f ca="1">IF($C927&lt;&gt;"",INDEX('Team Indirect'!$F:$F,MATCH($C927,'Team Indirect'!$A:$A,0)),"")</f>
        <v/>
      </c>
      <c r="AB927" s="3" t="str">
        <f t="shared" ca="1" si="14"/>
        <v/>
      </c>
      <c r="AC927" s="3">
        <f ca="1">IF(OR(AllocationUnits="Stories", AllocationUnits="Points"),'Work Indirect'!F927,F927/MAX('Work Indirect'!AB927,1))</f>
        <v>1</v>
      </c>
    </row>
    <row r="928" spans="1:29"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7" t="str">
        <f ca="1">IF(OFFSET('4. Work'!$A$1,ROW(D928)-1,COLUMN(D928)-1)="","",OFFSET('4. Work'!$A$1,ROW(D928)-1,COLUMN(D928)-1))</f>
        <v/>
      </c>
      <c r="E928" s="147"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I928" s="3" t="str">
        <f ca="1">IF(OFFSET('4. Work'!$A$1,ROW(I928)-1,COLUMN(I928)-1)="","",OFFSET('4. Work'!$A$1,ROW(I928)-1,COLUMN(I928)-1))</f>
        <v/>
      </c>
      <c r="T928" s="3" t="str">
        <f ca="1">IF(A928&lt;&gt;"",MAX('Initiative Indirect'!$T:$T)+(ROW(A928)-1),"")</f>
        <v/>
      </c>
      <c r="U928" s="3" t="str">
        <f ca="1">IF(B928&lt;&gt;"",INDEX('Initiative Indirect'!$T:$T,MATCH(B928,'Initiative Indirect'!$A:$A,0)),"")</f>
        <v/>
      </c>
      <c r="V928" s="3" t="str">
        <f ca="1">IF(C928&lt;&gt;"",INDEX('Team Indirect'!$T:$T,MATCH(C928,'Team Indirect'!$A:$A,0)),"")</f>
        <v/>
      </c>
      <c r="W928" s="3"/>
      <c r="X928" s="3"/>
      <c r="Y928" s="3" t="str">
        <f ca="1">IF($C928&lt;&gt;"",INDEX('Team Indirect'!$D:$D,MATCH($C928,'Team Indirect'!$A:$A,0)),"")</f>
        <v/>
      </c>
      <c r="Z928" s="3" t="str">
        <f ca="1">IF($C928&lt;&gt;"",INDEX('Team Indirect'!$E:$E,MATCH($C928,'Team Indirect'!$A:$A,0)),"")</f>
        <v/>
      </c>
      <c r="AA928" s="3" t="str">
        <f ca="1">IF($C928&lt;&gt;"",INDEX('Team Indirect'!$F:$F,MATCH($C928,'Team Indirect'!$A:$A,0)),"")</f>
        <v/>
      </c>
      <c r="AB928" s="3" t="str">
        <f t="shared" ca="1" si="14"/>
        <v/>
      </c>
      <c r="AC928" s="3">
        <f ca="1">IF(OR(AllocationUnits="Stories", AllocationUnits="Points"),'Work Indirect'!F928,F928/MAX('Work Indirect'!AB928,1))</f>
        <v>1</v>
      </c>
    </row>
    <row r="929" spans="1:29"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7" t="str">
        <f ca="1">IF(OFFSET('4. Work'!$A$1,ROW(D929)-1,COLUMN(D929)-1)="","",OFFSET('4. Work'!$A$1,ROW(D929)-1,COLUMN(D929)-1))</f>
        <v/>
      </c>
      <c r="E929" s="147"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I929" s="3" t="str">
        <f ca="1">IF(OFFSET('4. Work'!$A$1,ROW(I929)-1,COLUMN(I929)-1)="","",OFFSET('4. Work'!$A$1,ROW(I929)-1,COLUMN(I929)-1))</f>
        <v/>
      </c>
      <c r="T929" s="3" t="str">
        <f ca="1">IF(A929&lt;&gt;"",MAX('Initiative Indirect'!$T:$T)+(ROW(A929)-1),"")</f>
        <v/>
      </c>
      <c r="U929" s="3" t="str">
        <f ca="1">IF(B929&lt;&gt;"",INDEX('Initiative Indirect'!$T:$T,MATCH(B929,'Initiative Indirect'!$A:$A,0)),"")</f>
        <v/>
      </c>
      <c r="V929" s="3" t="str">
        <f ca="1">IF(C929&lt;&gt;"",INDEX('Team Indirect'!$T:$T,MATCH(C929,'Team Indirect'!$A:$A,0)),"")</f>
        <v/>
      </c>
      <c r="W929" s="3"/>
      <c r="X929" s="3"/>
      <c r="Y929" s="3" t="str">
        <f ca="1">IF($C929&lt;&gt;"",INDEX('Team Indirect'!$D:$D,MATCH($C929,'Team Indirect'!$A:$A,0)),"")</f>
        <v/>
      </c>
      <c r="Z929" s="3" t="str">
        <f ca="1">IF($C929&lt;&gt;"",INDEX('Team Indirect'!$E:$E,MATCH($C929,'Team Indirect'!$A:$A,0)),"")</f>
        <v/>
      </c>
      <c r="AA929" s="3" t="str">
        <f ca="1">IF($C929&lt;&gt;"",INDEX('Team Indirect'!$F:$F,MATCH($C929,'Team Indirect'!$A:$A,0)),"")</f>
        <v/>
      </c>
      <c r="AB929" s="3" t="str">
        <f t="shared" ca="1" si="14"/>
        <v/>
      </c>
      <c r="AC929" s="3">
        <f ca="1">IF(OR(AllocationUnits="Stories", AllocationUnits="Points"),'Work Indirect'!F929,F929/MAX('Work Indirect'!AB929,1))</f>
        <v>1</v>
      </c>
    </row>
    <row r="930" spans="1:29"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7" t="str">
        <f ca="1">IF(OFFSET('4. Work'!$A$1,ROW(D930)-1,COLUMN(D930)-1)="","",OFFSET('4. Work'!$A$1,ROW(D930)-1,COLUMN(D930)-1))</f>
        <v/>
      </c>
      <c r="E930" s="147"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I930" s="3" t="str">
        <f ca="1">IF(OFFSET('4. Work'!$A$1,ROW(I930)-1,COLUMN(I930)-1)="","",OFFSET('4. Work'!$A$1,ROW(I930)-1,COLUMN(I930)-1))</f>
        <v/>
      </c>
      <c r="T930" s="3" t="str">
        <f ca="1">IF(A930&lt;&gt;"",MAX('Initiative Indirect'!$T:$T)+(ROW(A930)-1),"")</f>
        <v/>
      </c>
      <c r="U930" s="3" t="str">
        <f ca="1">IF(B930&lt;&gt;"",INDEX('Initiative Indirect'!$T:$T,MATCH(B930,'Initiative Indirect'!$A:$A,0)),"")</f>
        <v/>
      </c>
      <c r="V930" s="3" t="str">
        <f ca="1">IF(C930&lt;&gt;"",INDEX('Team Indirect'!$T:$T,MATCH(C930,'Team Indirect'!$A:$A,0)),"")</f>
        <v/>
      </c>
      <c r="W930" s="3"/>
      <c r="X930" s="3"/>
      <c r="Y930" s="3" t="str">
        <f ca="1">IF($C930&lt;&gt;"",INDEX('Team Indirect'!$D:$D,MATCH($C930,'Team Indirect'!$A:$A,0)),"")</f>
        <v/>
      </c>
      <c r="Z930" s="3" t="str">
        <f ca="1">IF($C930&lt;&gt;"",INDEX('Team Indirect'!$E:$E,MATCH($C930,'Team Indirect'!$A:$A,0)),"")</f>
        <v/>
      </c>
      <c r="AA930" s="3" t="str">
        <f ca="1">IF($C930&lt;&gt;"",INDEX('Team Indirect'!$F:$F,MATCH($C930,'Team Indirect'!$A:$A,0)),"")</f>
        <v/>
      </c>
      <c r="AB930" s="3" t="str">
        <f t="shared" ca="1" si="14"/>
        <v/>
      </c>
      <c r="AC930" s="3">
        <f ca="1">IF(OR(AllocationUnits="Stories", AllocationUnits="Points"),'Work Indirect'!F930,F930/MAX('Work Indirect'!AB930,1))</f>
        <v>1</v>
      </c>
    </row>
    <row r="931" spans="1:29"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7" t="str">
        <f ca="1">IF(OFFSET('4. Work'!$A$1,ROW(D931)-1,COLUMN(D931)-1)="","",OFFSET('4. Work'!$A$1,ROW(D931)-1,COLUMN(D931)-1))</f>
        <v/>
      </c>
      <c r="E931" s="147"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I931" s="3" t="str">
        <f ca="1">IF(OFFSET('4. Work'!$A$1,ROW(I931)-1,COLUMN(I931)-1)="","",OFFSET('4. Work'!$A$1,ROW(I931)-1,COLUMN(I931)-1))</f>
        <v/>
      </c>
      <c r="T931" s="3" t="str">
        <f ca="1">IF(A931&lt;&gt;"",MAX('Initiative Indirect'!$T:$T)+(ROW(A931)-1),"")</f>
        <v/>
      </c>
      <c r="U931" s="3" t="str">
        <f ca="1">IF(B931&lt;&gt;"",INDEX('Initiative Indirect'!$T:$T,MATCH(B931,'Initiative Indirect'!$A:$A,0)),"")</f>
        <v/>
      </c>
      <c r="V931" s="3" t="str">
        <f ca="1">IF(C931&lt;&gt;"",INDEX('Team Indirect'!$T:$T,MATCH(C931,'Team Indirect'!$A:$A,0)),"")</f>
        <v/>
      </c>
      <c r="W931" s="3"/>
      <c r="X931" s="3"/>
      <c r="Y931" s="3" t="str">
        <f ca="1">IF($C931&lt;&gt;"",INDEX('Team Indirect'!$D:$D,MATCH($C931,'Team Indirect'!$A:$A,0)),"")</f>
        <v/>
      </c>
      <c r="Z931" s="3" t="str">
        <f ca="1">IF($C931&lt;&gt;"",INDEX('Team Indirect'!$E:$E,MATCH($C931,'Team Indirect'!$A:$A,0)),"")</f>
        <v/>
      </c>
      <c r="AA931" s="3" t="str">
        <f ca="1">IF($C931&lt;&gt;"",INDEX('Team Indirect'!$F:$F,MATCH($C931,'Team Indirect'!$A:$A,0)),"")</f>
        <v/>
      </c>
      <c r="AB931" s="3" t="str">
        <f t="shared" ca="1" si="14"/>
        <v/>
      </c>
      <c r="AC931" s="3">
        <f ca="1">IF(OR(AllocationUnits="Stories", AllocationUnits="Points"),'Work Indirect'!F931,F931/MAX('Work Indirect'!AB931,1))</f>
        <v>1</v>
      </c>
    </row>
    <row r="932" spans="1:29"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7" t="str">
        <f ca="1">IF(OFFSET('4. Work'!$A$1,ROW(D932)-1,COLUMN(D932)-1)="","",OFFSET('4. Work'!$A$1,ROW(D932)-1,COLUMN(D932)-1))</f>
        <v/>
      </c>
      <c r="E932" s="147"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I932" s="3" t="str">
        <f ca="1">IF(OFFSET('4. Work'!$A$1,ROW(I932)-1,COLUMN(I932)-1)="","",OFFSET('4. Work'!$A$1,ROW(I932)-1,COLUMN(I932)-1))</f>
        <v/>
      </c>
      <c r="T932" s="3" t="str">
        <f ca="1">IF(A932&lt;&gt;"",MAX('Initiative Indirect'!$T:$T)+(ROW(A932)-1),"")</f>
        <v/>
      </c>
      <c r="U932" s="3" t="str">
        <f ca="1">IF(B932&lt;&gt;"",INDEX('Initiative Indirect'!$T:$T,MATCH(B932,'Initiative Indirect'!$A:$A,0)),"")</f>
        <v/>
      </c>
      <c r="V932" s="3" t="str">
        <f ca="1">IF(C932&lt;&gt;"",INDEX('Team Indirect'!$T:$T,MATCH(C932,'Team Indirect'!$A:$A,0)),"")</f>
        <v/>
      </c>
      <c r="W932" s="3"/>
      <c r="X932" s="3"/>
      <c r="Y932" s="3" t="str">
        <f ca="1">IF($C932&lt;&gt;"",INDEX('Team Indirect'!$D:$D,MATCH($C932,'Team Indirect'!$A:$A,0)),"")</f>
        <v/>
      </c>
      <c r="Z932" s="3" t="str">
        <f ca="1">IF($C932&lt;&gt;"",INDEX('Team Indirect'!$E:$E,MATCH($C932,'Team Indirect'!$A:$A,0)),"")</f>
        <v/>
      </c>
      <c r="AA932" s="3" t="str">
        <f ca="1">IF($C932&lt;&gt;"",INDEX('Team Indirect'!$F:$F,MATCH($C932,'Team Indirect'!$A:$A,0)),"")</f>
        <v/>
      </c>
      <c r="AB932" s="3" t="str">
        <f t="shared" ca="1" si="14"/>
        <v/>
      </c>
      <c r="AC932" s="3">
        <f ca="1">IF(OR(AllocationUnits="Stories", AllocationUnits="Points"),'Work Indirect'!F932,F932/MAX('Work Indirect'!AB932,1))</f>
        <v>1</v>
      </c>
    </row>
    <row r="933" spans="1:29"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7" t="str">
        <f ca="1">IF(OFFSET('4. Work'!$A$1,ROW(D933)-1,COLUMN(D933)-1)="","",OFFSET('4. Work'!$A$1,ROW(D933)-1,COLUMN(D933)-1))</f>
        <v/>
      </c>
      <c r="E933" s="147"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I933" s="3" t="str">
        <f ca="1">IF(OFFSET('4. Work'!$A$1,ROW(I933)-1,COLUMN(I933)-1)="","",OFFSET('4. Work'!$A$1,ROW(I933)-1,COLUMN(I933)-1))</f>
        <v/>
      </c>
      <c r="T933" s="3" t="str">
        <f ca="1">IF(A933&lt;&gt;"",MAX('Initiative Indirect'!$T:$T)+(ROW(A933)-1),"")</f>
        <v/>
      </c>
      <c r="U933" s="3" t="str">
        <f ca="1">IF(B933&lt;&gt;"",INDEX('Initiative Indirect'!$T:$T,MATCH(B933,'Initiative Indirect'!$A:$A,0)),"")</f>
        <v/>
      </c>
      <c r="V933" s="3" t="str">
        <f ca="1">IF(C933&lt;&gt;"",INDEX('Team Indirect'!$T:$T,MATCH(C933,'Team Indirect'!$A:$A,0)),"")</f>
        <v/>
      </c>
      <c r="W933" s="3"/>
      <c r="X933" s="3"/>
      <c r="Y933" s="3" t="str">
        <f ca="1">IF($C933&lt;&gt;"",INDEX('Team Indirect'!$D:$D,MATCH($C933,'Team Indirect'!$A:$A,0)),"")</f>
        <v/>
      </c>
      <c r="Z933" s="3" t="str">
        <f ca="1">IF($C933&lt;&gt;"",INDEX('Team Indirect'!$E:$E,MATCH($C933,'Team Indirect'!$A:$A,0)),"")</f>
        <v/>
      </c>
      <c r="AA933" s="3" t="str">
        <f ca="1">IF($C933&lt;&gt;"",INDEX('Team Indirect'!$F:$F,MATCH($C933,'Team Indirect'!$A:$A,0)),"")</f>
        <v/>
      </c>
      <c r="AB933" s="3" t="str">
        <f t="shared" ca="1" si="14"/>
        <v/>
      </c>
      <c r="AC933" s="3">
        <f ca="1">IF(OR(AllocationUnits="Stories", AllocationUnits="Points"),'Work Indirect'!F933,F933/MAX('Work Indirect'!AB933,1))</f>
        <v>1</v>
      </c>
    </row>
    <row r="934" spans="1:29"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7" t="str">
        <f ca="1">IF(OFFSET('4. Work'!$A$1,ROW(D934)-1,COLUMN(D934)-1)="","",OFFSET('4. Work'!$A$1,ROW(D934)-1,COLUMN(D934)-1))</f>
        <v/>
      </c>
      <c r="E934" s="147"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I934" s="3" t="str">
        <f ca="1">IF(OFFSET('4. Work'!$A$1,ROW(I934)-1,COLUMN(I934)-1)="","",OFFSET('4. Work'!$A$1,ROW(I934)-1,COLUMN(I934)-1))</f>
        <v/>
      </c>
      <c r="T934" s="3" t="str">
        <f ca="1">IF(A934&lt;&gt;"",MAX('Initiative Indirect'!$T:$T)+(ROW(A934)-1),"")</f>
        <v/>
      </c>
      <c r="U934" s="3" t="str">
        <f ca="1">IF(B934&lt;&gt;"",INDEX('Initiative Indirect'!$T:$T,MATCH(B934,'Initiative Indirect'!$A:$A,0)),"")</f>
        <v/>
      </c>
      <c r="V934" s="3" t="str">
        <f ca="1">IF(C934&lt;&gt;"",INDEX('Team Indirect'!$T:$T,MATCH(C934,'Team Indirect'!$A:$A,0)),"")</f>
        <v/>
      </c>
      <c r="W934" s="3"/>
      <c r="X934" s="3"/>
      <c r="Y934" s="3" t="str">
        <f ca="1">IF($C934&lt;&gt;"",INDEX('Team Indirect'!$D:$D,MATCH($C934,'Team Indirect'!$A:$A,0)),"")</f>
        <v/>
      </c>
      <c r="Z934" s="3" t="str">
        <f ca="1">IF($C934&lt;&gt;"",INDEX('Team Indirect'!$E:$E,MATCH($C934,'Team Indirect'!$A:$A,0)),"")</f>
        <v/>
      </c>
      <c r="AA934" s="3" t="str">
        <f ca="1">IF($C934&lt;&gt;"",INDEX('Team Indirect'!$F:$F,MATCH($C934,'Team Indirect'!$A:$A,0)),"")</f>
        <v/>
      </c>
      <c r="AB934" s="3" t="str">
        <f t="shared" ca="1" si="14"/>
        <v/>
      </c>
      <c r="AC934" s="3">
        <f ca="1">IF(OR(AllocationUnits="Stories", AllocationUnits="Points"),'Work Indirect'!F934,F934/MAX('Work Indirect'!AB934,1))</f>
        <v>1</v>
      </c>
    </row>
    <row r="935" spans="1:29"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7" t="str">
        <f ca="1">IF(OFFSET('4. Work'!$A$1,ROW(D935)-1,COLUMN(D935)-1)="","",OFFSET('4. Work'!$A$1,ROW(D935)-1,COLUMN(D935)-1))</f>
        <v/>
      </c>
      <c r="E935" s="147"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I935" s="3" t="str">
        <f ca="1">IF(OFFSET('4. Work'!$A$1,ROW(I935)-1,COLUMN(I935)-1)="","",OFFSET('4. Work'!$A$1,ROW(I935)-1,COLUMN(I935)-1))</f>
        <v/>
      </c>
      <c r="T935" s="3" t="str">
        <f ca="1">IF(A935&lt;&gt;"",MAX('Initiative Indirect'!$T:$T)+(ROW(A935)-1),"")</f>
        <v/>
      </c>
      <c r="U935" s="3" t="str">
        <f ca="1">IF(B935&lt;&gt;"",INDEX('Initiative Indirect'!$T:$T,MATCH(B935,'Initiative Indirect'!$A:$A,0)),"")</f>
        <v/>
      </c>
      <c r="V935" s="3" t="str">
        <f ca="1">IF(C935&lt;&gt;"",INDEX('Team Indirect'!$T:$T,MATCH(C935,'Team Indirect'!$A:$A,0)),"")</f>
        <v/>
      </c>
      <c r="W935" s="3"/>
      <c r="X935" s="3"/>
      <c r="Y935" s="3" t="str">
        <f ca="1">IF($C935&lt;&gt;"",INDEX('Team Indirect'!$D:$D,MATCH($C935,'Team Indirect'!$A:$A,0)),"")</f>
        <v/>
      </c>
      <c r="Z935" s="3" t="str">
        <f ca="1">IF($C935&lt;&gt;"",INDEX('Team Indirect'!$E:$E,MATCH($C935,'Team Indirect'!$A:$A,0)),"")</f>
        <v/>
      </c>
      <c r="AA935" s="3" t="str">
        <f ca="1">IF($C935&lt;&gt;"",INDEX('Team Indirect'!$F:$F,MATCH($C935,'Team Indirect'!$A:$A,0)),"")</f>
        <v/>
      </c>
      <c r="AB935" s="3" t="str">
        <f t="shared" ca="1" si="14"/>
        <v/>
      </c>
      <c r="AC935" s="3">
        <f ca="1">IF(OR(AllocationUnits="Stories", AllocationUnits="Points"),'Work Indirect'!F935,F935/MAX('Work Indirect'!AB935,1))</f>
        <v>1</v>
      </c>
    </row>
    <row r="936" spans="1:29"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7" t="str">
        <f ca="1">IF(OFFSET('4. Work'!$A$1,ROW(D936)-1,COLUMN(D936)-1)="","",OFFSET('4. Work'!$A$1,ROW(D936)-1,COLUMN(D936)-1))</f>
        <v/>
      </c>
      <c r="E936" s="147"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I936" s="3" t="str">
        <f ca="1">IF(OFFSET('4. Work'!$A$1,ROW(I936)-1,COLUMN(I936)-1)="","",OFFSET('4. Work'!$A$1,ROW(I936)-1,COLUMN(I936)-1))</f>
        <v/>
      </c>
      <c r="T936" s="3" t="str">
        <f ca="1">IF(A936&lt;&gt;"",MAX('Initiative Indirect'!$T:$T)+(ROW(A936)-1),"")</f>
        <v/>
      </c>
      <c r="U936" s="3" t="str">
        <f ca="1">IF(B936&lt;&gt;"",INDEX('Initiative Indirect'!$T:$T,MATCH(B936,'Initiative Indirect'!$A:$A,0)),"")</f>
        <v/>
      </c>
      <c r="V936" s="3" t="str">
        <f ca="1">IF(C936&lt;&gt;"",INDEX('Team Indirect'!$T:$T,MATCH(C936,'Team Indirect'!$A:$A,0)),"")</f>
        <v/>
      </c>
      <c r="W936" s="3"/>
      <c r="X936" s="3"/>
      <c r="Y936" s="3" t="str">
        <f ca="1">IF($C936&lt;&gt;"",INDEX('Team Indirect'!$D:$D,MATCH($C936,'Team Indirect'!$A:$A,0)),"")</f>
        <v/>
      </c>
      <c r="Z936" s="3" t="str">
        <f ca="1">IF($C936&lt;&gt;"",INDEX('Team Indirect'!$E:$E,MATCH($C936,'Team Indirect'!$A:$A,0)),"")</f>
        <v/>
      </c>
      <c r="AA936" s="3" t="str">
        <f ca="1">IF($C936&lt;&gt;"",INDEX('Team Indirect'!$F:$F,MATCH($C936,'Team Indirect'!$A:$A,0)),"")</f>
        <v/>
      </c>
      <c r="AB936" s="3" t="str">
        <f t="shared" ca="1" si="14"/>
        <v/>
      </c>
      <c r="AC936" s="3">
        <f ca="1">IF(OR(AllocationUnits="Stories", AllocationUnits="Points"),'Work Indirect'!F936,F936/MAX('Work Indirect'!AB936,1))</f>
        <v>1</v>
      </c>
    </row>
    <row r="937" spans="1:29"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7" t="str">
        <f ca="1">IF(OFFSET('4. Work'!$A$1,ROW(D937)-1,COLUMN(D937)-1)="","",OFFSET('4. Work'!$A$1,ROW(D937)-1,COLUMN(D937)-1))</f>
        <v/>
      </c>
      <c r="E937" s="147"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I937" s="3" t="str">
        <f ca="1">IF(OFFSET('4. Work'!$A$1,ROW(I937)-1,COLUMN(I937)-1)="","",OFFSET('4. Work'!$A$1,ROW(I937)-1,COLUMN(I937)-1))</f>
        <v/>
      </c>
      <c r="T937" s="3" t="str">
        <f ca="1">IF(A937&lt;&gt;"",MAX('Initiative Indirect'!$T:$T)+(ROW(A937)-1),"")</f>
        <v/>
      </c>
      <c r="U937" s="3" t="str">
        <f ca="1">IF(B937&lt;&gt;"",INDEX('Initiative Indirect'!$T:$T,MATCH(B937,'Initiative Indirect'!$A:$A,0)),"")</f>
        <v/>
      </c>
      <c r="V937" s="3" t="str">
        <f ca="1">IF(C937&lt;&gt;"",INDEX('Team Indirect'!$T:$T,MATCH(C937,'Team Indirect'!$A:$A,0)),"")</f>
        <v/>
      </c>
      <c r="W937" s="3"/>
      <c r="X937" s="3"/>
      <c r="Y937" s="3" t="str">
        <f ca="1">IF($C937&lt;&gt;"",INDEX('Team Indirect'!$D:$D,MATCH($C937,'Team Indirect'!$A:$A,0)),"")</f>
        <v/>
      </c>
      <c r="Z937" s="3" t="str">
        <f ca="1">IF($C937&lt;&gt;"",INDEX('Team Indirect'!$E:$E,MATCH($C937,'Team Indirect'!$A:$A,0)),"")</f>
        <v/>
      </c>
      <c r="AA937" s="3" t="str">
        <f ca="1">IF($C937&lt;&gt;"",INDEX('Team Indirect'!$F:$F,MATCH($C937,'Team Indirect'!$A:$A,0)),"")</f>
        <v/>
      </c>
      <c r="AB937" s="3" t="str">
        <f t="shared" ca="1" si="14"/>
        <v/>
      </c>
      <c r="AC937" s="3">
        <f ca="1">IF(OR(AllocationUnits="Stories", AllocationUnits="Points"),'Work Indirect'!F937,F937/MAX('Work Indirect'!AB937,1))</f>
        <v>1</v>
      </c>
    </row>
    <row r="938" spans="1:29"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7" t="str">
        <f ca="1">IF(OFFSET('4. Work'!$A$1,ROW(D938)-1,COLUMN(D938)-1)="","",OFFSET('4. Work'!$A$1,ROW(D938)-1,COLUMN(D938)-1))</f>
        <v/>
      </c>
      <c r="E938" s="147"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I938" s="3" t="str">
        <f ca="1">IF(OFFSET('4. Work'!$A$1,ROW(I938)-1,COLUMN(I938)-1)="","",OFFSET('4. Work'!$A$1,ROW(I938)-1,COLUMN(I938)-1))</f>
        <v/>
      </c>
      <c r="T938" s="3" t="str">
        <f ca="1">IF(A938&lt;&gt;"",MAX('Initiative Indirect'!$T:$T)+(ROW(A938)-1),"")</f>
        <v/>
      </c>
      <c r="U938" s="3" t="str">
        <f ca="1">IF(B938&lt;&gt;"",INDEX('Initiative Indirect'!$T:$T,MATCH(B938,'Initiative Indirect'!$A:$A,0)),"")</f>
        <v/>
      </c>
      <c r="V938" s="3" t="str">
        <f ca="1">IF(C938&lt;&gt;"",INDEX('Team Indirect'!$T:$T,MATCH(C938,'Team Indirect'!$A:$A,0)),"")</f>
        <v/>
      </c>
      <c r="W938" s="3"/>
      <c r="X938" s="3"/>
      <c r="Y938" s="3" t="str">
        <f ca="1">IF($C938&lt;&gt;"",INDEX('Team Indirect'!$D:$D,MATCH($C938,'Team Indirect'!$A:$A,0)),"")</f>
        <v/>
      </c>
      <c r="Z938" s="3" t="str">
        <f ca="1">IF($C938&lt;&gt;"",INDEX('Team Indirect'!$E:$E,MATCH($C938,'Team Indirect'!$A:$A,0)),"")</f>
        <v/>
      </c>
      <c r="AA938" s="3" t="str">
        <f ca="1">IF($C938&lt;&gt;"",INDEX('Team Indirect'!$F:$F,MATCH($C938,'Team Indirect'!$A:$A,0)),"")</f>
        <v/>
      </c>
      <c r="AB938" s="3" t="str">
        <f t="shared" ca="1" si="14"/>
        <v/>
      </c>
      <c r="AC938" s="3">
        <f ca="1">IF(OR(AllocationUnits="Stories", AllocationUnits="Points"),'Work Indirect'!F938,F938/MAX('Work Indirect'!AB938,1))</f>
        <v>1</v>
      </c>
    </row>
    <row r="939" spans="1:29"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7" t="str">
        <f ca="1">IF(OFFSET('4. Work'!$A$1,ROW(D939)-1,COLUMN(D939)-1)="","",OFFSET('4. Work'!$A$1,ROW(D939)-1,COLUMN(D939)-1))</f>
        <v/>
      </c>
      <c r="E939" s="147"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I939" s="3" t="str">
        <f ca="1">IF(OFFSET('4. Work'!$A$1,ROW(I939)-1,COLUMN(I939)-1)="","",OFFSET('4. Work'!$A$1,ROW(I939)-1,COLUMN(I939)-1))</f>
        <v/>
      </c>
      <c r="T939" s="3" t="str">
        <f ca="1">IF(A939&lt;&gt;"",MAX('Initiative Indirect'!$T:$T)+(ROW(A939)-1),"")</f>
        <v/>
      </c>
      <c r="U939" s="3" t="str">
        <f ca="1">IF(B939&lt;&gt;"",INDEX('Initiative Indirect'!$T:$T,MATCH(B939,'Initiative Indirect'!$A:$A,0)),"")</f>
        <v/>
      </c>
      <c r="V939" s="3" t="str">
        <f ca="1">IF(C939&lt;&gt;"",INDEX('Team Indirect'!$T:$T,MATCH(C939,'Team Indirect'!$A:$A,0)),"")</f>
        <v/>
      </c>
      <c r="W939" s="3"/>
      <c r="X939" s="3"/>
      <c r="Y939" s="3" t="str">
        <f ca="1">IF($C939&lt;&gt;"",INDEX('Team Indirect'!$D:$D,MATCH($C939,'Team Indirect'!$A:$A,0)),"")</f>
        <v/>
      </c>
      <c r="Z939" s="3" t="str">
        <f ca="1">IF($C939&lt;&gt;"",INDEX('Team Indirect'!$E:$E,MATCH($C939,'Team Indirect'!$A:$A,0)),"")</f>
        <v/>
      </c>
      <c r="AA939" s="3" t="str">
        <f ca="1">IF($C939&lt;&gt;"",INDEX('Team Indirect'!$F:$F,MATCH($C939,'Team Indirect'!$A:$A,0)),"")</f>
        <v/>
      </c>
      <c r="AB939" s="3" t="str">
        <f t="shared" ca="1" si="14"/>
        <v/>
      </c>
      <c r="AC939" s="3">
        <f ca="1">IF(OR(AllocationUnits="Stories", AllocationUnits="Points"),'Work Indirect'!F939,F939/MAX('Work Indirect'!AB939,1))</f>
        <v>1</v>
      </c>
    </row>
    <row r="940" spans="1:29"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7" t="str">
        <f ca="1">IF(OFFSET('4. Work'!$A$1,ROW(D940)-1,COLUMN(D940)-1)="","",OFFSET('4. Work'!$A$1,ROW(D940)-1,COLUMN(D940)-1))</f>
        <v/>
      </c>
      <c r="E940" s="147"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I940" s="3" t="str">
        <f ca="1">IF(OFFSET('4. Work'!$A$1,ROW(I940)-1,COLUMN(I940)-1)="","",OFFSET('4. Work'!$A$1,ROW(I940)-1,COLUMN(I940)-1))</f>
        <v/>
      </c>
      <c r="T940" s="3" t="str">
        <f ca="1">IF(A940&lt;&gt;"",MAX('Initiative Indirect'!$T:$T)+(ROW(A940)-1),"")</f>
        <v/>
      </c>
      <c r="U940" s="3" t="str">
        <f ca="1">IF(B940&lt;&gt;"",INDEX('Initiative Indirect'!$T:$T,MATCH(B940,'Initiative Indirect'!$A:$A,0)),"")</f>
        <v/>
      </c>
      <c r="V940" s="3" t="str">
        <f ca="1">IF(C940&lt;&gt;"",INDEX('Team Indirect'!$T:$T,MATCH(C940,'Team Indirect'!$A:$A,0)),"")</f>
        <v/>
      </c>
      <c r="W940" s="3"/>
      <c r="X940" s="3"/>
      <c r="Y940" s="3" t="str">
        <f ca="1">IF($C940&lt;&gt;"",INDEX('Team Indirect'!$D:$D,MATCH($C940,'Team Indirect'!$A:$A,0)),"")</f>
        <v/>
      </c>
      <c r="Z940" s="3" t="str">
        <f ca="1">IF($C940&lt;&gt;"",INDEX('Team Indirect'!$E:$E,MATCH($C940,'Team Indirect'!$A:$A,0)),"")</f>
        <v/>
      </c>
      <c r="AA940" s="3" t="str">
        <f ca="1">IF($C940&lt;&gt;"",INDEX('Team Indirect'!$F:$F,MATCH($C940,'Team Indirect'!$A:$A,0)),"")</f>
        <v/>
      </c>
      <c r="AB940" s="3" t="str">
        <f t="shared" ca="1" si="14"/>
        <v/>
      </c>
      <c r="AC940" s="3">
        <f ca="1">IF(OR(AllocationUnits="Stories", AllocationUnits="Points"),'Work Indirect'!F940,F940/MAX('Work Indirect'!AB940,1))</f>
        <v>1</v>
      </c>
    </row>
    <row r="941" spans="1:29"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7" t="str">
        <f ca="1">IF(OFFSET('4. Work'!$A$1,ROW(D941)-1,COLUMN(D941)-1)="","",OFFSET('4. Work'!$A$1,ROW(D941)-1,COLUMN(D941)-1))</f>
        <v/>
      </c>
      <c r="E941" s="147"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I941" s="3" t="str">
        <f ca="1">IF(OFFSET('4. Work'!$A$1,ROW(I941)-1,COLUMN(I941)-1)="","",OFFSET('4. Work'!$A$1,ROW(I941)-1,COLUMN(I941)-1))</f>
        <v/>
      </c>
      <c r="T941" s="3" t="str">
        <f ca="1">IF(A941&lt;&gt;"",MAX('Initiative Indirect'!$T:$T)+(ROW(A941)-1),"")</f>
        <v/>
      </c>
      <c r="U941" s="3" t="str">
        <f ca="1">IF(B941&lt;&gt;"",INDEX('Initiative Indirect'!$T:$T,MATCH(B941,'Initiative Indirect'!$A:$A,0)),"")</f>
        <v/>
      </c>
      <c r="V941" s="3" t="str">
        <f ca="1">IF(C941&lt;&gt;"",INDEX('Team Indirect'!$T:$T,MATCH(C941,'Team Indirect'!$A:$A,0)),"")</f>
        <v/>
      </c>
      <c r="W941" s="3"/>
      <c r="X941" s="3"/>
      <c r="Y941" s="3" t="str">
        <f ca="1">IF($C941&lt;&gt;"",INDEX('Team Indirect'!$D:$D,MATCH($C941,'Team Indirect'!$A:$A,0)),"")</f>
        <v/>
      </c>
      <c r="Z941" s="3" t="str">
        <f ca="1">IF($C941&lt;&gt;"",INDEX('Team Indirect'!$E:$E,MATCH($C941,'Team Indirect'!$A:$A,0)),"")</f>
        <v/>
      </c>
      <c r="AA941" s="3" t="str">
        <f ca="1">IF($C941&lt;&gt;"",INDEX('Team Indirect'!$F:$F,MATCH($C941,'Team Indirect'!$A:$A,0)),"")</f>
        <v/>
      </c>
      <c r="AB941" s="3" t="str">
        <f t="shared" ca="1" si="14"/>
        <v/>
      </c>
      <c r="AC941" s="3">
        <f ca="1">IF(OR(AllocationUnits="Stories", AllocationUnits="Points"),'Work Indirect'!F941,F941/MAX('Work Indirect'!AB941,1))</f>
        <v>1</v>
      </c>
    </row>
    <row r="942" spans="1:29"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7" t="str">
        <f ca="1">IF(OFFSET('4. Work'!$A$1,ROW(D942)-1,COLUMN(D942)-1)="","",OFFSET('4. Work'!$A$1,ROW(D942)-1,COLUMN(D942)-1))</f>
        <v/>
      </c>
      <c r="E942" s="147"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I942" s="3" t="str">
        <f ca="1">IF(OFFSET('4. Work'!$A$1,ROW(I942)-1,COLUMN(I942)-1)="","",OFFSET('4. Work'!$A$1,ROW(I942)-1,COLUMN(I942)-1))</f>
        <v/>
      </c>
      <c r="T942" s="3" t="str">
        <f ca="1">IF(A942&lt;&gt;"",MAX('Initiative Indirect'!$T:$T)+(ROW(A942)-1),"")</f>
        <v/>
      </c>
      <c r="U942" s="3" t="str">
        <f ca="1">IF(B942&lt;&gt;"",INDEX('Initiative Indirect'!$T:$T,MATCH(B942,'Initiative Indirect'!$A:$A,0)),"")</f>
        <v/>
      </c>
      <c r="V942" s="3" t="str">
        <f ca="1">IF(C942&lt;&gt;"",INDEX('Team Indirect'!$T:$T,MATCH(C942,'Team Indirect'!$A:$A,0)),"")</f>
        <v/>
      </c>
      <c r="W942" s="3"/>
      <c r="X942" s="3"/>
      <c r="Y942" s="3" t="str">
        <f ca="1">IF($C942&lt;&gt;"",INDEX('Team Indirect'!$D:$D,MATCH($C942,'Team Indirect'!$A:$A,0)),"")</f>
        <v/>
      </c>
      <c r="Z942" s="3" t="str">
        <f ca="1">IF($C942&lt;&gt;"",INDEX('Team Indirect'!$E:$E,MATCH($C942,'Team Indirect'!$A:$A,0)),"")</f>
        <v/>
      </c>
      <c r="AA942" s="3" t="str">
        <f ca="1">IF($C942&lt;&gt;"",INDEX('Team Indirect'!$F:$F,MATCH($C942,'Team Indirect'!$A:$A,0)),"")</f>
        <v/>
      </c>
      <c r="AB942" s="3" t="str">
        <f t="shared" ca="1" si="14"/>
        <v/>
      </c>
      <c r="AC942" s="3">
        <f ca="1">IF(OR(AllocationUnits="Stories", AllocationUnits="Points"),'Work Indirect'!F942,F942/MAX('Work Indirect'!AB942,1))</f>
        <v>1</v>
      </c>
    </row>
    <row r="943" spans="1:29"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7" t="str">
        <f ca="1">IF(OFFSET('4. Work'!$A$1,ROW(D943)-1,COLUMN(D943)-1)="","",OFFSET('4. Work'!$A$1,ROW(D943)-1,COLUMN(D943)-1))</f>
        <v/>
      </c>
      <c r="E943" s="147"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I943" s="3" t="str">
        <f ca="1">IF(OFFSET('4. Work'!$A$1,ROW(I943)-1,COLUMN(I943)-1)="","",OFFSET('4. Work'!$A$1,ROW(I943)-1,COLUMN(I943)-1))</f>
        <v/>
      </c>
      <c r="T943" s="3" t="str">
        <f ca="1">IF(A943&lt;&gt;"",MAX('Initiative Indirect'!$T:$T)+(ROW(A943)-1),"")</f>
        <v/>
      </c>
      <c r="U943" s="3" t="str">
        <f ca="1">IF(B943&lt;&gt;"",INDEX('Initiative Indirect'!$T:$T,MATCH(B943,'Initiative Indirect'!$A:$A,0)),"")</f>
        <v/>
      </c>
      <c r="V943" s="3" t="str">
        <f ca="1">IF(C943&lt;&gt;"",INDEX('Team Indirect'!$T:$T,MATCH(C943,'Team Indirect'!$A:$A,0)),"")</f>
        <v/>
      </c>
      <c r="W943" s="3"/>
      <c r="X943" s="3"/>
      <c r="Y943" s="3" t="str">
        <f ca="1">IF($C943&lt;&gt;"",INDEX('Team Indirect'!$D:$D,MATCH($C943,'Team Indirect'!$A:$A,0)),"")</f>
        <v/>
      </c>
      <c r="Z943" s="3" t="str">
        <f ca="1">IF($C943&lt;&gt;"",INDEX('Team Indirect'!$E:$E,MATCH($C943,'Team Indirect'!$A:$A,0)),"")</f>
        <v/>
      </c>
      <c r="AA943" s="3" t="str">
        <f ca="1">IF($C943&lt;&gt;"",INDEX('Team Indirect'!$F:$F,MATCH($C943,'Team Indirect'!$A:$A,0)),"")</f>
        <v/>
      </c>
      <c r="AB943" s="3" t="str">
        <f t="shared" ca="1" si="14"/>
        <v/>
      </c>
      <c r="AC943" s="3">
        <f ca="1">IF(OR(AllocationUnits="Stories", AllocationUnits="Points"),'Work Indirect'!F943,F943/MAX('Work Indirect'!AB943,1))</f>
        <v>1</v>
      </c>
    </row>
    <row r="944" spans="1:29"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7" t="str">
        <f ca="1">IF(OFFSET('4. Work'!$A$1,ROW(D944)-1,COLUMN(D944)-1)="","",OFFSET('4. Work'!$A$1,ROW(D944)-1,COLUMN(D944)-1))</f>
        <v/>
      </c>
      <c r="E944" s="147"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I944" s="3" t="str">
        <f ca="1">IF(OFFSET('4. Work'!$A$1,ROW(I944)-1,COLUMN(I944)-1)="","",OFFSET('4. Work'!$A$1,ROW(I944)-1,COLUMN(I944)-1))</f>
        <v/>
      </c>
      <c r="T944" s="3" t="str">
        <f ca="1">IF(A944&lt;&gt;"",MAX('Initiative Indirect'!$T:$T)+(ROW(A944)-1),"")</f>
        <v/>
      </c>
      <c r="U944" s="3" t="str">
        <f ca="1">IF(B944&lt;&gt;"",INDEX('Initiative Indirect'!$T:$T,MATCH(B944,'Initiative Indirect'!$A:$A,0)),"")</f>
        <v/>
      </c>
      <c r="V944" s="3" t="str">
        <f ca="1">IF(C944&lt;&gt;"",INDEX('Team Indirect'!$T:$T,MATCH(C944,'Team Indirect'!$A:$A,0)),"")</f>
        <v/>
      </c>
      <c r="W944" s="3"/>
      <c r="X944" s="3"/>
      <c r="Y944" s="3" t="str">
        <f ca="1">IF($C944&lt;&gt;"",INDEX('Team Indirect'!$D:$D,MATCH($C944,'Team Indirect'!$A:$A,0)),"")</f>
        <v/>
      </c>
      <c r="Z944" s="3" t="str">
        <f ca="1">IF($C944&lt;&gt;"",INDEX('Team Indirect'!$E:$E,MATCH($C944,'Team Indirect'!$A:$A,0)),"")</f>
        <v/>
      </c>
      <c r="AA944" s="3" t="str">
        <f ca="1">IF($C944&lt;&gt;"",INDEX('Team Indirect'!$F:$F,MATCH($C944,'Team Indirect'!$A:$A,0)),"")</f>
        <v/>
      </c>
      <c r="AB944" s="3" t="str">
        <f t="shared" ca="1" si="14"/>
        <v/>
      </c>
      <c r="AC944" s="3">
        <f ca="1">IF(OR(AllocationUnits="Stories", AllocationUnits="Points"),'Work Indirect'!F944,F944/MAX('Work Indirect'!AB944,1))</f>
        <v>1</v>
      </c>
    </row>
    <row r="945" spans="1:29"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7" t="str">
        <f ca="1">IF(OFFSET('4. Work'!$A$1,ROW(D945)-1,COLUMN(D945)-1)="","",OFFSET('4. Work'!$A$1,ROW(D945)-1,COLUMN(D945)-1))</f>
        <v/>
      </c>
      <c r="E945" s="147"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I945" s="3" t="str">
        <f ca="1">IF(OFFSET('4. Work'!$A$1,ROW(I945)-1,COLUMN(I945)-1)="","",OFFSET('4. Work'!$A$1,ROW(I945)-1,COLUMN(I945)-1))</f>
        <v/>
      </c>
      <c r="T945" s="3" t="str">
        <f ca="1">IF(A945&lt;&gt;"",MAX('Initiative Indirect'!$T:$T)+(ROW(A945)-1),"")</f>
        <v/>
      </c>
      <c r="U945" s="3" t="str">
        <f ca="1">IF(B945&lt;&gt;"",INDEX('Initiative Indirect'!$T:$T,MATCH(B945,'Initiative Indirect'!$A:$A,0)),"")</f>
        <v/>
      </c>
      <c r="V945" s="3" t="str">
        <f ca="1">IF(C945&lt;&gt;"",INDEX('Team Indirect'!$T:$T,MATCH(C945,'Team Indirect'!$A:$A,0)),"")</f>
        <v/>
      </c>
      <c r="W945" s="3"/>
      <c r="X945" s="3"/>
      <c r="Y945" s="3" t="str">
        <f ca="1">IF($C945&lt;&gt;"",INDEX('Team Indirect'!$D:$D,MATCH($C945,'Team Indirect'!$A:$A,0)),"")</f>
        <v/>
      </c>
      <c r="Z945" s="3" t="str">
        <f ca="1">IF($C945&lt;&gt;"",INDEX('Team Indirect'!$E:$E,MATCH($C945,'Team Indirect'!$A:$A,0)),"")</f>
        <v/>
      </c>
      <c r="AA945" s="3" t="str">
        <f ca="1">IF($C945&lt;&gt;"",INDEX('Team Indirect'!$F:$F,MATCH($C945,'Team Indirect'!$A:$A,0)),"")</f>
        <v/>
      </c>
      <c r="AB945" s="3" t="str">
        <f t="shared" ca="1" si="14"/>
        <v/>
      </c>
      <c r="AC945" s="3">
        <f ca="1">IF(OR(AllocationUnits="Stories", AllocationUnits="Points"),'Work Indirect'!F945,F945/MAX('Work Indirect'!AB945,1))</f>
        <v>1</v>
      </c>
    </row>
    <row r="946" spans="1:29"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7" t="str">
        <f ca="1">IF(OFFSET('4. Work'!$A$1,ROW(D946)-1,COLUMN(D946)-1)="","",OFFSET('4. Work'!$A$1,ROW(D946)-1,COLUMN(D946)-1))</f>
        <v/>
      </c>
      <c r="E946" s="147"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I946" s="3" t="str">
        <f ca="1">IF(OFFSET('4. Work'!$A$1,ROW(I946)-1,COLUMN(I946)-1)="","",OFFSET('4. Work'!$A$1,ROW(I946)-1,COLUMN(I946)-1))</f>
        <v/>
      </c>
      <c r="T946" s="3" t="str">
        <f ca="1">IF(A946&lt;&gt;"",MAX('Initiative Indirect'!$T:$T)+(ROW(A946)-1),"")</f>
        <v/>
      </c>
      <c r="U946" s="3" t="str">
        <f ca="1">IF(B946&lt;&gt;"",INDEX('Initiative Indirect'!$T:$T,MATCH(B946,'Initiative Indirect'!$A:$A,0)),"")</f>
        <v/>
      </c>
      <c r="V946" s="3" t="str">
        <f ca="1">IF(C946&lt;&gt;"",INDEX('Team Indirect'!$T:$T,MATCH(C946,'Team Indirect'!$A:$A,0)),"")</f>
        <v/>
      </c>
      <c r="W946" s="3"/>
      <c r="X946" s="3"/>
      <c r="Y946" s="3" t="str">
        <f ca="1">IF($C946&lt;&gt;"",INDEX('Team Indirect'!$D:$D,MATCH($C946,'Team Indirect'!$A:$A,0)),"")</f>
        <v/>
      </c>
      <c r="Z946" s="3" t="str">
        <f ca="1">IF($C946&lt;&gt;"",INDEX('Team Indirect'!$E:$E,MATCH($C946,'Team Indirect'!$A:$A,0)),"")</f>
        <v/>
      </c>
      <c r="AA946" s="3" t="str">
        <f ca="1">IF($C946&lt;&gt;"",INDEX('Team Indirect'!$F:$F,MATCH($C946,'Team Indirect'!$A:$A,0)),"")</f>
        <v/>
      </c>
      <c r="AB946" s="3" t="str">
        <f t="shared" ca="1" si="14"/>
        <v/>
      </c>
      <c r="AC946" s="3">
        <f ca="1">IF(OR(AllocationUnits="Stories", AllocationUnits="Points"),'Work Indirect'!F946,F946/MAX('Work Indirect'!AB946,1))</f>
        <v>1</v>
      </c>
    </row>
    <row r="947" spans="1:29"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7" t="str">
        <f ca="1">IF(OFFSET('4. Work'!$A$1,ROW(D947)-1,COLUMN(D947)-1)="","",OFFSET('4. Work'!$A$1,ROW(D947)-1,COLUMN(D947)-1))</f>
        <v/>
      </c>
      <c r="E947" s="147"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I947" s="3" t="str">
        <f ca="1">IF(OFFSET('4. Work'!$A$1,ROW(I947)-1,COLUMN(I947)-1)="","",OFFSET('4. Work'!$A$1,ROW(I947)-1,COLUMN(I947)-1))</f>
        <v/>
      </c>
      <c r="T947" s="3" t="str">
        <f ca="1">IF(A947&lt;&gt;"",MAX('Initiative Indirect'!$T:$T)+(ROW(A947)-1),"")</f>
        <v/>
      </c>
      <c r="U947" s="3" t="str">
        <f ca="1">IF(B947&lt;&gt;"",INDEX('Initiative Indirect'!$T:$T,MATCH(B947,'Initiative Indirect'!$A:$A,0)),"")</f>
        <v/>
      </c>
      <c r="V947" s="3" t="str">
        <f ca="1">IF(C947&lt;&gt;"",INDEX('Team Indirect'!$T:$T,MATCH(C947,'Team Indirect'!$A:$A,0)),"")</f>
        <v/>
      </c>
      <c r="W947" s="3"/>
      <c r="X947" s="3"/>
      <c r="Y947" s="3" t="str">
        <f ca="1">IF($C947&lt;&gt;"",INDEX('Team Indirect'!$D:$D,MATCH($C947,'Team Indirect'!$A:$A,0)),"")</f>
        <v/>
      </c>
      <c r="Z947" s="3" t="str">
        <f ca="1">IF($C947&lt;&gt;"",INDEX('Team Indirect'!$E:$E,MATCH($C947,'Team Indirect'!$A:$A,0)),"")</f>
        <v/>
      </c>
      <c r="AA947" s="3" t="str">
        <f ca="1">IF($C947&lt;&gt;"",INDEX('Team Indirect'!$F:$F,MATCH($C947,'Team Indirect'!$A:$A,0)),"")</f>
        <v/>
      </c>
      <c r="AB947" s="3" t="str">
        <f t="shared" ca="1" si="14"/>
        <v/>
      </c>
      <c r="AC947" s="3">
        <f ca="1">IF(OR(AllocationUnits="Stories", AllocationUnits="Points"),'Work Indirect'!F947,F947/MAX('Work Indirect'!AB947,1))</f>
        <v>1</v>
      </c>
    </row>
    <row r="948" spans="1:29"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7" t="str">
        <f ca="1">IF(OFFSET('4. Work'!$A$1,ROW(D948)-1,COLUMN(D948)-1)="","",OFFSET('4. Work'!$A$1,ROW(D948)-1,COLUMN(D948)-1))</f>
        <v/>
      </c>
      <c r="E948" s="147"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I948" s="3" t="str">
        <f ca="1">IF(OFFSET('4. Work'!$A$1,ROW(I948)-1,COLUMN(I948)-1)="","",OFFSET('4. Work'!$A$1,ROW(I948)-1,COLUMN(I948)-1))</f>
        <v/>
      </c>
      <c r="T948" s="3" t="str">
        <f ca="1">IF(A948&lt;&gt;"",MAX('Initiative Indirect'!$T:$T)+(ROW(A948)-1),"")</f>
        <v/>
      </c>
      <c r="U948" s="3" t="str">
        <f ca="1">IF(B948&lt;&gt;"",INDEX('Initiative Indirect'!$T:$T,MATCH(B948,'Initiative Indirect'!$A:$A,0)),"")</f>
        <v/>
      </c>
      <c r="V948" s="3" t="str">
        <f ca="1">IF(C948&lt;&gt;"",INDEX('Team Indirect'!$T:$T,MATCH(C948,'Team Indirect'!$A:$A,0)),"")</f>
        <v/>
      </c>
      <c r="W948" s="3"/>
      <c r="X948" s="3"/>
      <c r="Y948" s="3" t="str">
        <f ca="1">IF($C948&lt;&gt;"",INDEX('Team Indirect'!$D:$D,MATCH($C948,'Team Indirect'!$A:$A,0)),"")</f>
        <v/>
      </c>
      <c r="Z948" s="3" t="str">
        <f ca="1">IF($C948&lt;&gt;"",INDEX('Team Indirect'!$E:$E,MATCH($C948,'Team Indirect'!$A:$A,0)),"")</f>
        <v/>
      </c>
      <c r="AA948" s="3" t="str">
        <f ca="1">IF($C948&lt;&gt;"",INDEX('Team Indirect'!$F:$F,MATCH($C948,'Team Indirect'!$A:$A,0)),"")</f>
        <v/>
      </c>
      <c r="AB948" s="3" t="str">
        <f t="shared" ca="1" si="14"/>
        <v/>
      </c>
      <c r="AC948" s="3">
        <f ca="1">IF(OR(AllocationUnits="Stories", AllocationUnits="Points"),'Work Indirect'!F948,F948/MAX('Work Indirect'!AB948,1))</f>
        <v>1</v>
      </c>
    </row>
    <row r="949" spans="1:29"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7" t="str">
        <f ca="1">IF(OFFSET('4. Work'!$A$1,ROW(D949)-1,COLUMN(D949)-1)="","",OFFSET('4. Work'!$A$1,ROW(D949)-1,COLUMN(D949)-1))</f>
        <v/>
      </c>
      <c r="E949" s="147"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I949" s="3" t="str">
        <f ca="1">IF(OFFSET('4. Work'!$A$1,ROW(I949)-1,COLUMN(I949)-1)="","",OFFSET('4. Work'!$A$1,ROW(I949)-1,COLUMN(I949)-1))</f>
        <v/>
      </c>
      <c r="T949" s="3" t="str">
        <f ca="1">IF(A949&lt;&gt;"",MAX('Initiative Indirect'!$T:$T)+(ROW(A949)-1),"")</f>
        <v/>
      </c>
      <c r="U949" s="3" t="str">
        <f ca="1">IF(B949&lt;&gt;"",INDEX('Initiative Indirect'!$T:$T,MATCH(B949,'Initiative Indirect'!$A:$A,0)),"")</f>
        <v/>
      </c>
      <c r="V949" s="3" t="str">
        <f ca="1">IF(C949&lt;&gt;"",INDEX('Team Indirect'!$T:$T,MATCH(C949,'Team Indirect'!$A:$A,0)),"")</f>
        <v/>
      </c>
      <c r="W949" s="3"/>
      <c r="X949" s="3"/>
      <c r="Y949" s="3" t="str">
        <f ca="1">IF($C949&lt;&gt;"",INDEX('Team Indirect'!$D:$D,MATCH($C949,'Team Indirect'!$A:$A,0)),"")</f>
        <v/>
      </c>
      <c r="Z949" s="3" t="str">
        <f ca="1">IF($C949&lt;&gt;"",INDEX('Team Indirect'!$E:$E,MATCH($C949,'Team Indirect'!$A:$A,0)),"")</f>
        <v/>
      </c>
      <c r="AA949" s="3" t="str">
        <f ca="1">IF($C949&lt;&gt;"",INDEX('Team Indirect'!$F:$F,MATCH($C949,'Team Indirect'!$A:$A,0)),"")</f>
        <v/>
      </c>
      <c r="AB949" s="3" t="str">
        <f t="shared" ca="1" si="14"/>
        <v/>
      </c>
      <c r="AC949" s="3">
        <f ca="1">IF(OR(AllocationUnits="Stories", AllocationUnits="Points"),'Work Indirect'!F949,F949/MAX('Work Indirect'!AB949,1))</f>
        <v>1</v>
      </c>
    </row>
    <row r="950" spans="1:29"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7" t="str">
        <f ca="1">IF(OFFSET('4. Work'!$A$1,ROW(D950)-1,COLUMN(D950)-1)="","",OFFSET('4. Work'!$A$1,ROW(D950)-1,COLUMN(D950)-1))</f>
        <v/>
      </c>
      <c r="E950" s="147"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I950" s="3" t="str">
        <f ca="1">IF(OFFSET('4. Work'!$A$1,ROW(I950)-1,COLUMN(I950)-1)="","",OFFSET('4. Work'!$A$1,ROW(I950)-1,COLUMN(I950)-1))</f>
        <v/>
      </c>
      <c r="T950" s="3" t="str">
        <f ca="1">IF(A950&lt;&gt;"",MAX('Initiative Indirect'!$T:$T)+(ROW(A950)-1),"")</f>
        <v/>
      </c>
      <c r="U950" s="3" t="str">
        <f ca="1">IF(B950&lt;&gt;"",INDEX('Initiative Indirect'!$T:$T,MATCH(B950,'Initiative Indirect'!$A:$A,0)),"")</f>
        <v/>
      </c>
      <c r="V950" s="3" t="str">
        <f ca="1">IF(C950&lt;&gt;"",INDEX('Team Indirect'!$T:$T,MATCH(C950,'Team Indirect'!$A:$A,0)),"")</f>
        <v/>
      </c>
      <c r="W950" s="3"/>
      <c r="X950" s="3"/>
      <c r="Y950" s="3" t="str">
        <f ca="1">IF($C950&lt;&gt;"",INDEX('Team Indirect'!$D:$D,MATCH($C950,'Team Indirect'!$A:$A,0)),"")</f>
        <v/>
      </c>
      <c r="Z950" s="3" t="str">
        <f ca="1">IF($C950&lt;&gt;"",INDEX('Team Indirect'!$E:$E,MATCH($C950,'Team Indirect'!$A:$A,0)),"")</f>
        <v/>
      </c>
      <c r="AA950" s="3" t="str">
        <f ca="1">IF($C950&lt;&gt;"",INDEX('Team Indirect'!$F:$F,MATCH($C950,'Team Indirect'!$A:$A,0)),"")</f>
        <v/>
      </c>
      <c r="AB950" s="3" t="str">
        <f t="shared" ca="1" si="14"/>
        <v/>
      </c>
      <c r="AC950" s="3">
        <f ca="1">IF(OR(AllocationUnits="Stories", AllocationUnits="Points"),'Work Indirect'!F950,F950/MAX('Work Indirect'!AB950,1))</f>
        <v>1</v>
      </c>
    </row>
    <row r="951" spans="1:29"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7" t="str">
        <f ca="1">IF(OFFSET('4. Work'!$A$1,ROW(D951)-1,COLUMN(D951)-1)="","",OFFSET('4. Work'!$A$1,ROW(D951)-1,COLUMN(D951)-1))</f>
        <v/>
      </c>
      <c r="E951" s="147"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I951" s="3" t="str">
        <f ca="1">IF(OFFSET('4. Work'!$A$1,ROW(I951)-1,COLUMN(I951)-1)="","",OFFSET('4. Work'!$A$1,ROW(I951)-1,COLUMN(I951)-1))</f>
        <v/>
      </c>
      <c r="T951" s="3" t="str">
        <f ca="1">IF(A951&lt;&gt;"",MAX('Initiative Indirect'!$T:$T)+(ROW(A951)-1),"")</f>
        <v/>
      </c>
      <c r="U951" s="3" t="str">
        <f ca="1">IF(B951&lt;&gt;"",INDEX('Initiative Indirect'!$T:$T,MATCH(B951,'Initiative Indirect'!$A:$A,0)),"")</f>
        <v/>
      </c>
      <c r="V951" s="3" t="str">
        <f ca="1">IF(C951&lt;&gt;"",INDEX('Team Indirect'!$T:$T,MATCH(C951,'Team Indirect'!$A:$A,0)),"")</f>
        <v/>
      </c>
      <c r="W951" s="3"/>
      <c r="X951" s="3"/>
      <c r="Y951" s="3" t="str">
        <f ca="1">IF($C951&lt;&gt;"",INDEX('Team Indirect'!$D:$D,MATCH($C951,'Team Indirect'!$A:$A,0)),"")</f>
        <v/>
      </c>
      <c r="Z951" s="3" t="str">
        <f ca="1">IF($C951&lt;&gt;"",INDEX('Team Indirect'!$E:$E,MATCH($C951,'Team Indirect'!$A:$A,0)),"")</f>
        <v/>
      </c>
      <c r="AA951" s="3" t="str">
        <f ca="1">IF($C951&lt;&gt;"",INDEX('Team Indirect'!$F:$F,MATCH($C951,'Team Indirect'!$A:$A,0)),"")</f>
        <v/>
      </c>
      <c r="AB951" s="3" t="str">
        <f t="shared" ca="1" si="14"/>
        <v/>
      </c>
      <c r="AC951" s="3">
        <f ca="1">IF(OR(AllocationUnits="Stories", AllocationUnits="Points"),'Work Indirect'!F951,F951/MAX('Work Indirect'!AB951,1))</f>
        <v>1</v>
      </c>
    </row>
    <row r="952" spans="1:29"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7" t="str">
        <f ca="1">IF(OFFSET('4. Work'!$A$1,ROW(D952)-1,COLUMN(D952)-1)="","",OFFSET('4. Work'!$A$1,ROW(D952)-1,COLUMN(D952)-1))</f>
        <v/>
      </c>
      <c r="E952" s="147"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I952" s="3" t="str">
        <f ca="1">IF(OFFSET('4. Work'!$A$1,ROW(I952)-1,COLUMN(I952)-1)="","",OFFSET('4. Work'!$A$1,ROW(I952)-1,COLUMN(I952)-1))</f>
        <v/>
      </c>
      <c r="T952" s="3" t="str">
        <f ca="1">IF(A952&lt;&gt;"",MAX('Initiative Indirect'!$T:$T)+(ROW(A952)-1),"")</f>
        <v/>
      </c>
      <c r="U952" s="3" t="str">
        <f ca="1">IF(B952&lt;&gt;"",INDEX('Initiative Indirect'!$T:$T,MATCH(B952,'Initiative Indirect'!$A:$A,0)),"")</f>
        <v/>
      </c>
      <c r="V952" s="3" t="str">
        <f ca="1">IF(C952&lt;&gt;"",INDEX('Team Indirect'!$T:$T,MATCH(C952,'Team Indirect'!$A:$A,0)),"")</f>
        <v/>
      </c>
      <c r="W952" s="3"/>
      <c r="X952" s="3"/>
      <c r="Y952" s="3" t="str">
        <f ca="1">IF($C952&lt;&gt;"",INDEX('Team Indirect'!$D:$D,MATCH($C952,'Team Indirect'!$A:$A,0)),"")</f>
        <v/>
      </c>
      <c r="Z952" s="3" t="str">
        <f ca="1">IF($C952&lt;&gt;"",INDEX('Team Indirect'!$E:$E,MATCH($C952,'Team Indirect'!$A:$A,0)),"")</f>
        <v/>
      </c>
      <c r="AA952" s="3" t="str">
        <f ca="1">IF($C952&lt;&gt;"",INDEX('Team Indirect'!$F:$F,MATCH($C952,'Team Indirect'!$A:$A,0)),"")</f>
        <v/>
      </c>
      <c r="AB952" s="3" t="str">
        <f t="shared" ca="1" si="14"/>
        <v/>
      </c>
      <c r="AC952" s="3">
        <f ca="1">IF(OR(AllocationUnits="Stories", AllocationUnits="Points"),'Work Indirect'!F952,F952/MAX('Work Indirect'!AB952,1))</f>
        <v>1</v>
      </c>
    </row>
    <row r="953" spans="1:29"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7" t="str">
        <f ca="1">IF(OFFSET('4. Work'!$A$1,ROW(D953)-1,COLUMN(D953)-1)="","",OFFSET('4. Work'!$A$1,ROW(D953)-1,COLUMN(D953)-1))</f>
        <v/>
      </c>
      <c r="E953" s="147"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I953" s="3" t="str">
        <f ca="1">IF(OFFSET('4. Work'!$A$1,ROW(I953)-1,COLUMN(I953)-1)="","",OFFSET('4. Work'!$A$1,ROW(I953)-1,COLUMN(I953)-1))</f>
        <v/>
      </c>
      <c r="T953" s="3" t="str">
        <f ca="1">IF(A953&lt;&gt;"",MAX('Initiative Indirect'!$T:$T)+(ROW(A953)-1),"")</f>
        <v/>
      </c>
      <c r="U953" s="3" t="str">
        <f ca="1">IF(B953&lt;&gt;"",INDEX('Initiative Indirect'!$T:$T,MATCH(B953,'Initiative Indirect'!$A:$A,0)),"")</f>
        <v/>
      </c>
      <c r="V953" s="3" t="str">
        <f ca="1">IF(C953&lt;&gt;"",INDEX('Team Indirect'!$T:$T,MATCH(C953,'Team Indirect'!$A:$A,0)),"")</f>
        <v/>
      </c>
      <c r="W953" s="3"/>
      <c r="X953" s="3"/>
      <c r="Y953" s="3" t="str">
        <f ca="1">IF($C953&lt;&gt;"",INDEX('Team Indirect'!$D:$D,MATCH($C953,'Team Indirect'!$A:$A,0)),"")</f>
        <v/>
      </c>
      <c r="Z953" s="3" t="str">
        <f ca="1">IF($C953&lt;&gt;"",INDEX('Team Indirect'!$E:$E,MATCH($C953,'Team Indirect'!$A:$A,0)),"")</f>
        <v/>
      </c>
      <c r="AA953" s="3" t="str">
        <f ca="1">IF($C953&lt;&gt;"",INDEX('Team Indirect'!$F:$F,MATCH($C953,'Team Indirect'!$A:$A,0)),"")</f>
        <v/>
      </c>
      <c r="AB953" s="3" t="str">
        <f t="shared" ca="1" si="14"/>
        <v/>
      </c>
      <c r="AC953" s="3">
        <f ca="1">IF(OR(AllocationUnits="Stories", AllocationUnits="Points"),'Work Indirect'!F953,F953/MAX('Work Indirect'!AB953,1))</f>
        <v>1</v>
      </c>
    </row>
    <row r="954" spans="1:29"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7" t="str">
        <f ca="1">IF(OFFSET('4. Work'!$A$1,ROW(D954)-1,COLUMN(D954)-1)="","",OFFSET('4. Work'!$A$1,ROW(D954)-1,COLUMN(D954)-1))</f>
        <v/>
      </c>
      <c r="E954" s="147"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I954" s="3" t="str">
        <f ca="1">IF(OFFSET('4. Work'!$A$1,ROW(I954)-1,COLUMN(I954)-1)="","",OFFSET('4. Work'!$A$1,ROW(I954)-1,COLUMN(I954)-1))</f>
        <v/>
      </c>
      <c r="T954" s="3" t="str">
        <f ca="1">IF(A954&lt;&gt;"",MAX('Initiative Indirect'!$T:$T)+(ROW(A954)-1),"")</f>
        <v/>
      </c>
      <c r="U954" s="3" t="str">
        <f ca="1">IF(B954&lt;&gt;"",INDEX('Initiative Indirect'!$T:$T,MATCH(B954,'Initiative Indirect'!$A:$A,0)),"")</f>
        <v/>
      </c>
      <c r="V954" s="3" t="str">
        <f ca="1">IF(C954&lt;&gt;"",INDEX('Team Indirect'!$T:$T,MATCH(C954,'Team Indirect'!$A:$A,0)),"")</f>
        <v/>
      </c>
      <c r="W954" s="3"/>
      <c r="X954" s="3"/>
      <c r="Y954" s="3" t="str">
        <f ca="1">IF($C954&lt;&gt;"",INDEX('Team Indirect'!$D:$D,MATCH($C954,'Team Indirect'!$A:$A,0)),"")</f>
        <v/>
      </c>
      <c r="Z954" s="3" t="str">
        <f ca="1">IF($C954&lt;&gt;"",INDEX('Team Indirect'!$E:$E,MATCH($C954,'Team Indirect'!$A:$A,0)),"")</f>
        <v/>
      </c>
      <c r="AA954" s="3" t="str">
        <f ca="1">IF($C954&lt;&gt;"",INDEX('Team Indirect'!$F:$F,MATCH($C954,'Team Indirect'!$A:$A,0)),"")</f>
        <v/>
      </c>
      <c r="AB954" s="3" t="str">
        <f t="shared" ca="1" si="14"/>
        <v/>
      </c>
      <c r="AC954" s="3">
        <f ca="1">IF(OR(AllocationUnits="Stories", AllocationUnits="Points"),'Work Indirect'!F954,F954/MAX('Work Indirect'!AB954,1))</f>
        <v>1</v>
      </c>
    </row>
    <row r="955" spans="1:29"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7" t="str">
        <f ca="1">IF(OFFSET('4. Work'!$A$1,ROW(D955)-1,COLUMN(D955)-1)="","",OFFSET('4. Work'!$A$1,ROW(D955)-1,COLUMN(D955)-1))</f>
        <v/>
      </c>
      <c r="E955" s="147"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I955" s="3" t="str">
        <f ca="1">IF(OFFSET('4. Work'!$A$1,ROW(I955)-1,COLUMN(I955)-1)="","",OFFSET('4. Work'!$A$1,ROW(I955)-1,COLUMN(I955)-1))</f>
        <v/>
      </c>
      <c r="T955" s="3" t="str">
        <f ca="1">IF(A955&lt;&gt;"",MAX('Initiative Indirect'!$T:$T)+(ROW(A955)-1),"")</f>
        <v/>
      </c>
      <c r="U955" s="3" t="str">
        <f ca="1">IF(B955&lt;&gt;"",INDEX('Initiative Indirect'!$T:$T,MATCH(B955,'Initiative Indirect'!$A:$A,0)),"")</f>
        <v/>
      </c>
      <c r="V955" s="3" t="str">
        <f ca="1">IF(C955&lt;&gt;"",INDEX('Team Indirect'!$T:$T,MATCH(C955,'Team Indirect'!$A:$A,0)),"")</f>
        <v/>
      </c>
      <c r="W955" s="3"/>
      <c r="X955" s="3"/>
      <c r="Y955" s="3" t="str">
        <f ca="1">IF($C955&lt;&gt;"",INDEX('Team Indirect'!$D:$D,MATCH($C955,'Team Indirect'!$A:$A,0)),"")</f>
        <v/>
      </c>
      <c r="Z955" s="3" t="str">
        <f ca="1">IF($C955&lt;&gt;"",INDEX('Team Indirect'!$E:$E,MATCH($C955,'Team Indirect'!$A:$A,0)),"")</f>
        <v/>
      </c>
      <c r="AA955" s="3" t="str">
        <f ca="1">IF($C955&lt;&gt;"",INDEX('Team Indirect'!$F:$F,MATCH($C955,'Team Indirect'!$A:$A,0)),"")</f>
        <v/>
      </c>
      <c r="AB955" s="3" t="str">
        <f t="shared" ca="1" si="14"/>
        <v/>
      </c>
      <c r="AC955" s="3">
        <f ca="1">IF(OR(AllocationUnits="Stories", AllocationUnits="Points"),'Work Indirect'!F955,F955/MAX('Work Indirect'!AB955,1))</f>
        <v>1</v>
      </c>
    </row>
    <row r="956" spans="1:29"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7" t="str">
        <f ca="1">IF(OFFSET('4. Work'!$A$1,ROW(D956)-1,COLUMN(D956)-1)="","",OFFSET('4. Work'!$A$1,ROW(D956)-1,COLUMN(D956)-1))</f>
        <v/>
      </c>
      <c r="E956" s="147"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I956" s="3" t="str">
        <f ca="1">IF(OFFSET('4. Work'!$A$1,ROW(I956)-1,COLUMN(I956)-1)="","",OFFSET('4. Work'!$A$1,ROW(I956)-1,COLUMN(I956)-1))</f>
        <v/>
      </c>
      <c r="T956" s="3" t="str">
        <f ca="1">IF(A956&lt;&gt;"",MAX('Initiative Indirect'!$T:$T)+(ROW(A956)-1),"")</f>
        <v/>
      </c>
      <c r="U956" s="3" t="str">
        <f ca="1">IF(B956&lt;&gt;"",INDEX('Initiative Indirect'!$T:$T,MATCH(B956,'Initiative Indirect'!$A:$A,0)),"")</f>
        <v/>
      </c>
      <c r="V956" s="3" t="str">
        <f ca="1">IF(C956&lt;&gt;"",INDEX('Team Indirect'!$T:$T,MATCH(C956,'Team Indirect'!$A:$A,0)),"")</f>
        <v/>
      </c>
      <c r="W956" s="3"/>
      <c r="X956" s="3"/>
      <c r="Y956" s="3" t="str">
        <f ca="1">IF($C956&lt;&gt;"",INDEX('Team Indirect'!$D:$D,MATCH($C956,'Team Indirect'!$A:$A,0)),"")</f>
        <v/>
      </c>
      <c r="Z956" s="3" t="str">
        <f ca="1">IF($C956&lt;&gt;"",INDEX('Team Indirect'!$E:$E,MATCH($C956,'Team Indirect'!$A:$A,0)),"")</f>
        <v/>
      </c>
      <c r="AA956" s="3" t="str">
        <f ca="1">IF($C956&lt;&gt;"",INDEX('Team Indirect'!$F:$F,MATCH($C956,'Team Indirect'!$A:$A,0)),"")</f>
        <v/>
      </c>
      <c r="AB956" s="3" t="str">
        <f t="shared" ca="1" si="14"/>
        <v/>
      </c>
      <c r="AC956" s="3">
        <f ca="1">IF(OR(AllocationUnits="Stories", AllocationUnits="Points"),'Work Indirect'!F956,F956/MAX('Work Indirect'!AB956,1))</f>
        <v>1</v>
      </c>
    </row>
    <row r="957" spans="1:29"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7" t="str">
        <f ca="1">IF(OFFSET('4. Work'!$A$1,ROW(D957)-1,COLUMN(D957)-1)="","",OFFSET('4. Work'!$A$1,ROW(D957)-1,COLUMN(D957)-1))</f>
        <v/>
      </c>
      <c r="E957" s="147"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I957" s="3" t="str">
        <f ca="1">IF(OFFSET('4. Work'!$A$1,ROW(I957)-1,COLUMN(I957)-1)="","",OFFSET('4. Work'!$A$1,ROW(I957)-1,COLUMN(I957)-1))</f>
        <v/>
      </c>
      <c r="T957" s="3" t="str">
        <f ca="1">IF(A957&lt;&gt;"",MAX('Initiative Indirect'!$T:$T)+(ROW(A957)-1),"")</f>
        <v/>
      </c>
      <c r="U957" s="3" t="str">
        <f ca="1">IF(B957&lt;&gt;"",INDEX('Initiative Indirect'!$T:$T,MATCH(B957,'Initiative Indirect'!$A:$A,0)),"")</f>
        <v/>
      </c>
      <c r="V957" s="3" t="str">
        <f ca="1">IF(C957&lt;&gt;"",INDEX('Team Indirect'!$T:$T,MATCH(C957,'Team Indirect'!$A:$A,0)),"")</f>
        <v/>
      </c>
      <c r="W957" s="3"/>
      <c r="X957" s="3"/>
      <c r="Y957" s="3" t="str">
        <f ca="1">IF($C957&lt;&gt;"",INDEX('Team Indirect'!$D:$D,MATCH($C957,'Team Indirect'!$A:$A,0)),"")</f>
        <v/>
      </c>
      <c r="Z957" s="3" t="str">
        <f ca="1">IF($C957&lt;&gt;"",INDEX('Team Indirect'!$E:$E,MATCH($C957,'Team Indirect'!$A:$A,0)),"")</f>
        <v/>
      </c>
      <c r="AA957" s="3" t="str">
        <f ca="1">IF($C957&lt;&gt;"",INDEX('Team Indirect'!$F:$F,MATCH($C957,'Team Indirect'!$A:$A,0)),"")</f>
        <v/>
      </c>
      <c r="AB957" s="3" t="str">
        <f t="shared" ca="1" si="14"/>
        <v/>
      </c>
      <c r="AC957" s="3">
        <f ca="1">IF(OR(AllocationUnits="Stories", AllocationUnits="Points"),'Work Indirect'!F957,F957/MAX('Work Indirect'!AB957,1))</f>
        <v>1</v>
      </c>
    </row>
    <row r="958" spans="1:29"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7" t="str">
        <f ca="1">IF(OFFSET('4. Work'!$A$1,ROW(D958)-1,COLUMN(D958)-1)="","",OFFSET('4. Work'!$A$1,ROW(D958)-1,COLUMN(D958)-1))</f>
        <v/>
      </c>
      <c r="E958" s="147"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I958" s="3" t="str">
        <f ca="1">IF(OFFSET('4. Work'!$A$1,ROW(I958)-1,COLUMN(I958)-1)="","",OFFSET('4. Work'!$A$1,ROW(I958)-1,COLUMN(I958)-1))</f>
        <v/>
      </c>
      <c r="T958" s="3" t="str">
        <f ca="1">IF(A958&lt;&gt;"",MAX('Initiative Indirect'!$T:$T)+(ROW(A958)-1),"")</f>
        <v/>
      </c>
      <c r="U958" s="3" t="str">
        <f ca="1">IF(B958&lt;&gt;"",INDEX('Initiative Indirect'!$T:$T,MATCH(B958,'Initiative Indirect'!$A:$A,0)),"")</f>
        <v/>
      </c>
      <c r="V958" s="3" t="str">
        <f ca="1">IF(C958&lt;&gt;"",INDEX('Team Indirect'!$T:$T,MATCH(C958,'Team Indirect'!$A:$A,0)),"")</f>
        <v/>
      </c>
      <c r="W958" s="3"/>
      <c r="X958" s="3"/>
      <c r="Y958" s="3" t="str">
        <f ca="1">IF($C958&lt;&gt;"",INDEX('Team Indirect'!$D:$D,MATCH($C958,'Team Indirect'!$A:$A,0)),"")</f>
        <v/>
      </c>
      <c r="Z958" s="3" t="str">
        <f ca="1">IF($C958&lt;&gt;"",INDEX('Team Indirect'!$E:$E,MATCH($C958,'Team Indirect'!$A:$A,0)),"")</f>
        <v/>
      </c>
      <c r="AA958" s="3" t="str">
        <f ca="1">IF($C958&lt;&gt;"",INDEX('Team Indirect'!$F:$F,MATCH($C958,'Team Indirect'!$A:$A,0)),"")</f>
        <v/>
      </c>
      <c r="AB958" s="3" t="str">
        <f t="shared" ca="1" si="14"/>
        <v/>
      </c>
      <c r="AC958" s="3">
        <f ca="1">IF(OR(AllocationUnits="Stories", AllocationUnits="Points"),'Work Indirect'!F958,F958/MAX('Work Indirect'!AB958,1))</f>
        <v>1</v>
      </c>
    </row>
    <row r="959" spans="1:29"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7" t="str">
        <f ca="1">IF(OFFSET('4. Work'!$A$1,ROW(D959)-1,COLUMN(D959)-1)="","",OFFSET('4. Work'!$A$1,ROW(D959)-1,COLUMN(D959)-1))</f>
        <v/>
      </c>
      <c r="E959" s="147"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I959" s="3" t="str">
        <f ca="1">IF(OFFSET('4. Work'!$A$1,ROW(I959)-1,COLUMN(I959)-1)="","",OFFSET('4. Work'!$A$1,ROW(I959)-1,COLUMN(I959)-1))</f>
        <v/>
      </c>
      <c r="T959" s="3" t="str">
        <f ca="1">IF(A959&lt;&gt;"",MAX('Initiative Indirect'!$T:$T)+(ROW(A959)-1),"")</f>
        <v/>
      </c>
      <c r="U959" s="3" t="str">
        <f ca="1">IF(B959&lt;&gt;"",INDEX('Initiative Indirect'!$T:$T,MATCH(B959,'Initiative Indirect'!$A:$A,0)),"")</f>
        <v/>
      </c>
      <c r="V959" s="3" t="str">
        <f ca="1">IF(C959&lt;&gt;"",INDEX('Team Indirect'!$T:$T,MATCH(C959,'Team Indirect'!$A:$A,0)),"")</f>
        <v/>
      </c>
      <c r="W959" s="3"/>
      <c r="X959" s="3"/>
      <c r="Y959" s="3" t="str">
        <f ca="1">IF($C959&lt;&gt;"",INDEX('Team Indirect'!$D:$D,MATCH($C959,'Team Indirect'!$A:$A,0)),"")</f>
        <v/>
      </c>
      <c r="Z959" s="3" t="str">
        <f ca="1">IF($C959&lt;&gt;"",INDEX('Team Indirect'!$E:$E,MATCH($C959,'Team Indirect'!$A:$A,0)),"")</f>
        <v/>
      </c>
      <c r="AA959" s="3" t="str">
        <f ca="1">IF($C959&lt;&gt;"",INDEX('Team Indirect'!$F:$F,MATCH($C959,'Team Indirect'!$A:$A,0)),"")</f>
        <v/>
      </c>
      <c r="AB959" s="3" t="str">
        <f t="shared" ca="1" si="14"/>
        <v/>
      </c>
      <c r="AC959" s="3">
        <f ca="1">IF(OR(AllocationUnits="Stories", AllocationUnits="Points"),'Work Indirect'!F959,F959/MAX('Work Indirect'!AB959,1))</f>
        <v>1</v>
      </c>
    </row>
    <row r="960" spans="1:29"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7" t="str">
        <f ca="1">IF(OFFSET('4. Work'!$A$1,ROW(D960)-1,COLUMN(D960)-1)="","",OFFSET('4. Work'!$A$1,ROW(D960)-1,COLUMN(D960)-1))</f>
        <v/>
      </c>
      <c r="E960" s="147"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I960" s="3" t="str">
        <f ca="1">IF(OFFSET('4. Work'!$A$1,ROW(I960)-1,COLUMN(I960)-1)="","",OFFSET('4. Work'!$A$1,ROW(I960)-1,COLUMN(I960)-1))</f>
        <v/>
      </c>
      <c r="T960" s="3" t="str">
        <f ca="1">IF(A960&lt;&gt;"",MAX('Initiative Indirect'!$T:$T)+(ROW(A960)-1),"")</f>
        <v/>
      </c>
      <c r="U960" s="3" t="str">
        <f ca="1">IF(B960&lt;&gt;"",INDEX('Initiative Indirect'!$T:$T,MATCH(B960,'Initiative Indirect'!$A:$A,0)),"")</f>
        <v/>
      </c>
      <c r="V960" s="3" t="str">
        <f ca="1">IF(C960&lt;&gt;"",INDEX('Team Indirect'!$T:$T,MATCH(C960,'Team Indirect'!$A:$A,0)),"")</f>
        <v/>
      </c>
      <c r="W960" s="3"/>
      <c r="X960" s="3"/>
      <c r="Y960" s="3" t="str">
        <f ca="1">IF($C960&lt;&gt;"",INDEX('Team Indirect'!$D:$D,MATCH($C960,'Team Indirect'!$A:$A,0)),"")</f>
        <v/>
      </c>
      <c r="Z960" s="3" t="str">
        <f ca="1">IF($C960&lt;&gt;"",INDEX('Team Indirect'!$E:$E,MATCH($C960,'Team Indirect'!$A:$A,0)),"")</f>
        <v/>
      </c>
      <c r="AA960" s="3" t="str">
        <f ca="1">IF($C960&lt;&gt;"",INDEX('Team Indirect'!$F:$F,MATCH($C960,'Team Indirect'!$A:$A,0)),"")</f>
        <v/>
      </c>
      <c r="AB960" s="3" t="str">
        <f t="shared" ca="1" si="14"/>
        <v/>
      </c>
      <c r="AC960" s="3">
        <f ca="1">IF(OR(AllocationUnits="Stories", AllocationUnits="Points"),'Work Indirect'!F960,F960/MAX('Work Indirect'!AB960,1))</f>
        <v>1</v>
      </c>
    </row>
    <row r="961" spans="1:29"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7" t="str">
        <f ca="1">IF(OFFSET('4. Work'!$A$1,ROW(D961)-1,COLUMN(D961)-1)="","",OFFSET('4. Work'!$A$1,ROW(D961)-1,COLUMN(D961)-1))</f>
        <v/>
      </c>
      <c r="E961" s="147"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I961" s="3" t="str">
        <f ca="1">IF(OFFSET('4. Work'!$A$1,ROW(I961)-1,COLUMN(I961)-1)="","",OFFSET('4. Work'!$A$1,ROW(I961)-1,COLUMN(I961)-1))</f>
        <v/>
      </c>
      <c r="T961" s="3" t="str">
        <f ca="1">IF(A961&lt;&gt;"",MAX('Initiative Indirect'!$T:$T)+(ROW(A961)-1),"")</f>
        <v/>
      </c>
      <c r="U961" s="3" t="str">
        <f ca="1">IF(B961&lt;&gt;"",INDEX('Initiative Indirect'!$T:$T,MATCH(B961,'Initiative Indirect'!$A:$A,0)),"")</f>
        <v/>
      </c>
      <c r="V961" s="3" t="str">
        <f ca="1">IF(C961&lt;&gt;"",INDEX('Team Indirect'!$T:$T,MATCH(C961,'Team Indirect'!$A:$A,0)),"")</f>
        <v/>
      </c>
      <c r="W961" s="3"/>
      <c r="X961" s="3"/>
      <c r="Y961" s="3" t="str">
        <f ca="1">IF($C961&lt;&gt;"",INDEX('Team Indirect'!$D:$D,MATCH($C961,'Team Indirect'!$A:$A,0)),"")</f>
        <v/>
      </c>
      <c r="Z961" s="3" t="str">
        <f ca="1">IF($C961&lt;&gt;"",INDEX('Team Indirect'!$E:$E,MATCH($C961,'Team Indirect'!$A:$A,0)),"")</f>
        <v/>
      </c>
      <c r="AA961" s="3" t="str">
        <f ca="1">IF($C961&lt;&gt;"",INDEX('Team Indirect'!$F:$F,MATCH($C961,'Team Indirect'!$A:$A,0)),"")</f>
        <v/>
      </c>
      <c r="AB961" s="3" t="str">
        <f t="shared" ca="1" si="14"/>
        <v/>
      </c>
      <c r="AC961" s="3">
        <f ca="1">IF(OR(AllocationUnits="Stories", AllocationUnits="Points"),'Work Indirect'!F961,F961/MAX('Work Indirect'!AB961,1))</f>
        <v>1</v>
      </c>
    </row>
    <row r="962" spans="1:29"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7" t="str">
        <f ca="1">IF(OFFSET('4. Work'!$A$1,ROW(D962)-1,COLUMN(D962)-1)="","",OFFSET('4. Work'!$A$1,ROW(D962)-1,COLUMN(D962)-1))</f>
        <v/>
      </c>
      <c r="E962" s="147"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I962" s="3" t="str">
        <f ca="1">IF(OFFSET('4. Work'!$A$1,ROW(I962)-1,COLUMN(I962)-1)="","",OFFSET('4. Work'!$A$1,ROW(I962)-1,COLUMN(I962)-1))</f>
        <v/>
      </c>
      <c r="T962" s="3" t="str">
        <f ca="1">IF(A962&lt;&gt;"",MAX('Initiative Indirect'!$T:$T)+(ROW(A962)-1),"")</f>
        <v/>
      </c>
      <c r="U962" s="3" t="str">
        <f ca="1">IF(B962&lt;&gt;"",INDEX('Initiative Indirect'!$T:$T,MATCH(B962,'Initiative Indirect'!$A:$A,0)),"")</f>
        <v/>
      </c>
      <c r="V962" s="3" t="str">
        <f ca="1">IF(C962&lt;&gt;"",INDEX('Team Indirect'!$T:$T,MATCH(C962,'Team Indirect'!$A:$A,0)),"")</f>
        <v/>
      </c>
      <c r="W962" s="3"/>
      <c r="X962" s="3"/>
      <c r="Y962" s="3" t="str">
        <f ca="1">IF($C962&lt;&gt;"",INDEX('Team Indirect'!$D:$D,MATCH($C962,'Team Indirect'!$A:$A,0)),"")</f>
        <v/>
      </c>
      <c r="Z962" s="3" t="str">
        <f ca="1">IF($C962&lt;&gt;"",INDEX('Team Indirect'!$E:$E,MATCH($C962,'Team Indirect'!$A:$A,0)),"")</f>
        <v/>
      </c>
      <c r="AA962" s="3" t="str">
        <f ca="1">IF($C962&lt;&gt;"",INDEX('Team Indirect'!$F:$F,MATCH($C962,'Team Indirect'!$A:$A,0)),"")</f>
        <v/>
      </c>
      <c r="AB962" s="3" t="str">
        <f t="shared" ref="AB962:AB1001" ca="1" si="15">IF(AND(Y962&lt;&gt;"",Z962&lt;&gt;""),Y962+((Z962-Y962)*(1-MAX(0,AA962))*(1-Probability)),"")</f>
        <v/>
      </c>
      <c r="AC962" s="3">
        <f ca="1">IF(OR(AllocationUnits="Stories", AllocationUnits="Points"),'Work Indirect'!F962,F962/MAX('Work Indirect'!AB962,1))</f>
        <v>1</v>
      </c>
    </row>
    <row r="963" spans="1:29"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7" t="str">
        <f ca="1">IF(OFFSET('4. Work'!$A$1,ROW(D963)-1,COLUMN(D963)-1)="","",OFFSET('4. Work'!$A$1,ROW(D963)-1,COLUMN(D963)-1))</f>
        <v/>
      </c>
      <c r="E963" s="147"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I963" s="3" t="str">
        <f ca="1">IF(OFFSET('4. Work'!$A$1,ROW(I963)-1,COLUMN(I963)-1)="","",OFFSET('4. Work'!$A$1,ROW(I963)-1,COLUMN(I963)-1))</f>
        <v/>
      </c>
      <c r="T963" s="3" t="str">
        <f ca="1">IF(A963&lt;&gt;"",MAX('Initiative Indirect'!$T:$T)+(ROW(A963)-1),"")</f>
        <v/>
      </c>
      <c r="U963" s="3" t="str">
        <f ca="1">IF(B963&lt;&gt;"",INDEX('Initiative Indirect'!$T:$T,MATCH(B963,'Initiative Indirect'!$A:$A,0)),"")</f>
        <v/>
      </c>
      <c r="V963" s="3" t="str">
        <f ca="1">IF(C963&lt;&gt;"",INDEX('Team Indirect'!$T:$T,MATCH(C963,'Team Indirect'!$A:$A,0)),"")</f>
        <v/>
      </c>
      <c r="W963" s="3"/>
      <c r="X963" s="3"/>
      <c r="Y963" s="3" t="str">
        <f ca="1">IF($C963&lt;&gt;"",INDEX('Team Indirect'!$D:$D,MATCH($C963,'Team Indirect'!$A:$A,0)),"")</f>
        <v/>
      </c>
      <c r="Z963" s="3" t="str">
        <f ca="1">IF($C963&lt;&gt;"",INDEX('Team Indirect'!$E:$E,MATCH($C963,'Team Indirect'!$A:$A,0)),"")</f>
        <v/>
      </c>
      <c r="AA963" s="3" t="str">
        <f ca="1">IF($C963&lt;&gt;"",INDEX('Team Indirect'!$F:$F,MATCH($C963,'Team Indirect'!$A:$A,0)),"")</f>
        <v/>
      </c>
      <c r="AB963" s="3" t="str">
        <f t="shared" ca="1" si="15"/>
        <v/>
      </c>
      <c r="AC963" s="3">
        <f ca="1">IF(OR(AllocationUnits="Stories", AllocationUnits="Points"),'Work Indirect'!F963,F963/MAX('Work Indirect'!AB963,1))</f>
        <v>1</v>
      </c>
    </row>
    <row r="964" spans="1:29"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7" t="str">
        <f ca="1">IF(OFFSET('4. Work'!$A$1,ROW(D964)-1,COLUMN(D964)-1)="","",OFFSET('4. Work'!$A$1,ROW(D964)-1,COLUMN(D964)-1))</f>
        <v/>
      </c>
      <c r="E964" s="147"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I964" s="3" t="str">
        <f ca="1">IF(OFFSET('4. Work'!$A$1,ROW(I964)-1,COLUMN(I964)-1)="","",OFFSET('4. Work'!$A$1,ROW(I964)-1,COLUMN(I964)-1))</f>
        <v/>
      </c>
      <c r="T964" s="3" t="str">
        <f ca="1">IF(A964&lt;&gt;"",MAX('Initiative Indirect'!$T:$T)+(ROW(A964)-1),"")</f>
        <v/>
      </c>
      <c r="U964" s="3" t="str">
        <f ca="1">IF(B964&lt;&gt;"",INDEX('Initiative Indirect'!$T:$T,MATCH(B964,'Initiative Indirect'!$A:$A,0)),"")</f>
        <v/>
      </c>
      <c r="V964" s="3" t="str">
        <f ca="1">IF(C964&lt;&gt;"",INDEX('Team Indirect'!$T:$T,MATCH(C964,'Team Indirect'!$A:$A,0)),"")</f>
        <v/>
      </c>
      <c r="W964" s="3"/>
      <c r="X964" s="3"/>
      <c r="Y964" s="3" t="str">
        <f ca="1">IF($C964&lt;&gt;"",INDEX('Team Indirect'!$D:$D,MATCH($C964,'Team Indirect'!$A:$A,0)),"")</f>
        <v/>
      </c>
      <c r="Z964" s="3" t="str">
        <f ca="1">IF($C964&lt;&gt;"",INDEX('Team Indirect'!$E:$E,MATCH($C964,'Team Indirect'!$A:$A,0)),"")</f>
        <v/>
      </c>
      <c r="AA964" s="3" t="str">
        <f ca="1">IF($C964&lt;&gt;"",INDEX('Team Indirect'!$F:$F,MATCH($C964,'Team Indirect'!$A:$A,0)),"")</f>
        <v/>
      </c>
      <c r="AB964" s="3" t="str">
        <f t="shared" ca="1" si="15"/>
        <v/>
      </c>
      <c r="AC964" s="3">
        <f ca="1">IF(OR(AllocationUnits="Stories", AllocationUnits="Points"),'Work Indirect'!F964,F964/MAX('Work Indirect'!AB964,1))</f>
        <v>1</v>
      </c>
    </row>
    <row r="965" spans="1:29"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7" t="str">
        <f ca="1">IF(OFFSET('4. Work'!$A$1,ROW(D965)-1,COLUMN(D965)-1)="","",OFFSET('4. Work'!$A$1,ROW(D965)-1,COLUMN(D965)-1))</f>
        <v/>
      </c>
      <c r="E965" s="147"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I965" s="3" t="str">
        <f ca="1">IF(OFFSET('4. Work'!$A$1,ROW(I965)-1,COLUMN(I965)-1)="","",OFFSET('4. Work'!$A$1,ROW(I965)-1,COLUMN(I965)-1))</f>
        <v/>
      </c>
      <c r="T965" s="3" t="str">
        <f ca="1">IF(A965&lt;&gt;"",MAX('Initiative Indirect'!$T:$T)+(ROW(A965)-1),"")</f>
        <v/>
      </c>
      <c r="U965" s="3" t="str">
        <f ca="1">IF(B965&lt;&gt;"",INDEX('Initiative Indirect'!$T:$T,MATCH(B965,'Initiative Indirect'!$A:$A,0)),"")</f>
        <v/>
      </c>
      <c r="V965" s="3" t="str">
        <f ca="1">IF(C965&lt;&gt;"",INDEX('Team Indirect'!$T:$T,MATCH(C965,'Team Indirect'!$A:$A,0)),"")</f>
        <v/>
      </c>
      <c r="W965" s="3"/>
      <c r="X965" s="3"/>
      <c r="Y965" s="3" t="str">
        <f ca="1">IF($C965&lt;&gt;"",INDEX('Team Indirect'!$D:$D,MATCH($C965,'Team Indirect'!$A:$A,0)),"")</f>
        <v/>
      </c>
      <c r="Z965" s="3" t="str">
        <f ca="1">IF($C965&lt;&gt;"",INDEX('Team Indirect'!$E:$E,MATCH($C965,'Team Indirect'!$A:$A,0)),"")</f>
        <v/>
      </c>
      <c r="AA965" s="3" t="str">
        <f ca="1">IF($C965&lt;&gt;"",INDEX('Team Indirect'!$F:$F,MATCH($C965,'Team Indirect'!$A:$A,0)),"")</f>
        <v/>
      </c>
      <c r="AB965" s="3" t="str">
        <f t="shared" ca="1" si="15"/>
        <v/>
      </c>
      <c r="AC965" s="3">
        <f ca="1">IF(OR(AllocationUnits="Stories", AllocationUnits="Points"),'Work Indirect'!F965,F965/MAX('Work Indirect'!AB965,1))</f>
        <v>1</v>
      </c>
    </row>
    <row r="966" spans="1:29"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7" t="str">
        <f ca="1">IF(OFFSET('4. Work'!$A$1,ROW(D966)-1,COLUMN(D966)-1)="","",OFFSET('4. Work'!$A$1,ROW(D966)-1,COLUMN(D966)-1))</f>
        <v/>
      </c>
      <c r="E966" s="147"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I966" s="3" t="str">
        <f ca="1">IF(OFFSET('4. Work'!$A$1,ROW(I966)-1,COLUMN(I966)-1)="","",OFFSET('4. Work'!$A$1,ROW(I966)-1,COLUMN(I966)-1))</f>
        <v/>
      </c>
      <c r="T966" s="3" t="str">
        <f ca="1">IF(A966&lt;&gt;"",MAX('Initiative Indirect'!$T:$T)+(ROW(A966)-1),"")</f>
        <v/>
      </c>
      <c r="U966" s="3" t="str">
        <f ca="1">IF(B966&lt;&gt;"",INDEX('Initiative Indirect'!$T:$T,MATCH(B966,'Initiative Indirect'!$A:$A,0)),"")</f>
        <v/>
      </c>
      <c r="V966" s="3" t="str">
        <f ca="1">IF(C966&lt;&gt;"",INDEX('Team Indirect'!$T:$T,MATCH(C966,'Team Indirect'!$A:$A,0)),"")</f>
        <v/>
      </c>
      <c r="W966" s="3"/>
      <c r="X966" s="3"/>
      <c r="Y966" s="3" t="str">
        <f ca="1">IF($C966&lt;&gt;"",INDEX('Team Indirect'!$D:$D,MATCH($C966,'Team Indirect'!$A:$A,0)),"")</f>
        <v/>
      </c>
      <c r="Z966" s="3" t="str">
        <f ca="1">IF($C966&lt;&gt;"",INDEX('Team Indirect'!$E:$E,MATCH($C966,'Team Indirect'!$A:$A,0)),"")</f>
        <v/>
      </c>
      <c r="AA966" s="3" t="str">
        <f ca="1">IF($C966&lt;&gt;"",INDEX('Team Indirect'!$F:$F,MATCH($C966,'Team Indirect'!$A:$A,0)),"")</f>
        <v/>
      </c>
      <c r="AB966" s="3" t="str">
        <f t="shared" ca="1" si="15"/>
        <v/>
      </c>
      <c r="AC966" s="3">
        <f ca="1">IF(OR(AllocationUnits="Stories", AllocationUnits="Points"),'Work Indirect'!F966,F966/MAX('Work Indirect'!AB966,1))</f>
        <v>1</v>
      </c>
    </row>
    <row r="967" spans="1:29"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7" t="str">
        <f ca="1">IF(OFFSET('4. Work'!$A$1,ROW(D967)-1,COLUMN(D967)-1)="","",OFFSET('4. Work'!$A$1,ROW(D967)-1,COLUMN(D967)-1))</f>
        <v/>
      </c>
      <c r="E967" s="147"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I967" s="3" t="str">
        <f ca="1">IF(OFFSET('4. Work'!$A$1,ROW(I967)-1,COLUMN(I967)-1)="","",OFFSET('4. Work'!$A$1,ROW(I967)-1,COLUMN(I967)-1))</f>
        <v/>
      </c>
      <c r="T967" s="3" t="str">
        <f ca="1">IF(A967&lt;&gt;"",MAX('Initiative Indirect'!$T:$T)+(ROW(A967)-1),"")</f>
        <v/>
      </c>
      <c r="U967" s="3" t="str">
        <f ca="1">IF(B967&lt;&gt;"",INDEX('Initiative Indirect'!$T:$T,MATCH(B967,'Initiative Indirect'!$A:$A,0)),"")</f>
        <v/>
      </c>
      <c r="V967" s="3" t="str">
        <f ca="1">IF(C967&lt;&gt;"",INDEX('Team Indirect'!$T:$T,MATCH(C967,'Team Indirect'!$A:$A,0)),"")</f>
        <v/>
      </c>
      <c r="W967" s="3"/>
      <c r="X967" s="3"/>
      <c r="Y967" s="3" t="str">
        <f ca="1">IF($C967&lt;&gt;"",INDEX('Team Indirect'!$D:$D,MATCH($C967,'Team Indirect'!$A:$A,0)),"")</f>
        <v/>
      </c>
      <c r="Z967" s="3" t="str">
        <f ca="1">IF($C967&lt;&gt;"",INDEX('Team Indirect'!$E:$E,MATCH($C967,'Team Indirect'!$A:$A,0)),"")</f>
        <v/>
      </c>
      <c r="AA967" s="3" t="str">
        <f ca="1">IF($C967&lt;&gt;"",INDEX('Team Indirect'!$F:$F,MATCH($C967,'Team Indirect'!$A:$A,0)),"")</f>
        <v/>
      </c>
      <c r="AB967" s="3" t="str">
        <f t="shared" ca="1" si="15"/>
        <v/>
      </c>
      <c r="AC967" s="3">
        <f ca="1">IF(OR(AllocationUnits="Stories", AllocationUnits="Points"),'Work Indirect'!F967,F967/MAX('Work Indirect'!AB967,1))</f>
        <v>1</v>
      </c>
    </row>
    <row r="968" spans="1:29"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7" t="str">
        <f ca="1">IF(OFFSET('4. Work'!$A$1,ROW(D968)-1,COLUMN(D968)-1)="","",OFFSET('4. Work'!$A$1,ROW(D968)-1,COLUMN(D968)-1))</f>
        <v/>
      </c>
      <c r="E968" s="147"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I968" s="3" t="str">
        <f ca="1">IF(OFFSET('4. Work'!$A$1,ROW(I968)-1,COLUMN(I968)-1)="","",OFFSET('4. Work'!$A$1,ROW(I968)-1,COLUMN(I968)-1))</f>
        <v/>
      </c>
      <c r="T968" s="3" t="str">
        <f ca="1">IF(A968&lt;&gt;"",MAX('Initiative Indirect'!$T:$T)+(ROW(A968)-1),"")</f>
        <v/>
      </c>
      <c r="U968" s="3" t="str">
        <f ca="1">IF(B968&lt;&gt;"",INDEX('Initiative Indirect'!$T:$T,MATCH(B968,'Initiative Indirect'!$A:$A,0)),"")</f>
        <v/>
      </c>
      <c r="V968" s="3" t="str">
        <f ca="1">IF(C968&lt;&gt;"",INDEX('Team Indirect'!$T:$T,MATCH(C968,'Team Indirect'!$A:$A,0)),"")</f>
        <v/>
      </c>
      <c r="W968" s="3"/>
      <c r="X968" s="3"/>
      <c r="Y968" s="3" t="str">
        <f ca="1">IF($C968&lt;&gt;"",INDEX('Team Indirect'!$D:$D,MATCH($C968,'Team Indirect'!$A:$A,0)),"")</f>
        <v/>
      </c>
      <c r="Z968" s="3" t="str">
        <f ca="1">IF($C968&lt;&gt;"",INDEX('Team Indirect'!$E:$E,MATCH($C968,'Team Indirect'!$A:$A,0)),"")</f>
        <v/>
      </c>
      <c r="AA968" s="3" t="str">
        <f ca="1">IF($C968&lt;&gt;"",INDEX('Team Indirect'!$F:$F,MATCH($C968,'Team Indirect'!$A:$A,0)),"")</f>
        <v/>
      </c>
      <c r="AB968" s="3" t="str">
        <f t="shared" ca="1" si="15"/>
        <v/>
      </c>
      <c r="AC968" s="3">
        <f ca="1">IF(OR(AllocationUnits="Stories", AllocationUnits="Points"),'Work Indirect'!F968,F968/MAX('Work Indirect'!AB968,1))</f>
        <v>1</v>
      </c>
    </row>
    <row r="969" spans="1:29"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7" t="str">
        <f ca="1">IF(OFFSET('4. Work'!$A$1,ROW(D969)-1,COLUMN(D969)-1)="","",OFFSET('4. Work'!$A$1,ROW(D969)-1,COLUMN(D969)-1))</f>
        <v/>
      </c>
      <c r="E969" s="147"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I969" s="3" t="str">
        <f ca="1">IF(OFFSET('4. Work'!$A$1,ROW(I969)-1,COLUMN(I969)-1)="","",OFFSET('4. Work'!$A$1,ROW(I969)-1,COLUMN(I969)-1))</f>
        <v/>
      </c>
      <c r="T969" s="3" t="str">
        <f ca="1">IF(A969&lt;&gt;"",MAX('Initiative Indirect'!$T:$T)+(ROW(A969)-1),"")</f>
        <v/>
      </c>
      <c r="U969" s="3" t="str">
        <f ca="1">IF(B969&lt;&gt;"",INDEX('Initiative Indirect'!$T:$T,MATCH(B969,'Initiative Indirect'!$A:$A,0)),"")</f>
        <v/>
      </c>
      <c r="V969" s="3" t="str">
        <f ca="1">IF(C969&lt;&gt;"",INDEX('Team Indirect'!$T:$T,MATCH(C969,'Team Indirect'!$A:$A,0)),"")</f>
        <v/>
      </c>
      <c r="W969" s="3"/>
      <c r="X969" s="3"/>
      <c r="Y969" s="3" t="str">
        <f ca="1">IF($C969&lt;&gt;"",INDEX('Team Indirect'!$D:$D,MATCH($C969,'Team Indirect'!$A:$A,0)),"")</f>
        <v/>
      </c>
      <c r="Z969" s="3" t="str">
        <f ca="1">IF($C969&lt;&gt;"",INDEX('Team Indirect'!$E:$E,MATCH($C969,'Team Indirect'!$A:$A,0)),"")</f>
        <v/>
      </c>
      <c r="AA969" s="3" t="str">
        <f ca="1">IF($C969&lt;&gt;"",INDEX('Team Indirect'!$F:$F,MATCH($C969,'Team Indirect'!$A:$A,0)),"")</f>
        <v/>
      </c>
      <c r="AB969" s="3" t="str">
        <f t="shared" ca="1" si="15"/>
        <v/>
      </c>
      <c r="AC969" s="3">
        <f ca="1">IF(OR(AllocationUnits="Stories", AllocationUnits="Points"),'Work Indirect'!F969,F969/MAX('Work Indirect'!AB969,1))</f>
        <v>1</v>
      </c>
    </row>
    <row r="970" spans="1:29"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7" t="str">
        <f ca="1">IF(OFFSET('4. Work'!$A$1,ROW(D970)-1,COLUMN(D970)-1)="","",OFFSET('4. Work'!$A$1,ROW(D970)-1,COLUMN(D970)-1))</f>
        <v/>
      </c>
      <c r="E970" s="147"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I970" s="3" t="str">
        <f ca="1">IF(OFFSET('4. Work'!$A$1,ROW(I970)-1,COLUMN(I970)-1)="","",OFFSET('4. Work'!$A$1,ROW(I970)-1,COLUMN(I970)-1))</f>
        <v/>
      </c>
      <c r="T970" s="3" t="str">
        <f ca="1">IF(A970&lt;&gt;"",MAX('Initiative Indirect'!$T:$T)+(ROW(A970)-1),"")</f>
        <v/>
      </c>
      <c r="U970" s="3" t="str">
        <f ca="1">IF(B970&lt;&gt;"",INDEX('Initiative Indirect'!$T:$T,MATCH(B970,'Initiative Indirect'!$A:$A,0)),"")</f>
        <v/>
      </c>
      <c r="V970" s="3" t="str">
        <f ca="1">IF(C970&lt;&gt;"",INDEX('Team Indirect'!$T:$T,MATCH(C970,'Team Indirect'!$A:$A,0)),"")</f>
        <v/>
      </c>
      <c r="W970" s="3"/>
      <c r="X970" s="3"/>
      <c r="Y970" s="3" t="str">
        <f ca="1">IF($C970&lt;&gt;"",INDEX('Team Indirect'!$D:$D,MATCH($C970,'Team Indirect'!$A:$A,0)),"")</f>
        <v/>
      </c>
      <c r="Z970" s="3" t="str">
        <f ca="1">IF($C970&lt;&gt;"",INDEX('Team Indirect'!$E:$E,MATCH($C970,'Team Indirect'!$A:$A,0)),"")</f>
        <v/>
      </c>
      <c r="AA970" s="3" t="str">
        <f ca="1">IF($C970&lt;&gt;"",INDEX('Team Indirect'!$F:$F,MATCH($C970,'Team Indirect'!$A:$A,0)),"")</f>
        <v/>
      </c>
      <c r="AB970" s="3" t="str">
        <f t="shared" ca="1" si="15"/>
        <v/>
      </c>
      <c r="AC970" s="3">
        <f ca="1">IF(OR(AllocationUnits="Stories", AllocationUnits="Points"),'Work Indirect'!F970,F970/MAX('Work Indirect'!AB970,1))</f>
        <v>1</v>
      </c>
    </row>
    <row r="971" spans="1:29"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7" t="str">
        <f ca="1">IF(OFFSET('4. Work'!$A$1,ROW(D971)-1,COLUMN(D971)-1)="","",OFFSET('4. Work'!$A$1,ROW(D971)-1,COLUMN(D971)-1))</f>
        <v/>
      </c>
      <c r="E971" s="147"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I971" s="3" t="str">
        <f ca="1">IF(OFFSET('4. Work'!$A$1,ROW(I971)-1,COLUMN(I971)-1)="","",OFFSET('4. Work'!$A$1,ROW(I971)-1,COLUMN(I971)-1))</f>
        <v/>
      </c>
      <c r="T971" s="3" t="str">
        <f ca="1">IF(A971&lt;&gt;"",MAX('Initiative Indirect'!$T:$T)+(ROW(A971)-1),"")</f>
        <v/>
      </c>
      <c r="U971" s="3" t="str">
        <f ca="1">IF(B971&lt;&gt;"",INDEX('Initiative Indirect'!$T:$T,MATCH(B971,'Initiative Indirect'!$A:$A,0)),"")</f>
        <v/>
      </c>
      <c r="V971" s="3" t="str">
        <f ca="1">IF(C971&lt;&gt;"",INDEX('Team Indirect'!$T:$T,MATCH(C971,'Team Indirect'!$A:$A,0)),"")</f>
        <v/>
      </c>
      <c r="W971" s="3"/>
      <c r="X971" s="3"/>
      <c r="Y971" s="3" t="str">
        <f ca="1">IF($C971&lt;&gt;"",INDEX('Team Indirect'!$D:$D,MATCH($C971,'Team Indirect'!$A:$A,0)),"")</f>
        <v/>
      </c>
      <c r="Z971" s="3" t="str">
        <f ca="1">IF($C971&lt;&gt;"",INDEX('Team Indirect'!$E:$E,MATCH($C971,'Team Indirect'!$A:$A,0)),"")</f>
        <v/>
      </c>
      <c r="AA971" s="3" t="str">
        <f ca="1">IF($C971&lt;&gt;"",INDEX('Team Indirect'!$F:$F,MATCH($C971,'Team Indirect'!$A:$A,0)),"")</f>
        <v/>
      </c>
      <c r="AB971" s="3" t="str">
        <f t="shared" ca="1" si="15"/>
        <v/>
      </c>
      <c r="AC971" s="3">
        <f ca="1">IF(OR(AllocationUnits="Stories", AllocationUnits="Points"),'Work Indirect'!F971,F971/MAX('Work Indirect'!AB971,1))</f>
        <v>1</v>
      </c>
    </row>
    <row r="972" spans="1:29"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7" t="str">
        <f ca="1">IF(OFFSET('4. Work'!$A$1,ROW(D972)-1,COLUMN(D972)-1)="","",OFFSET('4. Work'!$A$1,ROW(D972)-1,COLUMN(D972)-1))</f>
        <v/>
      </c>
      <c r="E972" s="147"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I972" s="3" t="str">
        <f ca="1">IF(OFFSET('4. Work'!$A$1,ROW(I972)-1,COLUMN(I972)-1)="","",OFFSET('4. Work'!$A$1,ROW(I972)-1,COLUMN(I972)-1))</f>
        <v/>
      </c>
      <c r="T972" s="3" t="str">
        <f ca="1">IF(A972&lt;&gt;"",MAX('Initiative Indirect'!$T:$T)+(ROW(A972)-1),"")</f>
        <v/>
      </c>
      <c r="U972" s="3" t="str">
        <f ca="1">IF(B972&lt;&gt;"",INDEX('Initiative Indirect'!$T:$T,MATCH(B972,'Initiative Indirect'!$A:$A,0)),"")</f>
        <v/>
      </c>
      <c r="V972" s="3" t="str">
        <f ca="1">IF(C972&lt;&gt;"",INDEX('Team Indirect'!$T:$T,MATCH(C972,'Team Indirect'!$A:$A,0)),"")</f>
        <v/>
      </c>
      <c r="W972" s="3"/>
      <c r="X972" s="3"/>
      <c r="Y972" s="3" t="str">
        <f ca="1">IF($C972&lt;&gt;"",INDEX('Team Indirect'!$D:$D,MATCH($C972,'Team Indirect'!$A:$A,0)),"")</f>
        <v/>
      </c>
      <c r="Z972" s="3" t="str">
        <f ca="1">IF($C972&lt;&gt;"",INDEX('Team Indirect'!$E:$E,MATCH($C972,'Team Indirect'!$A:$A,0)),"")</f>
        <v/>
      </c>
      <c r="AA972" s="3" t="str">
        <f ca="1">IF($C972&lt;&gt;"",INDEX('Team Indirect'!$F:$F,MATCH($C972,'Team Indirect'!$A:$A,0)),"")</f>
        <v/>
      </c>
      <c r="AB972" s="3" t="str">
        <f t="shared" ca="1" si="15"/>
        <v/>
      </c>
      <c r="AC972" s="3">
        <f ca="1">IF(OR(AllocationUnits="Stories", AllocationUnits="Points"),'Work Indirect'!F972,F972/MAX('Work Indirect'!AB972,1))</f>
        <v>1</v>
      </c>
    </row>
    <row r="973" spans="1:29"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7" t="str">
        <f ca="1">IF(OFFSET('4. Work'!$A$1,ROW(D973)-1,COLUMN(D973)-1)="","",OFFSET('4. Work'!$A$1,ROW(D973)-1,COLUMN(D973)-1))</f>
        <v/>
      </c>
      <c r="E973" s="147"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I973" s="3" t="str">
        <f ca="1">IF(OFFSET('4. Work'!$A$1,ROW(I973)-1,COLUMN(I973)-1)="","",OFFSET('4. Work'!$A$1,ROW(I973)-1,COLUMN(I973)-1))</f>
        <v/>
      </c>
      <c r="T973" s="3" t="str">
        <f ca="1">IF(A973&lt;&gt;"",MAX('Initiative Indirect'!$T:$T)+(ROW(A973)-1),"")</f>
        <v/>
      </c>
      <c r="U973" s="3" t="str">
        <f ca="1">IF(B973&lt;&gt;"",INDEX('Initiative Indirect'!$T:$T,MATCH(B973,'Initiative Indirect'!$A:$A,0)),"")</f>
        <v/>
      </c>
      <c r="V973" s="3" t="str">
        <f ca="1">IF(C973&lt;&gt;"",INDEX('Team Indirect'!$T:$T,MATCH(C973,'Team Indirect'!$A:$A,0)),"")</f>
        <v/>
      </c>
      <c r="W973" s="3"/>
      <c r="X973" s="3"/>
      <c r="Y973" s="3" t="str">
        <f ca="1">IF($C973&lt;&gt;"",INDEX('Team Indirect'!$D:$D,MATCH($C973,'Team Indirect'!$A:$A,0)),"")</f>
        <v/>
      </c>
      <c r="Z973" s="3" t="str">
        <f ca="1">IF($C973&lt;&gt;"",INDEX('Team Indirect'!$E:$E,MATCH($C973,'Team Indirect'!$A:$A,0)),"")</f>
        <v/>
      </c>
      <c r="AA973" s="3" t="str">
        <f ca="1">IF($C973&lt;&gt;"",INDEX('Team Indirect'!$F:$F,MATCH($C973,'Team Indirect'!$A:$A,0)),"")</f>
        <v/>
      </c>
      <c r="AB973" s="3" t="str">
        <f t="shared" ca="1" si="15"/>
        <v/>
      </c>
      <c r="AC973" s="3">
        <f ca="1">IF(OR(AllocationUnits="Stories", AllocationUnits="Points"),'Work Indirect'!F973,F973/MAX('Work Indirect'!AB973,1))</f>
        <v>1</v>
      </c>
    </row>
    <row r="974" spans="1:29"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7" t="str">
        <f ca="1">IF(OFFSET('4. Work'!$A$1,ROW(D974)-1,COLUMN(D974)-1)="","",OFFSET('4. Work'!$A$1,ROW(D974)-1,COLUMN(D974)-1))</f>
        <v/>
      </c>
      <c r="E974" s="147"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I974" s="3" t="str">
        <f ca="1">IF(OFFSET('4. Work'!$A$1,ROW(I974)-1,COLUMN(I974)-1)="","",OFFSET('4. Work'!$A$1,ROW(I974)-1,COLUMN(I974)-1))</f>
        <v/>
      </c>
      <c r="T974" s="3" t="str">
        <f ca="1">IF(A974&lt;&gt;"",MAX('Initiative Indirect'!$T:$T)+(ROW(A974)-1),"")</f>
        <v/>
      </c>
      <c r="U974" s="3" t="str">
        <f ca="1">IF(B974&lt;&gt;"",INDEX('Initiative Indirect'!$T:$T,MATCH(B974,'Initiative Indirect'!$A:$A,0)),"")</f>
        <v/>
      </c>
      <c r="V974" s="3" t="str">
        <f ca="1">IF(C974&lt;&gt;"",INDEX('Team Indirect'!$T:$T,MATCH(C974,'Team Indirect'!$A:$A,0)),"")</f>
        <v/>
      </c>
      <c r="W974" s="3"/>
      <c r="X974" s="3"/>
      <c r="Y974" s="3" t="str">
        <f ca="1">IF($C974&lt;&gt;"",INDEX('Team Indirect'!$D:$D,MATCH($C974,'Team Indirect'!$A:$A,0)),"")</f>
        <v/>
      </c>
      <c r="Z974" s="3" t="str">
        <f ca="1">IF($C974&lt;&gt;"",INDEX('Team Indirect'!$E:$E,MATCH($C974,'Team Indirect'!$A:$A,0)),"")</f>
        <v/>
      </c>
      <c r="AA974" s="3" t="str">
        <f ca="1">IF($C974&lt;&gt;"",INDEX('Team Indirect'!$F:$F,MATCH($C974,'Team Indirect'!$A:$A,0)),"")</f>
        <v/>
      </c>
      <c r="AB974" s="3" t="str">
        <f t="shared" ca="1" si="15"/>
        <v/>
      </c>
      <c r="AC974" s="3">
        <f ca="1">IF(OR(AllocationUnits="Stories", AllocationUnits="Points"),'Work Indirect'!F974,F974/MAX('Work Indirect'!AB974,1))</f>
        <v>1</v>
      </c>
    </row>
    <row r="975" spans="1:29"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7" t="str">
        <f ca="1">IF(OFFSET('4. Work'!$A$1,ROW(D975)-1,COLUMN(D975)-1)="","",OFFSET('4. Work'!$A$1,ROW(D975)-1,COLUMN(D975)-1))</f>
        <v/>
      </c>
      <c r="E975" s="147"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I975" s="3" t="str">
        <f ca="1">IF(OFFSET('4. Work'!$A$1,ROW(I975)-1,COLUMN(I975)-1)="","",OFFSET('4. Work'!$A$1,ROW(I975)-1,COLUMN(I975)-1))</f>
        <v/>
      </c>
      <c r="T975" s="3" t="str">
        <f ca="1">IF(A975&lt;&gt;"",MAX('Initiative Indirect'!$T:$T)+(ROW(A975)-1),"")</f>
        <v/>
      </c>
      <c r="U975" s="3" t="str">
        <f ca="1">IF(B975&lt;&gt;"",INDEX('Initiative Indirect'!$T:$T,MATCH(B975,'Initiative Indirect'!$A:$A,0)),"")</f>
        <v/>
      </c>
      <c r="V975" s="3" t="str">
        <f ca="1">IF(C975&lt;&gt;"",INDEX('Team Indirect'!$T:$T,MATCH(C975,'Team Indirect'!$A:$A,0)),"")</f>
        <v/>
      </c>
      <c r="W975" s="3"/>
      <c r="X975" s="3"/>
      <c r="Y975" s="3" t="str">
        <f ca="1">IF($C975&lt;&gt;"",INDEX('Team Indirect'!$D:$D,MATCH($C975,'Team Indirect'!$A:$A,0)),"")</f>
        <v/>
      </c>
      <c r="Z975" s="3" t="str">
        <f ca="1">IF($C975&lt;&gt;"",INDEX('Team Indirect'!$E:$E,MATCH($C975,'Team Indirect'!$A:$A,0)),"")</f>
        <v/>
      </c>
      <c r="AA975" s="3" t="str">
        <f ca="1">IF($C975&lt;&gt;"",INDEX('Team Indirect'!$F:$F,MATCH($C975,'Team Indirect'!$A:$A,0)),"")</f>
        <v/>
      </c>
      <c r="AB975" s="3" t="str">
        <f t="shared" ca="1" si="15"/>
        <v/>
      </c>
      <c r="AC975" s="3">
        <f ca="1">IF(OR(AllocationUnits="Stories", AllocationUnits="Points"),'Work Indirect'!F975,F975/MAX('Work Indirect'!AB975,1))</f>
        <v>1</v>
      </c>
    </row>
    <row r="976" spans="1:29"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7" t="str">
        <f ca="1">IF(OFFSET('4. Work'!$A$1,ROW(D976)-1,COLUMN(D976)-1)="","",OFFSET('4. Work'!$A$1,ROW(D976)-1,COLUMN(D976)-1))</f>
        <v/>
      </c>
      <c r="E976" s="147"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I976" s="3" t="str">
        <f ca="1">IF(OFFSET('4. Work'!$A$1,ROW(I976)-1,COLUMN(I976)-1)="","",OFFSET('4. Work'!$A$1,ROW(I976)-1,COLUMN(I976)-1))</f>
        <v/>
      </c>
      <c r="T976" s="3" t="str">
        <f ca="1">IF(A976&lt;&gt;"",MAX('Initiative Indirect'!$T:$T)+(ROW(A976)-1),"")</f>
        <v/>
      </c>
      <c r="U976" s="3" t="str">
        <f ca="1">IF(B976&lt;&gt;"",INDEX('Initiative Indirect'!$T:$T,MATCH(B976,'Initiative Indirect'!$A:$A,0)),"")</f>
        <v/>
      </c>
      <c r="V976" s="3" t="str">
        <f ca="1">IF(C976&lt;&gt;"",INDEX('Team Indirect'!$T:$T,MATCH(C976,'Team Indirect'!$A:$A,0)),"")</f>
        <v/>
      </c>
      <c r="W976" s="3"/>
      <c r="X976" s="3"/>
      <c r="Y976" s="3" t="str">
        <f ca="1">IF($C976&lt;&gt;"",INDEX('Team Indirect'!$D:$D,MATCH($C976,'Team Indirect'!$A:$A,0)),"")</f>
        <v/>
      </c>
      <c r="Z976" s="3" t="str">
        <f ca="1">IF($C976&lt;&gt;"",INDEX('Team Indirect'!$E:$E,MATCH($C976,'Team Indirect'!$A:$A,0)),"")</f>
        <v/>
      </c>
      <c r="AA976" s="3" t="str">
        <f ca="1">IF($C976&lt;&gt;"",INDEX('Team Indirect'!$F:$F,MATCH($C976,'Team Indirect'!$A:$A,0)),"")</f>
        <v/>
      </c>
      <c r="AB976" s="3" t="str">
        <f t="shared" ca="1" si="15"/>
        <v/>
      </c>
      <c r="AC976" s="3">
        <f ca="1">IF(OR(AllocationUnits="Stories", AllocationUnits="Points"),'Work Indirect'!F976,F976/MAX('Work Indirect'!AB976,1))</f>
        <v>1</v>
      </c>
    </row>
    <row r="977" spans="1:29"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7" t="str">
        <f ca="1">IF(OFFSET('4. Work'!$A$1,ROW(D977)-1,COLUMN(D977)-1)="","",OFFSET('4. Work'!$A$1,ROW(D977)-1,COLUMN(D977)-1))</f>
        <v/>
      </c>
      <c r="E977" s="147"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I977" s="3" t="str">
        <f ca="1">IF(OFFSET('4. Work'!$A$1,ROW(I977)-1,COLUMN(I977)-1)="","",OFFSET('4. Work'!$A$1,ROW(I977)-1,COLUMN(I977)-1))</f>
        <v/>
      </c>
      <c r="T977" s="3" t="str">
        <f ca="1">IF(A977&lt;&gt;"",MAX('Initiative Indirect'!$T:$T)+(ROW(A977)-1),"")</f>
        <v/>
      </c>
      <c r="U977" s="3" t="str">
        <f ca="1">IF(B977&lt;&gt;"",INDEX('Initiative Indirect'!$T:$T,MATCH(B977,'Initiative Indirect'!$A:$A,0)),"")</f>
        <v/>
      </c>
      <c r="V977" s="3" t="str">
        <f ca="1">IF(C977&lt;&gt;"",INDEX('Team Indirect'!$T:$T,MATCH(C977,'Team Indirect'!$A:$A,0)),"")</f>
        <v/>
      </c>
      <c r="W977" s="3"/>
      <c r="X977" s="3"/>
      <c r="Y977" s="3" t="str">
        <f ca="1">IF($C977&lt;&gt;"",INDEX('Team Indirect'!$D:$D,MATCH($C977,'Team Indirect'!$A:$A,0)),"")</f>
        <v/>
      </c>
      <c r="Z977" s="3" t="str">
        <f ca="1">IF($C977&lt;&gt;"",INDEX('Team Indirect'!$E:$E,MATCH($C977,'Team Indirect'!$A:$A,0)),"")</f>
        <v/>
      </c>
      <c r="AA977" s="3" t="str">
        <f ca="1">IF($C977&lt;&gt;"",INDEX('Team Indirect'!$F:$F,MATCH($C977,'Team Indirect'!$A:$A,0)),"")</f>
        <v/>
      </c>
      <c r="AB977" s="3" t="str">
        <f t="shared" ca="1" si="15"/>
        <v/>
      </c>
      <c r="AC977" s="3">
        <f ca="1">IF(OR(AllocationUnits="Stories", AllocationUnits="Points"),'Work Indirect'!F977,F977/MAX('Work Indirect'!AB977,1))</f>
        <v>1</v>
      </c>
    </row>
    <row r="978" spans="1:29"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7" t="str">
        <f ca="1">IF(OFFSET('4. Work'!$A$1,ROW(D978)-1,COLUMN(D978)-1)="","",OFFSET('4. Work'!$A$1,ROW(D978)-1,COLUMN(D978)-1))</f>
        <v/>
      </c>
      <c r="E978" s="147"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I978" s="3" t="str">
        <f ca="1">IF(OFFSET('4. Work'!$A$1,ROW(I978)-1,COLUMN(I978)-1)="","",OFFSET('4. Work'!$A$1,ROW(I978)-1,COLUMN(I978)-1))</f>
        <v/>
      </c>
      <c r="T978" s="3" t="str">
        <f ca="1">IF(A978&lt;&gt;"",MAX('Initiative Indirect'!$T:$T)+(ROW(A978)-1),"")</f>
        <v/>
      </c>
      <c r="U978" s="3" t="str">
        <f ca="1">IF(B978&lt;&gt;"",INDEX('Initiative Indirect'!$T:$T,MATCH(B978,'Initiative Indirect'!$A:$A,0)),"")</f>
        <v/>
      </c>
      <c r="V978" s="3" t="str">
        <f ca="1">IF(C978&lt;&gt;"",INDEX('Team Indirect'!$T:$T,MATCH(C978,'Team Indirect'!$A:$A,0)),"")</f>
        <v/>
      </c>
      <c r="W978" s="3"/>
      <c r="X978" s="3"/>
      <c r="Y978" s="3" t="str">
        <f ca="1">IF($C978&lt;&gt;"",INDEX('Team Indirect'!$D:$D,MATCH($C978,'Team Indirect'!$A:$A,0)),"")</f>
        <v/>
      </c>
      <c r="Z978" s="3" t="str">
        <f ca="1">IF($C978&lt;&gt;"",INDEX('Team Indirect'!$E:$E,MATCH($C978,'Team Indirect'!$A:$A,0)),"")</f>
        <v/>
      </c>
      <c r="AA978" s="3" t="str">
        <f ca="1">IF($C978&lt;&gt;"",INDEX('Team Indirect'!$F:$F,MATCH($C978,'Team Indirect'!$A:$A,0)),"")</f>
        <v/>
      </c>
      <c r="AB978" s="3" t="str">
        <f t="shared" ca="1" si="15"/>
        <v/>
      </c>
      <c r="AC978" s="3">
        <f ca="1">IF(OR(AllocationUnits="Stories", AllocationUnits="Points"),'Work Indirect'!F978,F978/MAX('Work Indirect'!AB978,1))</f>
        <v>1</v>
      </c>
    </row>
    <row r="979" spans="1:29"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7" t="str">
        <f ca="1">IF(OFFSET('4. Work'!$A$1,ROW(D979)-1,COLUMN(D979)-1)="","",OFFSET('4. Work'!$A$1,ROW(D979)-1,COLUMN(D979)-1))</f>
        <v/>
      </c>
      <c r="E979" s="147"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I979" s="3" t="str">
        <f ca="1">IF(OFFSET('4. Work'!$A$1,ROW(I979)-1,COLUMN(I979)-1)="","",OFFSET('4. Work'!$A$1,ROW(I979)-1,COLUMN(I979)-1))</f>
        <v/>
      </c>
      <c r="T979" s="3" t="str">
        <f ca="1">IF(A979&lt;&gt;"",MAX('Initiative Indirect'!$T:$T)+(ROW(A979)-1),"")</f>
        <v/>
      </c>
      <c r="U979" s="3" t="str">
        <f ca="1">IF(B979&lt;&gt;"",INDEX('Initiative Indirect'!$T:$T,MATCH(B979,'Initiative Indirect'!$A:$A,0)),"")</f>
        <v/>
      </c>
      <c r="V979" s="3" t="str">
        <f ca="1">IF(C979&lt;&gt;"",INDEX('Team Indirect'!$T:$T,MATCH(C979,'Team Indirect'!$A:$A,0)),"")</f>
        <v/>
      </c>
      <c r="W979" s="3"/>
      <c r="X979" s="3"/>
      <c r="Y979" s="3" t="str">
        <f ca="1">IF($C979&lt;&gt;"",INDEX('Team Indirect'!$D:$D,MATCH($C979,'Team Indirect'!$A:$A,0)),"")</f>
        <v/>
      </c>
      <c r="Z979" s="3" t="str">
        <f ca="1">IF($C979&lt;&gt;"",INDEX('Team Indirect'!$E:$E,MATCH($C979,'Team Indirect'!$A:$A,0)),"")</f>
        <v/>
      </c>
      <c r="AA979" s="3" t="str">
        <f ca="1">IF($C979&lt;&gt;"",INDEX('Team Indirect'!$F:$F,MATCH($C979,'Team Indirect'!$A:$A,0)),"")</f>
        <v/>
      </c>
      <c r="AB979" s="3" t="str">
        <f t="shared" ca="1" si="15"/>
        <v/>
      </c>
      <c r="AC979" s="3">
        <f ca="1">IF(OR(AllocationUnits="Stories", AllocationUnits="Points"),'Work Indirect'!F979,F979/MAX('Work Indirect'!AB979,1))</f>
        <v>1</v>
      </c>
    </row>
    <row r="980" spans="1:29"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7" t="str">
        <f ca="1">IF(OFFSET('4. Work'!$A$1,ROW(D980)-1,COLUMN(D980)-1)="","",OFFSET('4. Work'!$A$1,ROW(D980)-1,COLUMN(D980)-1))</f>
        <v/>
      </c>
      <c r="E980" s="147"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I980" s="3" t="str">
        <f ca="1">IF(OFFSET('4. Work'!$A$1,ROW(I980)-1,COLUMN(I980)-1)="","",OFFSET('4. Work'!$A$1,ROW(I980)-1,COLUMN(I980)-1))</f>
        <v/>
      </c>
      <c r="T980" s="3" t="str">
        <f ca="1">IF(A980&lt;&gt;"",MAX('Initiative Indirect'!$T:$T)+(ROW(A980)-1),"")</f>
        <v/>
      </c>
      <c r="U980" s="3" t="str">
        <f ca="1">IF(B980&lt;&gt;"",INDEX('Initiative Indirect'!$T:$T,MATCH(B980,'Initiative Indirect'!$A:$A,0)),"")</f>
        <v/>
      </c>
      <c r="V980" s="3" t="str">
        <f ca="1">IF(C980&lt;&gt;"",INDEX('Team Indirect'!$T:$T,MATCH(C980,'Team Indirect'!$A:$A,0)),"")</f>
        <v/>
      </c>
      <c r="W980" s="3"/>
      <c r="X980" s="3"/>
      <c r="Y980" s="3" t="str">
        <f ca="1">IF($C980&lt;&gt;"",INDEX('Team Indirect'!$D:$D,MATCH($C980,'Team Indirect'!$A:$A,0)),"")</f>
        <v/>
      </c>
      <c r="Z980" s="3" t="str">
        <f ca="1">IF($C980&lt;&gt;"",INDEX('Team Indirect'!$E:$E,MATCH($C980,'Team Indirect'!$A:$A,0)),"")</f>
        <v/>
      </c>
      <c r="AA980" s="3" t="str">
        <f ca="1">IF($C980&lt;&gt;"",INDEX('Team Indirect'!$F:$F,MATCH($C980,'Team Indirect'!$A:$A,0)),"")</f>
        <v/>
      </c>
      <c r="AB980" s="3" t="str">
        <f t="shared" ca="1" si="15"/>
        <v/>
      </c>
      <c r="AC980" s="3">
        <f ca="1">IF(OR(AllocationUnits="Stories", AllocationUnits="Points"),'Work Indirect'!F980,F980/MAX('Work Indirect'!AB980,1))</f>
        <v>1</v>
      </c>
    </row>
    <row r="981" spans="1:29"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7" t="str">
        <f ca="1">IF(OFFSET('4. Work'!$A$1,ROW(D981)-1,COLUMN(D981)-1)="","",OFFSET('4. Work'!$A$1,ROW(D981)-1,COLUMN(D981)-1))</f>
        <v/>
      </c>
      <c r="E981" s="147"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I981" s="3" t="str">
        <f ca="1">IF(OFFSET('4. Work'!$A$1,ROW(I981)-1,COLUMN(I981)-1)="","",OFFSET('4. Work'!$A$1,ROW(I981)-1,COLUMN(I981)-1))</f>
        <v/>
      </c>
      <c r="T981" s="3" t="str">
        <f ca="1">IF(A981&lt;&gt;"",MAX('Initiative Indirect'!$T:$T)+(ROW(A981)-1),"")</f>
        <v/>
      </c>
      <c r="U981" s="3" t="str">
        <f ca="1">IF(B981&lt;&gt;"",INDEX('Initiative Indirect'!$T:$T,MATCH(B981,'Initiative Indirect'!$A:$A,0)),"")</f>
        <v/>
      </c>
      <c r="V981" s="3" t="str">
        <f ca="1">IF(C981&lt;&gt;"",INDEX('Team Indirect'!$T:$T,MATCH(C981,'Team Indirect'!$A:$A,0)),"")</f>
        <v/>
      </c>
      <c r="W981" s="3"/>
      <c r="X981" s="3"/>
      <c r="Y981" s="3" t="str">
        <f ca="1">IF($C981&lt;&gt;"",INDEX('Team Indirect'!$D:$D,MATCH($C981,'Team Indirect'!$A:$A,0)),"")</f>
        <v/>
      </c>
      <c r="Z981" s="3" t="str">
        <f ca="1">IF($C981&lt;&gt;"",INDEX('Team Indirect'!$E:$E,MATCH($C981,'Team Indirect'!$A:$A,0)),"")</f>
        <v/>
      </c>
      <c r="AA981" s="3" t="str">
        <f ca="1">IF($C981&lt;&gt;"",INDEX('Team Indirect'!$F:$F,MATCH($C981,'Team Indirect'!$A:$A,0)),"")</f>
        <v/>
      </c>
      <c r="AB981" s="3" t="str">
        <f t="shared" ca="1" si="15"/>
        <v/>
      </c>
      <c r="AC981" s="3">
        <f ca="1">IF(OR(AllocationUnits="Stories", AllocationUnits="Points"),'Work Indirect'!F981,F981/MAX('Work Indirect'!AB981,1))</f>
        <v>1</v>
      </c>
    </row>
    <row r="982" spans="1:29"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7" t="str">
        <f ca="1">IF(OFFSET('4. Work'!$A$1,ROW(D982)-1,COLUMN(D982)-1)="","",OFFSET('4. Work'!$A$1,ROW(D982)-1,COLUMN(D982)-1))</f>
        <v/>
      </c>
      <c r="E982" s="147"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I982" s="3" t="str">
        <f ca="1">IF(OFFSET('4. Work'!$A$1,ROW(I982)-1,COLUMN(I982)-1)="","",OFFSET('4. Work'!$A$1,ROW(I982)-1,COLUMN(I982)-1))</f>
        <v/>
      </c>
      <c r="T982" s="3" t="str">
        <f ca="1">IF(A982&lt;&gt;"",MAX('Initiative Indirect'!$T:$T)+(ROW(A982)-1),"")</f>
        <v/>
      </c>
      <c r="U982" s="3" t="str">
        <f ca="1">IF(B982&lt;&gt;"",INDEX('Initiative Indirect'!$T:$T,MATCH(B982,'Initiative Indirect'!$A:$A,0)),"")</f>
        <v/>
      </c>
      <c r="V982" s="3" t="str">
        <f ca="1">IF(C982&lt;&gt;"",INDEX('Team Indirect'!$T:$T,MATCH(C982,'Team Indirect'!$A:$A,0)),"")</f>
        <v/>
      </c>
      <c r="W982" s="3"/>
      <c r="X982" s="3"/>
      <c r="Y982" s="3" t="str">
        <f ca="1">IF($C982&lt;&gt;"",INDEX('Team Indirect'!$D:$D,MATCH($C982,'Team Indirect'!$A:$A,0)),"")</f>
        <v/>
      </c>
      <c r="Z982" s="3" t="str">
        <f ca="1">IF($C982&lt;&gt;"",INDEX('Team Indirect'!$E:$E,MATCH($C982,'Team Indirect'!$A:$A,0)),"")</f>
        <v/>
      </c>
      <c r="AA982" s="3" t="str">
        <f ca="1">IF($C982&lt;&gt;"",INDEX('Team Indirect'!$F:$F,MATCH($C982,'Team Indirect'!$A:$A,0)),"")</f>
        <v/>
      </c>
      <c r="AB982" s="3" t="str">
        <f t="shared" ca="1" si="15"/>
        <v/>
      </c>
      <c r="AC982" s="3">
        <f ca="1">IF(OR(AllocationUnits="Stories", AllocationUnits="Points"),'Work Indirect'!F982,F982/MAX('Work Indirect'!AB982,1))</f>
        <v>1</v>
      </c>
    </row>
    <row r="983" spans="1:29"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7" t="str">
        <f ca="1">IF(OFFSET('4. Work'!$A$1,ROW(D983)-1,COLUMN(D983)-1)="","",OFFSET('4. Work'!$A$1,ROW(D983)-1,COLUMN(D983)-1))</f>
        <v/>
      </c>
      <c r="E983" s="147"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I983" s="3" t="str">
        <f ca="1">IF(OFFSET('4. Work'!$A$1,ROW(I983)-1,COLUMN(I983)-1)="","",OFFSET('4. Work'!$A$1,ROW(I983)-1,COLUMN(I983)-1))</f>
        <v/>
      </c>
      <c r="T983" s="3" t="str">
        <f ca="1">IF(A983&lt;&gt;"",MAX('Initiative Indirect'!$T:$T)+(ROW(A983)-1),"")</f>
        <v/>
      </c>
      <c r="U983" s="3" t="str">
        <f ca="1">IF(B983&lt;&gt;"",INDEX('Initiative Indirect'!$T:$T,MATCH(B983,'Initiative Indirect'!$A:$A,0)),"")</f>
        <v/>
      </c>
      <c r="V983" s="3" t="str">
        <f ca="1">IF(C983&lt;&gt;"",INDEX('Team Indirect'!$T:$T,MATCH(C983,'Team Indirect'!$A:$A,0)),"")</f>
        <v/>
      </c>
      <c r="W983" s="3"/>
      <c r="X983" s="3"/>
      <c r="Y983" s="3" t="str">
        <f ca="1">IF($C983&lt;&gt;"",INDEX('Team Indirect'!$D:$D,MATCH($C983,'Team Indirect'!$A:$A,0)),"")</f>
        <v/>
      </c>
      <c r="Z983" s="3" t="str">
        <f ca="1">IF($C983&lt;&gt;"",INDEX('Team Indirect'!$E:$E,MATCH($C983,'Team Indirect'!$A:$A,0)),"")</f>
        <v/>
      </c>
      <c r="AA983" s="3" t="str">
        <f ca="1">IF($C983&lt;&gt;"",INDEX('Team Indirect'!$F:$F,MATCH($C983,'Team Indirect'!$A:$A,0)),"")</f>
        <v/>
      </c>
      <c r="AB983" s="3" t="str">
        <f t="shared" ca="1" si="15"/>
        <v/>
      </c>
      <c r="AC983" s="3">
        <f ca="1">IF(OR(AllocationUnits="Stories", AllocationUnits="Points"),'Work Indirect'!F983,F983/MAX('Work Indirect'!AB983,1))</f>
        <v>1</v>
      </c>
    </row>
    <row r="984" spans="1:29"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7" t="str">
        <f ca="1">IF(OFFSET('4. Work'!$A$1,ROW(D984)-1,COLUMN(D984)-1)="","",OFFSET('4. Work'!$A$1,ROW(D984)-1,COLUMN(D984)-1))</f>
        <v/>
      </c>
      <c r="E984" s="147"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I984" s="3" t="str">
        <f ca="1">IF(OFFSET('4. Work'!$A$1,ROW(I984)-1,COLUMN(I984)-1)="","",OFFSET('4. Work'!$A$1,ROW(I984)-1,COLUMN(I984)-1))</f>
        <v/>
      </c>
      <c r="T984" s="3" t="str">
        <f ca="1">IF(A984&lt;&gt;"",MAX('Initiative Indirect'!$T:$T)+(ROW(A984)-1),"")</f>
        <v/>
      </c>
      <c r="U984" s="3" t="str">
        <f ca="1">IF(B984&lt;&gt;"",INDEX('Initiative Indirect'!$T:$T,MATCH(B984,'Initiative Indirect'!$A:$A,0)),"")</f>
        <v/>
      </c>
      <c r="V984" s="3" t="str">
        <f ca="1">IF(C984&lt;&gt;"",INDEX('Team Indirect'!$T:$T,MATCH(C984,'Team Indirect'!$A:$A,0)),"")</f>
        <v/>
      </c>
      <c r="W984" s="3"/>
      <c r="X984" s="3"/>
      <c r="Y984" s="3" t="str">
        <f ca="1">IF($C984&lt;&gt;"",INDEX('Team Indirect'!$D:$D,MATCH($C984,'Team Indirect'!$A:$A,0)),"")</f>
        <v/>
      </c>
      <c r="Z984" s="3" t="str">
        <f ca="1">IF($C984&lt;&gt;"",INDEX('Team Indirect'!$E:$E,MATCH($C984,'Team Indirect'!$A:$A,0)),"")</f>
        <v/>
      </c>
      <c r="AA984" s="3" t="str">
        <f ca="1">IF($C984&lt;&gt;"",INDEX('Team Indirect'!$F:$F,MATCH($C984,'Team Indirect'!$A:$A,0)),"")</f>
        <v/>
      </c>
      <c r="AB984" s="3" t="str">
        <f t="shared" ca="1" si="15"/>
        <v/>
      </c>
      <c r="AC984" s="3">
        <f ca="1">IF(OR(AllocationUnits="Stories", AllocationUnits="Points"),'Work Indirect'!F984,F984/MAX('Work Indirect'!AB984,1))</f>
        <v>1</v>
      </c>
    </row>
    <row r="985" spans="1:29"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7" t="str">
        <f ca="1">IF(OFFSET('4. Work'!$A$1,ROW(D985)-1,COLUMN(D985)-1)="","",OFFSET('4. Work'!$A$1,ROW(D985)-1,COLUMN(D985)-1))</f>
        <v/>
      </c>
      <c r="E985" s="147"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I985" s="3" t="str">
        <f ca="1">IF(OFFSET('4. Work'!$A$1,ROW(I985)-1,COLUMN(I985)-1)="","",OFFSET('4. Work'!$A$1,ROW(I985)-1,COLUMN(I985)-1))</f>
        <v/>
      </c>
      <c r="T985" s="3" t="str">
        <f ca="1">IF(A985&lt;&gt;"",MAX('Initiative Indirect'!$T:$T)+(ROW(A985)-1),"")</f>
        <v/>
      </c>
      <c r="U985" s="3" t="str">
        <f ca="1">IF(B985&lt;&gt;"",INDEX('Initiative Indirect'!$T:$T,MATCH(B985,'Initiative Indirect'!$A:$A,0)),"")</f>
        <v/>
      </c>
      <c r="V985" s="3" t="str">
        <f ca="1">IF(C985&lt;&gt;"",INDEX('Team Indirect'!$T:$T,MATCH(C985,'Team Indirect'!$A:$A,0)),"")</f>
        <v/>
      </c>
      <c r="W985" s="3"/>
      <c r="X985" s="3"/>
      <c r="Y985" s="3" t="str">
        <f ca="1">IF($C985&lt;&gt;"",INDEX('Team Indirect'!$D:$D,MATCH($C985,'Team Indirect'!$A:$A,0)),"")</f>
        <v/>
      </c>
      <c r="Z985" s="3" t="str">
        <f ca="1">IF($C985&lt;&gt;"",INDEX('Team Indirect'!$E:$E,MATCH($C985,'Team Indirect'!$A:$A,0)),"")</f>
        <v/>
      </c>
      <c r="AA985" s="3" t="str">
        <f ca="1">IF($C985&lt;&gt;"",INDEX('Team Indirect'!$F:$F,MATCH($C985,'Team Indirect'!$A:$A,0)),"")</f>
        <v/>
      </c>
      <c r="AB985" s="3" t="str">
        <f t="shared" ca="1" si="15"/>
        <v/>
      </c>
      <c r="AC985" s="3">
        <f ca="1">IF(OR(AllocationUnits="Stories", AllocationUnits="Points"),'Work Indirect'!F985,F985/MAX('Work Indirect'!AB985,1))</f>
        <v>1</v>
      </c>
    </row>
    <row r="986" spans="1:29"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7" t="str">
        <f ca="1">IF(OFFSET('4. Work'!$A$1,ROW(D986)-1,COLUMN(D986)-1)="","",OFFSET('4. Work'!$A$1,ROW(D986)-1,COLUMN(D986)-1))</f>
        <v/>
      </c>
      <c r="E986" s="147"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I986" s="3" t="str">
        <f ca="1">IF(OFFSET('4. Work'!$A$1,ROW(I986)-1,COLUMN(I986)-1)="","",OFFSET('4. Work'!$A$1,ROW(I986)-1,COLUMN(I986)-1))</f>
        <v/>
      </c>
      <c r="T986" s="3" t="str">
        <f ca="1">IF(A986&lt;&gt;"",MAX('Initiative Indirect'!$T:$T)+(ROW(A986)-1),"")</f>
        <v/>
      </c>
      <c r="U986" s="3" t="str">
        <f ca="1">IF(B986&lt;&gt;"",INDEX('Initiative Indirect'!$T:$T,MATCH(B986,'Initiative Indirect'!$A:$A,0)),"")</f>
        <v/>
      </c>
      <c r="V986" s="3" t="str">
        <f ca="1">IF(C986&lt;&gt;"",INDEX('Team Indirect'!$T:$T,MATCH(C986,'Team Indirect'!$A:$A,0)),"")</f>
        <v/>
      </c>
      <c r="W986" s="3"/>
      <c r="X986" s="3"/>
      <c r="Y986" s="3" t="str">
        <f ca="1">IF($C986&lt;&gt;"",INDEX('Team Indirect'!$D:$D,MATCH($C986,'Team Indirect'!$A:$A,0)),"")</f>
        <v/>
      </c>
      <c r="Z986" s="3" t="str">
        <f ca="1">IF($C986&lt;&gt;"",INDEX('Team Indirect'!$E:$E,MATCH($C986,'Team Indirect'!$A:$A,0)),"")</f>
        <v/>
      </c>
      <c r="AA986" s="3" t="str">
        <f ca="1">IF($C986&lt;&gt;"",INDEX('Team Indirect'!$F:$F,MATCH($C986,'Team Indirect'!$A:$A,0)),"")</f>
        <v/>
      </c>
      <c r="AB986" s="3" t="str">
        <f t="shared" ca="1" si="15"/>
        <v/>
      </c>
      <c r="AC986" s="3">
        <f ca="1">IF(OR(AllocationUnits="Stories", AllocationUnits="Points"),'Work Indirect'!F986,F986/MAX('Work Indirect'!AB986,1))</f>
        <v>1</v>
      </c>
    </row>
    <row r="987" spans="1:29"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7" t="str">
        <f ca="1">IF(OFFSET('4. Work'!$A$1,ROW(D987)-1,COLUMN(D987)-1)="","",OFFSET('4. Work'!$A$1,ROW(D987)-1,COLUMN(D987)-1))</f>
        <v/>
      </c>
      <c r="E987" s="147"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I987" s="3" t="str">
        <f ca="1">IF(OFFSET('4. Work'!$A$1,ROW(I987)-1,COLUMN(I987)-1)="","",OFFSET('4. Work'!$A$1,ROW(I987)-1,COLUMN(I987)-1))</f>
        <v/>
      </c>
      <c r="T987" s="3" t="str">
        <f ca="1">IF(A987&lt;&gt;"",MAX('Initiative Indirect'!$T:$T)+(ROW(A987)-1),"")</f>
        <v/>
      </c>
      <c r="U987" s="3" t="str">
        <f ca="1">IF(B987&lt;&gt;"",INDEX('Initiative Indirect'!$T:$T,MATCH(B987,'Initiative Indirect'!$A:$A,0)),"")</f>
        <v/>
      </c>
      <c r="V987" s="3" t="str">
        <f ca="1">IF(C987&lt;&gt;"",INDEX('Team Indirect'!$T:$T,MATCH(C987,'Team Indirect'!$A:$A,0)),"")</f>
        <v/>
      </c>
      <c r="W987" s="3"/>
      <c r="X987" s="3"/>
      <c r="Y987" s="3" t="str">
        <f ca="1">IF($C987&lt;&gt;"",INDEX('Team Indirect'!$D:$D,MATCH($C987,'Team Indirect'!$A:$A,0)),"")</f>
        <v/>
      </c>
      <c r="Z987" s="3" t="str">
        <f ca="1">IF($C987&lt;&gt;"",INDEX('Team Indirect'!$E:$E,MATCH($C987,'Team Indirect'!$A:$A,0)),"")</f>
        <v/>
      </c>
      <c r="AA987" s="3" t="str">
        <f ca="1">IF($C987&lt;&gt;"",INDEX('Team Indirect'!$F:$F,MATCH($C987,'Team Indirect'!$A:$A,0)),"")</f>
        <v/>
      </c>
      <c r="AB987" s="3" t="str">
        <f t="shared" ca="1" si="15"/>
        <v/>
      </c>
      <c r="AC987" s="3">
        <f ca="1">IF(OR(AllocationUnits="Stories", AllocationUnits="Points"),'Work Indirect'!F987,F987/MAX('Work Indirect'!AB987,1))</f>
        <v>1</v>
      </c>
    </row>
    <row r="988" spans="1:29"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7" t="str">
        <f ca="1">IF(OFFSET('4. Work'!$A$1,ROW(D988)-1,COLUMN(D988)-1)="","",OFFSET('4. Work'!$A$1,ROW(D988)-1,COLUMN(D988)-1))</f>
        <v/>
      </c>
      <c r="E988" s="147"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I988" s="3" t="str">
        <f ca="1">IF(OFFSET('4. Work'!$A$1,ROW(I988)-1,COLUMN(I988)-1)="","",OFFSET('4. Work'!$A$1,ROW(I988)-1,COLUMN(I988)-1))</f>
        <v/>
      </c>
      <c r="T988" s="3" t="str">
        <f ca="1">IF(A988&lt;&gt;"",MAX('Initiative Indirect'!$T:$T)+(ROW(A988)-1),"")</f>
        <v/>
      </c>
      <c r="U988" s="3" t="str">
        <f ca="1">IF(B988&lt;&gt;"",INDEX('Initiative Indirect'!$T:$T,MATCH(B988,'Initiative Indirect'!$A:$A,0)),"")</f>
        <v/>
      </c>
      <c r="V988" s="3" t="str">
        <f ca="1">IF(C988&lt;&gt;"",INDEX('Team Indirect'!$T:$T,MATCH(C988,'Team Indirect'!$A:$A,0)),"")</f>
        <v/>
      </c>
      <c r="W988" s="3"/>
      <c r="X988" s="3"/>
      <c r="Y988" s="3" t="str">
        <f ca="1">IF($C988&lt;&gt;"",INDEX('Team Indirect'!$D:$D,MATCH($C988,'Team Indirect'!$A:$A,0)),"")</f>
        <v/>
      </c>
      <c r="Z988" s="3" t="str">
        <f ca="1">IF($C988&lt;&gt;"",INDEX('Team Indirect'!$E:$E,MATCH($C988,'Team Indirect'!$A:$A,0)),"")</f>
        <v/>
      </c>
      <c r="AA988" s="3" t="str">
        <f ca="1">IF($C988&lt;&gt;"",INDEX('Team Indirect'!$F:$F,MATCH($C988,'Team Indirect'!$A:$A,0)),"")</f>
        <v/>
      </c>
      <c r="AB988" s="3" t="str">
        <f t="shared" ca="1" si="15"/>
        <v/>
      </c>
      <c r="AC988" s="3">
        <f ca="1">IF(OR(AllocationUnits="Stories", AllocationUnits="Points"),'Work Indirect'!F988,F988/MAX('Work Indirect'!AB988,1))</f>
        <v>1</v>
      </c>
    </row>
    <row r="989" spans="1:29"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7" t="str">
        <f ca="1">IF(OFFSET('4. Work'!$A$1,ROW(D989)-1,COLUMN(D989)-1)="","",OFFSET('4. Work'!$A$1,ROW(D989)-1,COLUMN(D989)-1))</f>
        <v/>
      </c>
      <c r="E989" s="147"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I989" s="3" t="str">
        <f ca="1">IF(OFFSET('4. Work'!$A$1,ROW(I989)-1,COLUMN(I989)-1)="","",OFFSET('4. Work'!$A$1,ROW(I989)-1,COLUMN(I989)-1))</f>
        <v/>
      </c>
      <c r="T989" s="3" t="str">
        <f ca="1">IF(A989&lt;&gt;"",MAX('Initiative Indirect'!$T:$T)+(ROW(A989)-1),"")</f>
        <v/>
      </c>
      <c r="U989" s="3" t="str">
        <f ca="1">IF(B989&lt;&gt;"",INDEX('Initiative Indirect'!$T:$T,MATCH(B989,'Initiative Indirect'!$A:$A,0)),"")</f>
        <v/>
      </c>
      <c r="V989" s="3" t="str">
        <f ca="1">IF(C989&lt;&gt;"",INDEX('Team Indirect'!$T:$T,MATCH(C989,'Team Indirect'!$A:$A,0)),"")</f>
        <v/>
      </c>
      <c r="W989" s="3"/>
      <c r="X989" s="3"/>
      <c r="Y989" s="3" t="str">
        <f ca="1">IF($C989&lt;&gt;"",INDEX('Team Indirect'!$D:$D,MATCH($C989,'Team Indirect'!$A:$A,0)),"")</f>
        <v/>
      </c>
      <c r="Z989" s="3" t="str">
        <f ca="1">IF($C989&lt;&gt;"",INDEX('Team Indirect'!$E:$E,MATCH($C989,'Team Indirect'!$A:$A,0)),"")</f>
        <v/>
      </c>
      <c r="AA989" s="3" t="str">
        <f ca="1">IF($C989&lt;&gt;"",INDEX('Team Indirect'!$F:$F,MATCH($C989,'Team Indirect'!$A:$A,0)),"")</f>
        <v/>
      </c>
      <c r="AB989" s="3" t="str">
        <f t="shared" ca="1" si="15"/>
        <v/>
      </c>
      <c r="AC989" s="3">
        <f ca="1">IF(OR(AllocationUnits="Stories", AllocationUnits="Points"),'Work Indirect'!F989,F989/MAX('Work Indirect'!AB989,1))</f>
        <v>1</v>
      </c>
    </row>
    <row r="990" spans="1:29"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7" t="str">
        <f ca="1">IF(OFFSET('4. Work'!$A$1,ROW(D990)-1,COLUMN(D990)-1)="","",OFFSET('4. Work'!$A$1,ROW(D990)-1,COLUMN(D990)-1))</f>
        <v/>
      </c>
      <c r="E990" s="147"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I990" s="3" t="str">
        <f ca="1">IF(OFFSET('4. Work'!$A$1,ROW(I990)-1,COLUMN(I990)-1)="","",OFFSET('4. Work'!$A$1,ROW(I990)-1,COLUMN(I990)-1))</f>
        <v/>
      </c>
      <c r="T990" s="3" t="str">
        <f ca="1">IF(A990&lt;&gt;"",MAX('Initiative Indirect'!$T:$T)+(ROW(A990)-1),"")</f>
        <v/>
      </c>
      <c r="U990" s="3" t="str">
        <f ca="1">IF(B990&lt;&gt;"",INDEX('Initiative Indirect'!$T:$T,MATCH(B990,'Initiative Indirect'!$A:$A,0)),"")</f>
        <v/>
      </c>
      <c r="V990" s="3" t="str">
        <f ca="1">IF(C990&lt;&gt;"",INDEX('Team Indirect'!$T:$T,MATCH(C990,'Team Indirect'!$A:$A,0)),"")</f>
        <v/>
      </c>
      <c r="W990" s="3"/>
      <c r="X990" s="3"/>
      <c r="Y990" s="3" t="str">
        <f ca="1">IF($C990&lt;&gt;"",INDEX('Team Indirect'!$D:$D,MATCH($C990,'Team Indirect'!$A:$A,0)),"")</f>
        <v/>
      </c>
      <c r="Z990" s="3" t="str">
        <f ca="1">IF($C990&lt;&gt;"",INDEX('Team Indirect'!$E:$E,MATCH($C990,'Team Indirect'!$A:$A,0)),"")</f>
        <v/>
      </c>
      <c r="AA990" s="3" t="str">
        <f ca="1">IF($C990&lt;&gt;"",INDEX('Team Indirect'!$F:$F,MATCH($C990,'Team Indirect'!$A:$A,0)),"")</f>
        <v/>
      </c>
      <c r="AB990" s="3" t="str">
        <f t="shared" ca="1" si="15"/>
        <v/>
      </c>
      <c r="AC990" s="3">
        <f ca="1">IF(OR(AllocationUnits="Stories", AllocationUnits="Points"),'Work Indirect'!F990,F990/MAX('Work Indirect'!AB990,1))</f>
        <v>1</v>
      </c>
    </row>
    <row r="991" spans="1:29"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7" t="str">
        <f ca="1">IF(OFFSET('4. Work'!$A$1,ROW(D991)-1,COLUMN(D991)-1)="","",OFFSET('4. Work'!$A$1,ROW(D991)-1,COLUMN(D991)-1))</f>
        <v/>
      </c>
      <c r="E991" s="147"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I991" s="3" t="str">
        <f ca="1">IF(OFFSET('4. Work'!$A$1,ROW(I991)-1,COLUMN(I991)-1)="","",OFFSET('4. Work'!$A$1,ROW(I991)-1,COLUMN(I991)-1))</f>
        <v/>
      </c>
      <c r="T991" s="3" t="str">
        <f ca="1">IF(A991&lt;&gt;"",MAX('Initiative Indirect'!$T:$T)+(ROW(A991)-1),"")</f>
        <v/>
      </c>
      <c r="U991" s="3" t="str">
        <f ca="1">IF(B991&lt;&gt;"",INDEX('Initiative Indirect'!$T:$T,MATCH(B991,'Initiative Indirect'!$A:$A,0)),"")</f>
        <v/>
      </c>
      <c r="V991" s="3" t="str">
        <f ca="1">IF(C991&lt;&gt;"",INDEX('Team Indirect'!$T:$T,MATCH(C991,'Team Indirect'!$A:$A,0)),"")</f>
        <v/>
      </c>
      <c r="W991" s="3"/>
      <c r="X991" s="3"/>
      <c r="Y991" s="3" t="str">
        <f ca="1">IF($C991&lt;&gt;"",INDEX('Team Indirect'!$D:$D,MATCH($C991,'Team Indirect'!$A:$A,0)),"")</f>
        <v/>
      </c>
      <c r="Z991" s="3" t="str">
        <f ca="1">IF($C991&lt;&gt;"",INDEX('Team Indirect'!$E:$E,MATCH($C991,'Team Indirect'!$A:$A,0)),"")</f>
        <v/>
      </c>
      <c r="AA991" s="3" t="str">
        <f ca="1">IF($C991&lt;&gt;"",INDEX('Team Indirect'!$F:$F,MATCH($C991,'Team Indirect'!$A:$A,0)),"")</f>
        <v/>
      </c>
      <c r="AB991" s="3" t="str">
        <f t="shared" ca="1" si="15"/>
        <v/>
      </c>
      <c r="AC991" s="3">
        <f ca="1">IF(OR(AllocationUnits="Stories", AllocationUnits="Points"),'Work Indirect'!F991,F991/MAX('Work Indirect'!AB991,1))</f>
        <v>1</v>
      </c>
    </row>
    <row r="992" spans="1:29"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7" t="str">
        <f ca="1">IF(OFFSET('4. Work'!$A$1,ROW(D992)-1,COLUMN(D992)-1)="","",OFFSET('4. Work'!$A$1,ROW(D992)-1,COLUMN(D992)-1))</f>
        <v/>
      </c>
      <c r="E992" s="147"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I992" s="3" t="str">
        <f ca="1">IF(OFFSET('4. Work'!$A$1,ROW(I992)-1,COLUMN(I992)-1)="","",OFFSET('4. Work'!$A$1,ROW(I992)-1,COLUMN(I992)-1))</f>
        <v/>
      </c>
      <c r="T992" s="3" t="str">
        <f ca="1">IF(A992&lt;&gt;"",MAX('Initiative Indirect'!$T:$T)+(ROW(A992)-1),"")</f>
        <v/>
      </c>
      <c r="U992" s="3" t="str">
        <f ca="1">IF(B992&lt;&gt;"",INDEX('Initiative Indirect'!$T:$T,MATCH(B992,'Initiative Indirect'!$A:$A,0)),"")</f>
        <v/>
      </c>
      <c r="V992" s="3" t="str">
        <f ca="1">IF(C992&lt;&gt;"",INDEX('Team Indirect'!$T:$T,MATCH(C992,'Team Indirect'!$A:$A,0)),"")</f>
        <v/>
      </c>
      <c r="W992" s="3"/>
      <c r="X992" s="3"/>
      <c r="Y992" s="3" t="str">
        <f ca="1">IF($C992&lt;&gt;"",INDEX('Team Indirect'!$D:$D,MATCH($C992,'Team Indirect'!$A:$A,0)),"")</f>
        <v/>
      </c>
      <c r="Z992" s="3" t="str">
        <f ca="1">IF($C992&lt;&gt;"",INDEX('Team Indirect'!$E:$E,MATCH($C992,'Team Indirect'!$A:$A,0)),"")</f>
        <v/>
      </c>
      <c r="AA992" s="3" t="str">
        <f ca="1">IF($C992&lt;&gt;"",INDEX('Team Indirect'!$F:$F,MATCH($C992,'Team Indirect'!$A:$A,0)),"")</f>
        <v/>
      </c>
      <c r="AB992" s="3" t="str">
        <f t="shared" ca="1" si="15"/>
        <v/>
      </c>
      <c r="AC992" s="3">
        <f ca="1">IF(OR(AllocationUnits="Stories", AllocationUnits="Points"),'Work Indirect'!F992,F992/MAX('Work Indirect'!AB992,1))</f>
        <v>1</v>
      </c>
    </row>
    <row r="993" spans="1:29"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7" t="str">
        <f ca="1">IF(OFFSET('4. Work'!$A$1,ROW(D993)-1,COLUMN(D993)-1)="","",OFFSET('4. Work'!$A$1,ROW(D993)-1,COLUMN(D993)-1))</f>
        <v/>
      </c>
      <c r="E993" s="147"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I993" s="3" t="str">
        <f ca="1">IF(OFFSET('4. Work'!$A$1,ROW(I993)-1,COLUMN(I993)-1)="","",OFFSET('4. Work'!$A$1,ROW(I993)-1,COLUMN(I993)-1))</f>
        <v/>
      </c>
      <c r="T993" s="3" t="str">
        <f ca="1">IF(A993&lt;&gt;"",MAX('Initiative Indirect'!$T:$T)+(ROW(A993)-1),"")</f>
        <v/>
      </c>
      <c r="U993" s="3" t="str">
        <f ca="1">IF(B993&lt;&gt;"",INDEX('Initiative Indirect'!$T:$T,MATCH(B993,'Initiative Indirect'!$A:$A,0)),"")</f>
        <v/>
      </c>
      <c r="V993" s="3" t="str">
        <f ca="1">IF(C993&lt;&gt;"",INDEX('Team Indirect'!$T:$T,MATCH(C993,'Team Indirect'!$A:$A,0)),"")</f>
        <v/>
      </c>
      <c r="W993" s="3"/>
      <c r="X993" s="3"/>
      <c r="Y993" s="3" t="str">
        <f ca="1">IF($C993&lt;&gt;"",INDEX('Team Indirect'!$D:$D,MATCH($C993,'Team Indirect'!$A:$A,0)),"")</f>
        <v/>
      </c>
      <c r="Z993" s="3" t="str">
        <f ca="1">IF($C993&lt;&gt;"",INDEX('Team Indirect'!$E:$E,MATCH($C993,'Team Indirect'!$A:$A,0)),"")</f>
        <v/>
      </c>
      <c r="AA993" s="3" t="str">
        <f ca="1">IF($C993&lt;&gt;"",INDEX('Team Indirect'!$F:$F,MATCH($C993,'Team Indirect'!$A:$A,0)),"")</f>
        <v/>
      </c>
      <c r="AB993" s="3" t="str">
        <f t="shared" ca="1" si="15"/>
        <v/>
      </c>
      <c r="AC993" s="3">
        <f ca="1">IF(OR(AllocationUnits="Stories", AllocationUnits="Points"),'Work Indirect'!F993,F993/MAX('Work Indirect'!AB993,1))</f>
        <v>1</v>
      </c>
    </row>
    <row r="994" spans="1:29"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7" t="str">
        <f ca="1">IF(OFFSET('4. Work'!$A$1,ROW(D994)-1,COLUMN(D994)-1)="","",OFFSET('4. Work'!$A$1,ROW(D994)-1,COLUMN(D994)-1))</f>
        <v/>
      </c>
      <c r="E994" s="147"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I994" s="3" t="str">
        <f ca="1">IF(OFFSET('4. Work'!$A$1,ROW(I994)-1,COLUMN(I994)-1)="","",OFFSET('4. Work'!$A$1,ROW(I994)-1,COLUMN(I994)-1))</f>
        <v/>
      </c>
      <c r="T994" s="3" t="str">
        <f ca="1">IF(A994&lt;&gt;"",MAX('Initiative Indirect'!$T:$T)+(ROW(A994)-1),"")</f>
        <v/>
      </c>
      <c r="U994" s="3" t="str">
        <f ca="1">IF(B994&lt;&gt;"",INDEX('Initiative Indirect'!$T:$T,MATCH(B994,'Initiative Indirect'!$A:$A,0)),"")</f>
        <v/>
      </c>
      <c r="V994" s="3" t="str">
        <f ca="1">IF(C994&lt;&gt;"",INDEX('Team Indirect'!$T:$T,MATCH(C994,'Team Indirect'!$A:$A,0)),"")</f>
        <v/>
      </c>
      <c r="W994" s="3"/>
      <c r="X994" s="3"/>
      <c r="Y994" s="3" t="str">
        <f ca="1">IF($C994&lt;&gt;"",INDEX('Team Indirect'!$D:$D,MATCH($C994,'Team Indirect'!$A:$A,0)),"")</f>
        <v/>
      </c>
      <c r="Z994" s="3" t="str">
        <f ca="1">IF($C994&lt;&gt;"",INDEX('Team Indirect'!$E:$E,MATCH($C994,'Team Indirect'!$A:$A,0)),"")</f>
        <v/>
      </c>
      <c r="AA994" s="3" t="str">
        <f ca="1">IF($C994&lt;&gt;"",INDEX('Team Indirect'!$F:$F,MATCH($C994,'Team Indirect'!$A:$A,0)),"")</f>
        <v/>
      </c>
      <c r="AB994" s="3" t="str">
        <f t="shared" ca="1" si="15"/>
        <v/>
      </c>
      <c r="AC994" s="3">
        <f ca="1">IF(OR(AllocationUnits="Stories", AllocationUnits="Points"),'Work Indirect'!F994,F994/MAX('Work Indirect'!AB994,1))</f>
        <v>1</v>
      </c>
    </row>
    <row r="995" spans="1:29"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7" t="str">
        <f ca="1">IF(OFFSET('4. Work'!$A$1,ROW(D995)-1,COLUMN(D995)-1)="","",OFFSET('4. Work'!$A$1,ROW(D995)-1,COLUMN(D995)-1))</f>
        <v/>
      </c>
      <c r="E995" s="147"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I995" s="3" t="str">
        <f ca="1">IF(OFFSET('4. Work'!$A$1,ROW(I995)-1,COLUMN(I995)-1)="","",OFFSET('4. Work'!$A$1,ROW(I995)-1,COLUMN(I995)-1))</f>
        <v/>
      </c>
      <c r="T995" s="3" t="str">
        <f ca="1">IF(A995&lt;&gt;"",MAX('Initiative Indirect'!$T:$T)+(ROW(A995)-1),"")</f>
        <v/>
      </c>
      <c r="U995" s="3" t="str">
        <f ca="1">IF(B995&lt;&gt;"",INDEX('Initiative Indirect'!$T:$T,MATCH(B995,'Initiative Indirect'!$A:$A,0)),"")</f>
        <v/>
      </c>
      <c r="V995" s="3" t="str">
        <f ca="1">IF(C995&lt;&gt;"",INDEX('Team Indirect'!$T:$T,MATCH(C995,'Team Indirect'!$A:$A,0)),"")</f>
        <v/>
      </c>
      <c r="W995" s="3"/>
      <c r="X995" s="3"/>
      <c r="Y995" s="3" t="str">
        <f ca="1">IF($C995&lt;&gt;"",INDEX('Team Indirect'!$D:$D,MATCH($C995,'Team Indirect'!$A:$A,0)),"")</f>
        <v/>
      </c>
      <c r="Z995" s="3" t="str">
        <f ca="1">IF($C995&lt;&gt;"",INDEX('Team Indirect'!$E:$E,MATCH($C995,'Team Indirect'!$A:$A,0)),"")</f>
        <v/>
      </c>
      <c r="AA995" s="3" t="str">
        <f ca="1">IF($C995&lt;&gt;"",INDEX('Team Indirect'!$F:$F,MATCH($C995,'Team Indirect'!$A:$A,0)),"")</f>
        <v/>
      </c>
      <c r="AB995" s="3" t="str">
        <f t="shared" ca="1" si="15"/>
        <v/>
      </c>
      <c r="AC995" s="3">
        <f ca="1">IF(OR(AllocationUnits="Stories", AllocationUnits="Points"),'Work Indirect'!F995,F995/MAX('Work Indirect'!AB995,1))</f>
        <v>1</v>
      </c>
    </row>
    <row r="996" spans="1:29"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7" t="str">
        <f ca="1">IF(OFFSET('4. Work'!$A$1,ROW(D996)-1,COLUMN(D996)-1)="","",OFFSET('4. Work'!$A$1,ROW(D996)-1,COLUMN(D996)-1))</f>
        <v/>
      </c>
      <c r="E996" s="147"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I996" s="3" t="str">
        <f ca="1">IF(OFFSET('4. Work'!$A$1,ROW(I996)-1,COLUMN(I996)-1)="","",OFFSET('4. Work'!$A$1,ROW(I996)-1,COLUMN(I996)-1))</f>
        <v/>
      </c>
      <c r="T996" s="3" t="str">
        <f ca="1">IF(A996&lt;&gt;"",MAX('Initiative Indirect'!$T:$T)+(ROW(A996)-1),"")</f>
        <v/>
      </c>
      <c r="U996" s="3" t="str">
        <f ca="1">IF(B996&lt;&gt;"",INDEX('Initiative Indirect'!$T:$T,MATCH(B996,'Initiative Indirect'!$A:$A,0)),"")</f>
        <v/>
      </c>
      <c r="V996" s="3" t="str">
        <f ca="1">IF(C996&lt;&gt;"",INDEX('Team Indirect'!$T:$T,MATCH(C996,'Team Indirect'!$A:$A,0)),"")</f>
        <v/>
      </c>
      <c r="W996" s="3"/>
      <c r="X996" s="3"/>
      <c r="Y996" s="3" t="str">
        <f ca="1">IF($C996&lt;&gt;"",INDEX('Team Indirect'!$D:$D,MATCH($C996,'Team Indirect'!$A:$A,0)),"")</f>
        <v/>
      </c>
      <c r="Z996" s="3" t="str">
        <f ca="1">IF($C996&lt;&gt;"",INDEX('Team Indirect'!$E:$E,MATCH($C996,'Team Indirect'!$A:$A,0)),"")</f>
        <v/>
      </c>
      <c r="AA996" s="3" t="str">
        <f ca="1">IF($C996&lt;&gt;"",INDEX('Team Indirect'!$F:$F,MATCH($C996,'Team Indirect'!$A:$A,0)),"")</f>
        <v/>
      </c>
      <c r="AB996" s="3" t="str">
        <f t="shared" ca="1" si="15"/>
        <v/>
      </c>
      <c r="AC996" s="3">
        <f ca="1">IF(OR(AllocationUnits="Stories", AllocationUnits="Points"),'Work Indirect'!F996,F996/MAX('Work Indirect'!AB996,1))</f>
        <v>1</v>
      </c>
    </row>
    <row r="997" spans="1:29"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7" t="str">
        <f ca="1">IF(OFFSET('4. Work'!$A$1,ROW(D997)-1,COLUMN(D997)-1)="","",OFFSET('4. Work'!$A$1,ROW(D997)-1,COLUMN(D997)-1))</f>
        <v/>
      </c>
      <c r="E997" s="147"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I997" s="3" t="str">
        <f ca="1">IF(OFFSET('4. Work'!$A$1,ROW(I997)-1,COLUMN(I997)-1)="","",OFFSET('4. Work'!$A$1,ROW(I997)-1,COLUMN(I997)-1))</f>
        <v/>
      </c>
      <c r="T997" s="3" t="str">
        <f ca="1">IF(A997&lt;&gt;"",MAX('Initiative Indirect'!$T:$T)+(ROW(A997)-1),"")</f>
        <v/>
      </c>
      <c r="U997" s="3" t="str">
        <f ca="1">IF(B997&lt;&gt;"",INDEX('Initiative Indirect'!$T:$T,MATCH(B997,'Initiative Indirect'!$A:$A,0)),"")</f>
        <v/>
      </c>
      <c r="V997" s="3" t="str">
        <f ca="1">IF(C997&lt;&gt;"",INDEX('Team Indirect'!$T:$T,MATCH(C997,'Team Indirect'!$A:$A,0)),"")</f>
        <v/>
      </c>
      <c r="W997" s="3"/>
      <c r="X997" s="3"/>
      <c r="Y997" s="3" t="str">
        <f ca="1">IF($C997&lt;&gt;"",INDEX('Team Indirect'!$D:$D,MATCH($C997,'Team Indirect'!$A:$A,0)),"")</f>
        <v/>
      </c>
      <c r="Z997" s="3" t="str">
        <f ca="1">IF($C997&lt;&gt;"",INDEX('Team Indirect'!$E:$E,MATCH($C997,'Team Indirect'!$A:$A,0)),"")</f>
        <v/>
      </c>
      <c r="AA997" s="3" t="str">
        <f ca="1">IF($C997&lt;&gt;"",INDEX('Team Indirect'!$F:$F,MATCH($C997,'Team Indirect'!$A:$A,0)),"")</f>
        <v/>
      </c>
      <c r="AB997" s="3" t="str">
        <f t="shared" ca="1" si="15"/>
        <v/>
      </c>
      <c r="AC997" s="3">
        <f ca="1">IF(OR(AllocationUnits="Stories", AllocationUnits="Points"),'Work Indirect'!F997,F997/MAX('Work Indirect'!AB997,1))</f>
        <v>1</v>
      </c>
    </row>
    <row r="998" spans="1:29"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7" t="str">
        <f ca="1">IF(OFFSET('4. Work'!$A$1,ROW(D998)-1,COLUMN(D998)-1)="","",OFFSET('4. Work'!$A$1,ROW(D998)-1,COLUMN(D998)-1))</f>
        <v/>
      </c>
      <c r="E998" s="147"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I998" s="3" t="str">
        <f ca="1">IF(OFFSET('4. Work'!$A$1,ROW(I998)-1,COLUMN(I998)-1)="","",OFFSET('4. Work'!$A$1,ROW(I998)-1,COLUMN(I998)-1))</f>
        <v/>
      </c>
      <c r="T998" s="3" t="str">
        <f ca="1">IF(A998&lt;&gt;"",MAX('Initiative Indirect'!$T:$T)+(ROW(A998)-1),"")</f>
        <v/>
      </c>
      <c r="U998" s="3" t="str">
        <f ca="1">IF(B998&lt;&gt;"",INDEX('Initiative Indirect'!$T:$T,MATCH(B998,'Initiative Indirect'!$A:$A,0)),"")</f>
        <v/>
      </c>
      <c r="V998" s="3" t="str">
        <f ca="1">IF(C998&lt;&gt;"",INDEX('Team Indirect'!$T:$T,MATCH(C998,'Team Indirect'!$A:$A,0)),"")</f>
        <v/>
      </c>
      <c r="W998" s="3"/>
      <c r="X998" s="3"/>
      <c r="Y998" s="3" t="str">
        <f ca="1">IF($C998&lt;&gt;"",INDEX('Team Indirect'!$D:$D,MATCH($C998,'Team Indirect'!$A:$A,0)),"")</f>
        <v/>
      </c>
      <c r="Z998" s="3" t="str">
        <f ca="1">IF($C998&lt;&gt;"",INDEX('Team Indirect'!$E:$E,MATCH($C998,'Team Indirect'!$A:$A,0)),"")</f>
        <v/>
      </c>
      <c r="AA998" s="3" t="str">
        <f ca="1">IF($C998&lt;&gt;"",INDEX('Team Indirect'!$F:$F,MATCH($C998,'Team Indirect'!$A:$A,0)),"")</f>
        <v/>
      </c>
      <c r="AB998" s="3" t="str">
        <f t="shared" ca="1" si="15"/>
        <v/>
      </c>
      <c r="AC998" s="3">
        <f ca="1">IF(OR(AllocationUnits="Stories", AllocationUnits="Points"),'Work Indirect'!F998,F998/MAX('Work Indirect'!AB998,1))</f>
        <v>1</v>
      </c>
    </row>
    <row r="999" spans="1:29"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7" t="str">
        <f ca="1">IF(OFFSET('4. Work'!$A$1,ROW(D999)-1,COLUMN(D999)-1)="","",OFFSET('4. Work'!$A$1,ROW(D999)-1,COLUMN(D999)-1))</f>
        <v/>
      </c>
      <c r="E999" s="147"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I999" s="3" t="str">
        <f ca="1">IF(OFFSET('4. Work'!$A$1,ROW(I999)-1,COLUMN(I999)-1)="","",OFFSET('4. Work'!$A$1,ROW(I999)-1,COLUMN(I999)-1))</f>
        <v/>
      </c>
      <c r="T999" s="3" t="str">
        <f ca="1">IF(A999&lt;&gt;"",MAX('Initiative Indirect'!$T:$T)+(ROW(A999)-1),"")</f>
        <v/>
      </c>
      <c r="U999" s="3" t="str">
        <f ca="1">IF(B999&lt;&gt;"",INDEX('Initiative Indirect'!$T:$T,MATCH(B999,'Initiative Indirect'!$A:$A,0)),"")</f>
        <v/>
      </c>
      <c r="V999" s="3" t="str">
        <f ca="1">IF(C999&lt;&gt;"",INDEX('Team Indirect'!$T:$T,MATCH(C999,'Team Indirect'!$A:$A,0)),"")</f>
        <v/>
      </c>
      <c r="W999" s="3"/>
      <c r="X999" s="3"/>
      <c r="Y999" s="3" t="str">
        <f ca="1">IF($C999&lt;&gt;"",INDEX('Team Indirect'!$D:$D,MATCH($C999,'Team Indirect'!$A:$A,0)),"")</f>
        <v/>
      </c>
      <c r="Z999" s="3" t="str">
        <f ca="1">IF($C999&lt;&gt;"",INDEX('Team Indirect'!$E:$E,MATCH($C999,'Team Indirect'!$A:$A,0)),"")</f>
        <v/>
      </c>
      <c r="AA999" s="3" t="str">
        <f ca="1">IF($C999&lt;&gt;"",INDEX('Team Indirect'!$F:$F,MATCH($C999,'Team Indirect'!$A:$A,0)),"")</f>
        <v/>
      </c>
      <c r="AB999" s="3" t="str">
        <f t="shared" ca="1" si="15"/>
        <v/>
      </c>
      <c r="AC999" s="3">
        <f ca="1">IF(OR(AllocationUnits="Stories", AllocationUnits="Points"),'Work Indirect'!F999,F999/MAX('Work Indirect'!AB999,1))</f>
        <v>1</v>
      </c>
    </row>
    <row r="1000" spans="1:29"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7" t="str">
        <f ca="1">IF(OFFSET('4. Work'!$A$1,ROW(D1000)-1,COLUMN(D1000)-1)="","",OFFSET('4. Work'!$A$1,ROW(D1000)-1,COLUMN(D1000)-1))</f>
        <v/>
      </c>
      <c r="E1000" s="147"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I1000" s="3" t="str">
        <f ca="1">IF(OFFSET('4. Work'!$A$1,ROW(I1000)-1,COLUMN(I1000)-1)="","",OFFSET('4. Work'!$A$1,ROW(I1000)-1,COLUMN(I1000)-1))</f>
        <v/>
      </c>
      <c r="T1000" s="3" t="str">
        <f ca="1">IF(A1000&lt;&gt;"",MAX('Initiative Indirect'!$T:$T)+(ROW(A1000)-1),"")</f>
        <v/>
      </c>
      <c r="U1000" s="3" t="str">
        <f ca="1">IF(B1000&lt;&gt;"",INDEX('Initiative Indirect'!$T:$T,MATCH(B1000,'Initiative Indirect'!$A:$A,0)),"")</f>
        <v/>
      </c>
      <c r="V1000" s="3" t="str">
        <f ca="1">IF(C1000&lt;&gt;"",INDEX('Team Indirect'!$T:$T,MATCH(C1000,'Team Indirect'!$A:$A,0)),"")</f>
        <v/>
      </c>
      <c r="W1000" s="3"/>
      <c r="X1000" s="3"/>
      <c r="Y1000" s="3" t="str">
        <f ca="1">IF($C1000&lt;&gt;"",INDEX('Team Indirect'!$D:$D,MATCH($C1000,'Team Indirect'!$A:$A,0)),"")</f>
        <v/>
      </c>
      <c r="Z1000" s="3" t="str">
        <f ca="1">IF($C1000&lt;&gt;"",INDEX('Team Indirect'!$E:$E,MATCH($C1000,'Team Indirect'!$A:$A,0)),"")</f>
        <v/>
      </c>
      <c r="AA1000" s="3" t="str">
        <f ca="1">IF($C1000&lt;&gt;"",INDEX('Team Indirect'!$F:$F,MATCH($C1000,'Team Indirect'!$A:$A,0)),"")</f>
        <v/>
      </c>
      <c r="AB1000" s="3" t="str">
        <f t="shared" ca="1" si="15"/>
        <v/>
      </c>
      <c r="AC1000" s="3">
        <f ca="1">IF(OR(AllocationUnits="Stories", AllocationUnits="Points"),'Work Indirect'!F1000,F1000/MAX('Work Indirect'!AB1000,1))</f>
        <v>1</v>
      </c>
    </row>
    <row r="1001" spans="1:29"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7" t="str">
        <f ca="1">IF(OFFSET('4. Work'!$A$1,ROW(D1001)-1,COLUMN(D1001)-1)="","",OFFSET('4. Work'!$A$1,ROW(D1001)-1,COLUMN(D1001)-1))</f>
        <v/>
      </c>
      <c r="E1001" s="147"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I1001" s="3" t="str">
        <f ca="1">IF(OFFSET('4. Work'!$A$1,ROW(I1001)-1,COLUMN(I1001)-1)="","",OFFSET('4. Work'!$A$1,ROW(I1001)-1,COLUMN(I1001)-1))</f>
        <v/>
      </c>
      <c r="T1001" s="3" t="str">
        <f ca="1">IF(A1001&lt;&gt;"",MAX('Initiative Indirect'!$T:$T)+(ROW(A1001)-1),"")</f>
        <v/>
      </c>
      <c r="U1001" s="3" t="str">
        <f ca="1">IF(B1001&lt;&gt;"",INDEX('Initiative Indirect'!$T:$T,MATCH(B1001,'Initiative Indirect'!$A:$A,0)),"")</f>
        <v/>
      </c>
      <c r="V1001" s="3" t="str">
        <f ca="1">IF(C1001&lt;&gt;"",INDEX('Team Indirect'!$T:$T,MATCH(C1001,'Team Indirect'!$A:$A,0)),"")</f>
        <v/>
      </c>
      <c r="W1001" s="3"/>
      <c r="X1001" s="3"/>
      <c r="Y1001" s="3" t="str">
        <f ca="1">IF($C1001&lt;&gt;"",INDEX('Team Indirect'!$D:$D,MATCH($C1001,'Team Indirect'!$A:$A,0)),"")</f>
        <v/>
      </c>
      <c r="Z1001" s="3" t="str">
        <f ca="1">IF($C1001&lt;&gt;"",INDEX('Team Indirect'!$E:$E,MATCH($C1001,'Team Indirect'!$A:$A,0)),"")</f>
        <v/>
      </c>
      <c r="AA1001" s="3" t="str">
        <f ca="1">IF($C1001&lt;&gt;"",INDEX('Team Indirect'!$F:$F,MATCH($C1001,'Team Indirect'!$A:$A,0)),"")</f>
        <v/>
      </c>
      <c r="AB1001" s="3" t="str">
        <f t="shared" ca="1" si="15"/>
        <v/>
      </c>
      <c r="AC1001" s="3">
        <f ca="1">IF(OR(AllocationUnits="Stories", AllocationUnits="Points"),'Work Indirect'!F1001,F1001/MAX('Work Indirect'!AB1001,1))</f>
        <v>1</v>
      </c>
    </row>
  </sheetData>
  <pageMargins left="0.7" right="0.7" top="0.75" bottom="0.75" header="0.3" footer="0.3"/>
  <pageSetup orientation="portrait" r:id="rId1"/>
  <ignoredErrors>
    <ignoredError sqref="F2:F3"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Readme</vt:lpstr>
      <vt:lpstr>1. Strategies</vt:lpstr>
      <vt:lpstr>2. Teams</vt:lpstr>
      <vt:lpstr>3. MVP or Initiative</vt:lpstr>
      <vt:lpstr>4. Work</vt:lpstr>
      <vt:lpstr>Generate Sankey</vt:lpstr>
      <vt:lpstr>Settings</vt:lpstr>
      <vt:lpstr>To Do List</vt:lpstr>
      <vt:lpstr>Strategy Indirect</vt:lpstr>
      <vt:lpstr>Team Indirect</vt:lpstr>
      <vt:lpstr>Initiative Indirect</vt:lpstr>
      <vt:lpstr>Work Indirect</vt:lpstr>
      <vt:lpstr>AllocationUnits</vt:lpstr>
      <vt:lpstr>colorFinished</vt:lpstr>
      <vt:lpstr>colorInProgress</vt:lpstr>
      <vt:lpstr>colorNotStarted</vt:lpstr>
      <vt:lpstr>DestinationFile</vt:lpstr>
      <vt:lpstr>height</vt:lpstr>
      <vt:lpstr>Probability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2018-07-06T15:08:46Z</dcterms:modified>
</cp:coreProperties>
</file>